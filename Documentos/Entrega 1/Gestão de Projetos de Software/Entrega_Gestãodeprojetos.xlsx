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E:\Users\User\Downloads\"/>
    </mc:Choice>
  </mc:AlternateContent>
  <xr:revisionPtr revIDLastSave="0" documentId="13_ncr:1_{42A77EF5-87B2-4EF4-A13A-5582236CC3E5}" xr6:coauthVersionLast="47" xr6:coauthVersionMax="47" xr10:uidLastSave="{00000000-0000-0000-0000-000000000000}"/>
  <bookViews>
    <workbookView xWindow="-120" yWindow="-120" windowWidth="20730" windowHeight="11040" firstSheet="1" activeTab="1" xr2:uid="{00000000-000D-0000-FFFF-FFFF00000000}"/>
  </bookViews>
  <sheets>
    <sheet name="Project Charter" sheetId="1" r:id="rId1"/>
    <sheet name="WBS-MACRO-ATIVIDADE" sheetId="2" r:id="rId2"/>
    <sheet name="WBS_Detalhado (ordem etapas)" sheetId="3" r:id="rId3"/>
    <sheet name="WBS_Detalhado (ordem depend)" sheetId="4" r:id="rId4"/>
    <sheet name="Análise-De-Stakeholder" sheetId="5" r:id="rId5"/>
    <sheet name="Rede-precedência PERT-CPM" sheetId="6" r:id="rId6"/>
    <sheet name="Gráfico de Gantt" sheetId="7" state="hidden" r:id="rId7"/>
    <sheet name="PV_dependência" sheetId="8" state="hidden" r:id="rId8"/>
    <sheet name="Cronograma_de_Custos (2)" sheetId="9" state="hidden" r:id="rId9"/>
  </sheets>
  <externalReferences>
    <externalReference r:id="rId10"/>
    <externalReference r:id="rId11"/>
    <externalReference r:id="rId12"/>
    <externalReference r:id="rId13"/>
  </externalReferences>
  <definedNames>
    <definedName name="A" localSheetId="5">{"'TG'!$A$1:$L$37"}</definedName>
    <definedName name="A" localSheetId="2">{"'TG'!$A$1:$L$37"}</definedName>
    <definedName name="A">{"'TG'!$A$1:$L$37"}</definedName>
    <definedName name="Comprar" localSheetId="5">[1]Param!#REF!</definedName>
    <definedName name="Comprar">[1]Param!#REF!</definedName>
    <definedName name="E" localSheetId="5">{TRUE,TRUE,-1.25,-15.5,604.5,369,FALSE,FALSE,TRUE,TRUE,0,1,#N/A,91,#N/A,20.5555555555556,24.8571428571429,1,FALSE,FALSE,3,TRUE,1,FALSE,80,"Swvu.summary3.","ACwvu.summary3.",#N/A,FALSE,FALSE,0.5,0.5,0.5,0.5,2,"&amp;F","&amp;A&amp;RPage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2">{TRUE,TRUE,-1.25,-15.5,604.5,369,FALSE,FALSE,TRUE,TRUE,0,1,#N/A,91,#N/A,20.5555555555556,24.8571428571429,1,FALSE,FALSE,3,TRUE,1,FALSE,80,"Swvu.summary3.","ACwvu.summary3.",#N/A,FALSE,FALSE,0.5,0.5,0.5,0.5,2,"&amp;F","&amp;A&amp;RPage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início_da_tarefa" localSheetId="6">[2]CronogramaDeProjeto!$E1</definedName>
    <definedName name="Início_do_projeto" localSheetId="5">#REF!</definedName>
    <definedName name="Início_do_projeto" localSheetId="2">'[3]Gráfico de Gantt'!$G$5</definedName>
    <definedName name="Início_do_projeto">'Gráfico de Gantt'!$G$5</definedName>
    <definedName name="Periodicidade">[4]Param!$AB$5:$AB$9</definedName>
    <definedName name="progresso_da_tarefa" localSheetId="6">[2]CronogramaDeProjeto!$D1</definedName>
    <definedName name="Semana_de_exibição" localSheetId="5">#REF!</definedName>
    <definedName name="Semana_de_exibição" localSheetId="2">'[3]Gráfico de Gantt'!$G$6</definedName>
    <definedName name="Semana_de_exibição">'Gráfico de Gantt'!$G$6</definedName>
    <definedName name="Status">[1]Param!#REF!</definedName>
    <definedName name="t" localSheetId="5">{"'TG'!$A$1:$L$37"}</definedName>
    <definedName name="t" localSheetId="2">{"'TG'!$A$1:$L$37"}</definedName>
    <definedName name="t">{"'TG'!$A$1:$L$37"}</definedName>
    <definedName name="término_da_tarefa" localSheetId="6">[2]CronogramaDeProjeto!$F1</definedName>
    <definedName name="VersaoExcel">[4]Param!$D$15:$E$15</definedName>
    <definedName name="VersaoSR">[4]Param!$C$24:$C$26</definedName>
  </definedNames>
  <calcPr calcId="191029"/>
  <pivotCaches>
    <pivotCache cacheId="7"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L/M7YPaPFjnwTTpStvKXo4KXTbtmQ/bhrS/h2Hq4XQ8="/>
    </ext>
  </extLst>
</workbook>
</file>

<file path=xl/calcChain.xml><?xml version="1.0" encoding="utf-8"?>
<calcChain xmlns="http://schemas.openxmlformats.org/spreadsheetml/2006/main">
  <c r="X18" i="9" l="1"/>
  <c r="T18" i="9"/>
  <c r="P18" i="9"/>
  <c r="L18" i="9"/>
  <c r="H18" i="9"/>
  <c r="J35" i="7"/>
  <c r="J34" i="7"/>
  <c r="J33" i="7"/>
  <c r="J32" i="7"/>
  <c r="J31" i="7"/>
  <c r="J30" i="7"/>
  <c r="J29" i="7"/>
  <c r="J28" i="7"/>
  <c r="J27" i="7"/>
  <c r="J26" i="7"/>
  <c r="J25" i="7"/>
  <c r="J24" i="7"/>
  <c r="J23" i="7"/>
  <c r="J22" i="7"/>
  <c r="J21" i="7"/>
  <c r="J20" i="7"/>
  <c r="J19" i="7"/>
  <c r="J18" i="7"/>
  <c r="J17" i="7"/>
  <c r="J16" i="7"/>
  <c r="J15" i="7"/>
  <c r="J14" i="7"/>
  <c r="J13" i="7"/>
  <c r="J12" i="7"/>
  <c r="J11" i="7"/>
  <c r="G11" i="7"/>
  <c r="H11" i="7" s="1"/>
  <c r="J10" i="7"/>
  <c r="J9" i="7"/>
  <c r="M7" i="7"/>
  <c r="N7" i="7" s="1"/>
  <c r="L7" i="7"/>
  <c r="L8" i="7" s="1"/>
  <c r="K7" i="7"/>
  <c r="K8" i="7" s="1"/>
  <c r="K6" i="7"/>
  <c r="I22" i="6"/>
  <c r="J22" i="6" s="1"/>
  <c r="G16" i="6"/>
  <c r="I10" i="6" s="1"/>
  <c r="J10" i="6" s="1"/>
  <c r="C62" i="4"/>
  <c r="J70" i="3"/>
  <c r="G70" i="3"/>
  <c r="G69" i="3"/>
  <c r="G68" i="3"/>
  <c r="G67" i="3"/>
  <c r="J66" i="3"/>
  <c r="G65" i="3"/>
  <c r="G64" i="3"/>
  <c r="G63" i="3"/>
  <c r="J62" i="3"/>
  <c r="G61" i="3"/>
  <c r="G60" i="3"/>
  <c r="G59" i="3"/>
  <c r="J58" i="3"/>
  <c r="G57" i="3"/>
  <c r="G56" i="3"/>
  <c r="G55" i="3"/>
  <c r="G53" i="3"/>
  <c r="G52" i="3"/>
  <c r="J51" i="3"/>
  <c r="J54" i="3" s="1"/>
  <c r="G51" i="3"/>
  <c r="J50" i="3"/>
  <c r="G49" i="3"/>
  <c r="G48" i="3"/>
  <c r="G47" i="3"/>
  <c r="G45" i="3"/>
  <c r="G44" i="3"/>
  <c r="G43" i="3"/>
  <c r="G42" i="3"/>
  <c r="J41" i="3"/>
  <c r="G40" i="3"/>
  <c r="G39" i="3"/>
  <c r="G38" i="3"/>
  <c r="G37" i="3"/>
  <c r="G36" i="3"/>
  <c r="G35" i="3"/>
  <c r="G34" i="3"/>
  <c r="G33" i="3"/>
  <c r="G32" i="3"/>
  <c r="J31" i="3"/>
  <c r="G30" i="3"/>
  <c r="G29" i="3"/>
  <c r="G28" i="3"/>
  <c r="G27" i="3"/>
  <c r="G26" i="3"/>
  <c r="G25" i="3"/>
  <c r="J24" i="3"/>
  <c r="G23" i="3"/>
  <c r="G22" i="3"/>
  <c r="G21" i="3"/>
  <c r="G20" i="3"/>
  <c r="G19" i="3"/>
  <c r="G18" i="3"/>
  <c r="G17" i="3"/>
  <c r="J16" i="3"/>
  <c r="J71" i="3" s="1"/>
  <c r="G15" i="3"/>
  <c r="G14" i="3"/>
  <c r="G13" i="3"/>
  <c r="G12" i="3"/>
  <c r="G11" i="3"/>
  <c r="O7" i="7" l="1"/>
  <c r="N8" i="7"/>
  <c r="M8" i="7"/>
  <c r="I16" i="6"/>
  <c r="J16" i="6" s="1"/>
  <c r="M22" i="6" s="1"/>
  <c r="N22" i="6" s="1"/>
  <c r="P7" i="7" l="1"/>
  <c r="O8" i="7"/>
  <c r="M10" i="6"/>
  <c r="N10" i="6" s="1"/>
  <c r="M16" i="6"/>
  <c r="N16" i="6" s="1"/>
  <c r="Q16" i="6" l="1"/>
  <c r="R16" i="6" s="1"/>
  <c r="R17" i="6" s="1"/>
  <c r="Q7" i="7"/>
  <c r="P8" i="7"/>
  <c r="R7" i="7" l="1"/>
  <c r="Q8" i="7"/>
  <c r="R18" i="6"/>
  <c r="Q17" i="6"/>
  <c r="N17" i="6" l="1"/>
  <c r="N23" i="6"/>
  <c r="N11" i="6"/>
  <c r="Q18" i="6"/>
  <c r="R6" i="7"/>
  <c r="S7" i="7"/>
  <c r="R8" i="7"/>
  <c r="T7" i="7" l="1"/>
  <c r="S8" i="7"/>
  <c r="N12" i="6"/>
  <c r="M11" i="6"/>
  <c r="M23" i="6"/>
  <c r="M24" i="6" s="1"/>
  <c r="N24" i="6"/>
  <c r="N18" i="6"/>
  <c r="M17" i="6"/>
  <c r="J23" i="6" l="1"/>
  <c r="M18" i="6"/>
  <c r="M12" i="6"/>
  <c r="J11" i="6"/>
  <c r="J17" i="6"/>
  <c r="T8" i="7"/>
  <c r="U7" i="7"/>
  <c r="V7" i="7" l="1"/>
  <c r="U8" i="7"/>
  <c r="J18" i="6"/>
  <c r="I17" i="6"/>
  <c r="I18" i="6" s="1"/>
  <c r="I11" i="6"/>
  <c r="J12" i="6"/>
  <c r="I23" i="6"/>
  <c r="I24" i="6" s="1"/>
  <c r="J24" i="6"/>
  <c r="I12" i="6" l="1"/>
  <c r="G17" i="6"/>
  <c r="W7" i="7"/>
  <c r="V8" i="7"/>
  <c r="X7" i="7" l="1"/>
  <c r="W8" i="7"/>
  <c r="G18" i="6"/>
  <c r="F17" i="6"/>
  <c r="F18" i="6" s="1"/>
  <c r="Y7" i="7" l="1"/>
  <c r="X8" i="7"/>
  <c r="Z7" i="7" l="1"/>
  <c r="Y8" i="7"/>
  <c r="Y6" i="7"/>
  <c r="AA7" i="7" l="1"/>
  <c r="Z8" i="7"/>
  <c r="AB7" i="7" l="1"/>
  <c r="AA8" i="7"/>
  <c r="AB8" i="7" l="1"/>
  <c r="AC7" i="7"/>
  <c r="AD7" i="7" l="1"/>
  <c r="AC8" i="7"/>
  <c r="AE7" i="7" l="1"/>
  <c r="AD8" i="7"/>
  <c r="AF7" i="7" l="1"/>
  <c r="AE8" i="7"/>
  <c r="AF8" i="7" l="1"/>
  <c r="AF6" i="7"/>
  <c r="AG7" i="7"/>
  <c r="AH7" i="7" l="1"/>
  <c r="AG8" i="7"/>
  <c r="AI7" i="7" l="1"/>
  <c r="AH8" i="7"/>
  <c r="AJ7" i="7" l="1"/>
  <c r="AI8" i="7"/>
  <c r="AJ8" i="7" l="1"/>
  <c r="AK7" i="7"/>
  <c r="AK8" i="7" l="1"/>
  <c r="AL7" i="7"/>
  <c r="AL8" i="7" l="1"/>
  <c r="AM7" i="7"/>
  <c r="AM8" i="7" l="1"/>
  <c r="AM6" i="7"/>
  <c r="AN7" i="7"/>
  <c r="AN8" i="7" l="1"/>
  <c r="AO7" i="7"/>
  <c r="AP7" i="7" l="1"/>
  <c r="AO8" i="7"/>
  <c r="AQ7" i="7" l="1"/>
  <c r="AP8" i="7"/>
  <c r="AR7" i="7" l="1"/>
  <c r="AQ8" i="7"/>
  <c r="AR8" i="7" l="1"/>
  <c r="AS7" i="7"/>
  <c r="AT7" i="7" l="1"/>
  <c r="AS8" i="7"/>
  <c r="AU7" i="7" l="1"/>
  <c r="AT8" i="7"/>
  <c r="AT6" i="7"/>
  <c r="AV7" i="7" l="1"/>
  <c r="AU8" i="7"/>
  <c r="AV8" i="7" l="1"/>
  <c r="AW7" i="7"/>
  <c r="AX7" i="7" l="1"/>
  <c r="AW8" i="7"/>
  <c r="AY7" i="7" l="1"/>
  <c r="AX8" i="7"/>
  <c r="AZ7" i="7" l="1"/>
  <c r="AY8" i="7"/>
  <c r="AZ8" i="7" l="1"/>
  <c r="BA7" i="7"/>
  <c r="BB7" i="7" l="1"/>
  <c r="BA6" i="7"/>
  <c r="BA8" i="7"/>
  <c r="BB8" i="7" l="1"/>
  <c r="BC7" i="7"/>
  <c r="BC8" i="7" l="1"/>
  <c r="BD7" i="7"/>
  <c r="BD8" i="7" l="1"/>
  <c r="BE7" i="7"/>
  <c r="BF7" i="7" l="1"/>
  <c r="BE8" i="7"/>
  <c r="BG7" i="7" l="1"/>
  <c r="BF8" i="7"/>
  <c r="BH7" i="7" l="1"/>
  <c r="BG8" i="7"/>
  <c r="BH8" i="7" l="1"/>
  <c r="BI7" i="7"/>
  <c r="BH6" i="7"/>
  <c r="BJ7" i="7" l="1"/>
  <c r="BI8" i="7"/>
  <c r="BK7" i="7" l="1"/>
  <c r="BJ8" i="7"/>
  <c r="BL7" i="7" l="1"/>
  <c r="BK8" i="7"/>
  <c r="BL8" i="7" l="1"/>
  <c r="BM7" i="7"/>
  <c r="BN7" i="7" l="1"/>
  <c r="BN8" i="7" s="1"/>
  <c r="BM8" i="7"/>
</calcChain>
</file>

<file path=xl/sharedStrings.xml><?xml version="1.0" encoding="utf-8"?>
<sst xmlns="http://schemas.openxmlformats.org/spreadsheetml/2006/main" count="1247" uniqueCount="522">
  <si>
    <t>PROJECT CHARTER</t>
  </si>
  <si>
    <t>Sistema de Algoritmo de Recomendação Inteligente (SARI)</t>
  </si>
  <si>
    <t>Componentes do Grupo</t>
  </si>
  <si>
    <t>Nome RA</t>
  </si>
  <si>
    <t>Gustavo Roberto Melo Da Silva 24026770</t>
  </si>
  <si>
    <t>Eriane Dos Santos Oliveira Dias 24026778</t>
  </si>
  <si>
    <t>Erik Dos Santos Raimundo 24026628</t>
  </si>
  <si>
    <t>Bianca Marcondes Camargo 25028292</t>
  </si>
  <si>
    <t>Kaua Daniel De Aguiar Ferreira 24026846</t>
  </si>
  <si>
    <t>São Paulo, 20/02/2026</t>
  </si>
  <si>
    <t>Organização – Resumo das condições do projeto</t>
  </si>
  <si>
    <t>Com o crescimento exponencial do desemprego, observa-se que a aplicação de currículo do usuário tornou-se um agente de consumo de tempo essencial.</t>
  </si>
  <si>
    <t>Empresas com redes de network e conexões empregadoras utilizam algoritmos baseados em Inteligência Artificial e Machine Learning para recomendar produtos, conteúdos e serviços com base no comportamento e preferências dos usuários.</t>
  </si>
  <si>
    <t>Entretanto, muitas organizações de médio porte não possuem soluções próprias de recomendação devido à complexidade técnica e ao custo elevado de implementação.</t>
  </si>
  <si>
    <t>Diante desse cenário, o presente projeto propõe o desenvolvimento de um algoritmo de recomendação simplificado, capaz de analisar padrões de conhecimento do usuário e sugerir conteúdos, produtos ou vagas com base em preferências previamente identificadas.</t>
  </si>
  <si>
    <t>Project Charter – Termo de Compromisso</t>
  </si>
  <si>
    <t>Nome do projeto: Sistema de Algoritmo de Combinação Inteligente (SARI)</t>
  </si>
  <si>
    <t>Cronograma básico - Data: Início: 01/03/2026 Fim: 30/08/2026</t>
  </si>
  <si>
    <t>Razão Social: Global Talent Bridge Ltda.</t>
  </si>
  <si>
    <t>Nome fantasia: globalTalenTbridge.</t>
  </si>
  <si>
    <t>Marca: GTB</t>
  </si>
  <si>
    <t>Gerente do Projeto, Responsabilidades e autoridade:</t>
  </si>
  <si>
    <t>Gerente de Projeto (Erik Raimundo):</t>
  </si>
  <si>
    <t>Responsável por definir o escopo do projeto, coordenar a equipe técnica, gerenciar prazos e custos, monitorar indicadores de desempenho e garantir que os objetivos estratégicos sejam atingidos.</t>
  </si>
  <si>
    <t>Cientista de Dados Líder (Gustavo Roberto):</t>
  </si>
  <si>
    <t>Responsável pela modelagem do algoritmo, definição das técnicas de Machine Learning, tratamento e análise dos dados, validação estatística dos modelos e otimização do desempenho do sistema.</t>
  </si>
  <si>
    <t>Desenvolvedor Backend (Bianca Marcondes):</t>
  </si>
  <si>
    <t>Responsável pela implementação da arquitetura do sistema, desenvolvimento das APIs, integração com banco de dados e implantação do algoritmo em ambiente de testes.</t>
  </si>
  <si>
    <t>Analista de Qualidade (Eriane Dias):</t>
  </si>
  <si>
    <t>Responsável pela elaboração e execução de testes funcionais e de desempenho, validação dos resultados do algoritmo e verificação da aderência aos requisitos definidos.</t>
  </si>
  <si>
    <t>Analista de oportunidades empreendedora (Kauã Ferreira)</t>
  </si>
  <si>
    <t>Responsável pela pesquisa de um problema real de mercado, quais seus impactos e possíveis soluções com base em estudo de concorrência e aplicação de entrevistas ou questionários, desenvolve uma proposta de valor clara e fundamentada em dados.</t>
  </si>
  <si>
    <t>Declaração do Escopo</t>
  </si>
  <si>
    <t>Objetivo do projeto</t>
  </si>
  <si>
    <t>Desenvolver e implementar, no prazo de seis meses, um algoritmo de recomendação baseado em técnicas básicas de Machine Learning, capaz de analisar as informações disponibilizadas e gerar combinações personalizadas com precisão mínima de 70% em ambiente de testes controlado.</t>
  </si>
  <si>
    <t>Metas do projeto (necessidades básicas do trabalho a ser realizado)</t>
  </si>
  <si>
    <t>Levantamento e definição dos requisitos técnicos e funcionais do sistema;</t>
  </si>
  <si>
    <t>Construção de base de dados simulada para treinamento do modelo;</t>
  </si>
  <si>
    <t>Implementação de modelo de recomendação baseado em filtragem colaborativa ou conteúdo;</t>
  </si>
  <si>
    <t>Desenvolvimento de API para integração do algoritmo a sistemas externos;</t>
  </si>
  <si>
    <t>Realização de testes de desempenho e validação de métricas (precisão, recall e acurácia);</t>
  </si>
  <si>
    <t>Entrega de versão funcional do protótipo (MVP).</t>
  </si>
  <si>
    <t>Justificativa para o projeto</t>
  </si>
  <si>
    <t>O uso de algoritmos de recomendação contribui significativamente para a melhoria da empregabilidade do usuário, aumento de contratação e maior retenção em empregos que demandam mão de obra. Este projeto visa desenvolver uma solução simplificada e de menor custo, possibilitando que pequenas e médias empresas possam ampliar sua mão de obra em seus serviços, ampliando sua produção no mercado.</t>
  </si>
  <si>
    <t>Stakeholders (Principais partes interessadas)</t>
  </si>
  <si>
    <t>Diretoria da Inovação Digital</t>
  </si>
  <si>
    <t>Equipe de Tecnologia da Informação</t>
  </si>
  <si>
    <t>Clientes corporativos interessados na integração da solução</t>
  </si>
  <si>
    <t>Usuários finais dos sistemas que utilizarão o algoritmo</t>
  </si>
  <si>
    <t>Investidores da organização</t>
  </si>
  <si>
    <t>Estimativa Inicial de Investimento (R$)</t>
  </si>
  <si>
    <t>Fonte (inicial) de recursos que serão usados no projeto</t>
  </si>
  <si>
    <t>Recursos Humanos: Cientista de Dados, Desenvolvedores, Engenheira de Dados, Analista de Qualidade e Gerente de Projeto.</t>
  </si>
  <si>
    <t>Recursos Financeiros: Investimento próprio da organização destinado ao desenvolvimento, aquisição de licenças de software e contratação de serviços de infraestrutura em nuvem.</t>
  </si>
  <si>
    <t>Recursos Materiais: Computadores de alto desempenho, servidores em nuvem, ferramentas de versionamento de código e softwares de análise de dados.</t>
  </si>
  <si>
    <t>Descrição resumida do produto ou serviço que o projeto irá produzir</t>
  </si>
  <si>
    <t>O projeto resultará em um protótipo funcional de algoritmo de recomendação capaz de analisar interações históricas de usuários
(cliques, buscas ou informações empregadoras) e gerar 
combinações personalizadas. O sistema será disponibilizado por meio de uma API integrável a aplicações web ou mobile, permitindo que plataformas digitais 
utilizem a solução como 
mecanismo de combinação básica.</t>
  </si>
  <si>
    <t>Principais fases (MARCOS) do projeto</t>
  </si>
  <si>
    <t>Definição do escopo e requisitos</t>
  </si>
  <si>
    <t>Estruturação e preparação da base de dados</t>
  </si>
  <si>
    <t>Modelagem inicial do algoritmo</t>
  </si>
  <si>
    <t>Treinamento do modelo</t>
  </si>
  <si>
    <t>Avaliação de métricas de desempenho</t>
  </si>
  <si>
    <t>Ajustes e otimizações</t>
  </si>
  <si>
    <t>Desenvolvimento da API de integração</t>
  </si>
  <si>
    <t>Testes integrados do sistema</t>
  </si>
  <si>
    <t>Validação final do protótipo</t>
  </si>
  <si>
    <t>Entrega e apresentação do projeto</t>
  </si>
  <si>
    <t>Principais Riscos Contingências que serão adotadas</t>
  </si>
  <si>
    <t>Baixa qualidade ou insuficiência de dados para treinamento Utilização de bases de dados públicas para complementação de dados</t>
  </si>
  <si>
    <t>Desempenho abaixo da meta mínima estabelecida Ajuste de parâmetros e seleção de modelos alternativos</t>
  </si>
  <si>
    <t>Atrasos no desenvolvimento da arquitetura técnica Revisão do cronograma com realocação de tarefas</t>
  </si>
  <si>
    <t>Limitações de infraestrutura computacional Ampliação temporária de recursos computacionais em nuvem</t>
  </si>
  <si>
    <t>Premissas (requisitos técnicos)</t>
  </si>
  <si>
    <t>Disponibilidade de dados históricos suficientes para treinamento;</t>
  </si>
  <si>
    <t>Uso de linguagem Python e bibliotecas de Machine Learning consolidadas;</t>
  </si>
  <si>
    <t>Infraestrutura em nuvem disponível durante todo o projeto;</t>
  </si>
  <si>
    <t>Equipe técnica com conhecimento prévio em análise de dados.</t>
  </si>
  <si>
    <t>Restrições (limites)</t>
  </si>
  <si>
    <t>Orçamento máximo de R$ 120.000,00;</t>
  </si>
  <si>
    <t>Prazo máximo de seis meses;</t>
  </si>
  <si>
    <t>Escopo limitado a um protótipo funcional (MVP);</t>
  </si>
  <si>
    <t>Não há inclusão de modelos avançados de Deep Learning nesta fase.</t>
  </si>
  <si>
    <t>Exclusões</t>
  </si>
  <si>
    <t>Desenvolvimento de interface gráfica própria para usuários finais;</t>
  </si>
  <si>
    <t>Implementação de sistemas de Big Data em larga escala;</t>
  </si>
  <si>
    <t>Integração com plataformas comerciais reais nesta fase inicial;</t>
  </si>
  <si>
    <t>Monitoramento em tempo real de comportamento de usuários.</t>
  </si>
  <si>
    <t>Comentários e informações relevantes para o desenvolvimento do projeto</t>
  </si>
  <si>
    <t>O projeto tem caráter acadêmico e experimental, com foco no aprendizado e aplicação prática de técnicas fundamentais de recomendação. 
O sistema será desenvolvido como protótipo funcional, visando demonstrar a viabilidade técnica da solução e seu potencial de aplicação futura em ambientes corporativos.</t>
  </si>
  <si>
    <t>4.1 Plano de ação detalhado da WBS (com dependência, tempo e recurso)</t>
  </si>
  <si>
    <t>Ref</t>
  </si>
  <si>
    <t xml:space="preserve">Etapas – Atividades - </t>
  </si>
  <si>
    <t>Dependência</t>
  </si>
  <si>
    <t xml:space="preserve">Data inicio </t>
  </si>
  <si>
    <t xml:space="preserve">Data termino </t>
  </si>
  <si>
    <t>Duração</t>
  </si>
  <si>
    <t>Responsável</t>
  </si>
  <si>
    <t xml:space="preserve">Recursos                                    </t>
  </si>
  <si>
    <t>Custos</t>
  </si>
  <si>
    <t>Obs</t>
  </si>
  <si>
    <t>Iniciação</t>
  </si>
  <si>
    <t>1.1</t>
  </si>
  <si>
    <t>Definir E Criar O Cronograma</t>
  </si>
  <si>
    <t>GERENTE DE PROJETO</t>
  </si>
  <si>
    <t>Gustavo</t>
  </si>
  <si>
    <t>-</t>
  </si>
  <si>
    <t>1.2</t>
  </si>
  <si>
    <t>Identificar As Principais Funcionalidades E Recursos A Serem Incluídos</t>
  </si>
  <si>
    <t>1.3</t>
  </si>
  <si>
    <t>Plano De Respostas E  Riscos</t>
  </si>
  <si>
    <t>1.4</t>
  </si>
  <si>
    <t>Plano De Qualidade</t>
  </si>
  <si>
    <t>João</t>
  </si>
  <si>
    <t>1.5</t>
  </si>
  <si>
    <t>Apresentação Dos Planos</t>
  </si>
  <si>
    <t>Acordos</t>
  </si>
  <si>
    <t>2.1</t>
  </si>
  <si>
    <t>Permissões E Restrições</t>
  </si>
  <si>
    <t>1.1;1.2;1.3</t>
  </si>
  <si>
    <t>Gabriela</t>
  </si>
  <si>
    <t>2.2</t>
  </si>
  <si>
    <t>Definir Os Requisitos Detalhados Do Site(Escopo)</t>
  </si>
  <si>
    <t>1.3;1.4</t>
  </si>
  <si>
    <t>2.3.1</t>
  </si>
  <si>
    <t>Pesquisa De Viabilidade</t>
  </si>
  <si>
    <t>1.3;1.4;1.5</t>
  </si>
  <si>
    <t>2.3.2</t>
  </si>
  <si>
    <t>Pesquisa Com Consumidores</t>
  </si>
  <si>
    <t>1.2;2.1</t>
  </si>
  <si>
    <t>2.3.3</t>
  </si>
  <si>
    <t>Avaliação De Custos</t>
  </si>
  <si>
    <t>Felipe</t>
  </si>
  <si>
    <t>2.3.4</t>
  </si>
  <si>
    <t>Relatorio De Viabilidade</t>
  </si>
  <si>
    <t>2.3.1;2.3.2;2.3.3</t>
  </si>
  <si>
    <t>2.4</t>
  </si>
  <si>
    <t>Revisão Do Project Charter</t>
  </si>
  <si>
    <t>1.1;1.2;1.3;2.2;2.3.1;2.3.2</t>
  </si>
  <si>
    <t>Rayane</t>
  </si>
  <si>
    <t>Design E Prototipagem</t>
  </si>
  <si>
    <t xml:space="preserve"> </t>
  </si>
  <si>
    <t>3.1</t>
  </si>
  <si>
    <t xml:space="preserve">Design Ui </t>
  </si>
  <si>
    <t>2.2;2.3.2;2.3.3</t>
  </si>
  <si>
    <t>DESIGN</t>
  </si>
  <si>
    <t>Marcela</t>
  </si>
  <si>
    <t>3.1.1</t>
  </si>
  <si>
    <t>Navegação Simples Entre As Funcionalidades</t>
  </si>
  <si>
    <t>1.2;3.1</t>
  </si>
  <si>
    <t>3.1.2</t>
  </si>
  <si>
    <t>Criar Protótipos Interativos Para Validar O Fluxo De Usuário</t>
  </si>
  <si>
    <t xml:space="preserve">1.2;3.1.;2.3.2 </t>
  </si>
  <si>
    <t>3.2</t>
  </si>
  <si>
    <t>Design Ux</t>
  </si>
  <si>
    <t>3.1;3.1.1</t>
  </si>
  <si>
    <t>Leandro</t>
  </si>
  <si>
    <t>3.2.1</t>
  </si>
  <si>
    <t>Interface Limpa E Intuitiva</t>
  </si>
  <si>
    <t>3.1;3.2</t>
  </si>
  <si>
    <t>3.2.2</t>
  </si>
  <si>
    <t>Teste De Ui / Ux</t>
  </si>
  <si>
    <t>3.1;3.1.1;3.1.2;3.2;3.2.1</t>
  </si>
  <si>
    <t>Desenvolvimento</t>
  </si>
  <si>
    <t>4.1</t>
  </si>
  <si>
    <t>Desenvolver A Arquitetura Do Site</t>
  </si>
  <si>
    <t>DESENVOLVIMENTO</t>
  </si>
  <si>
    <t>Eriane</t>
  </si>
  <si>
    <t>4.1.2</t>
  </si>
  <si>
    <t>Desenvolver O Código  Front-End</t>
  </si>
  <si>
    <t>3.2.2;4.1</t>
  </si>
  <si>
    <t>4.1.3</t>
  </si>
  <si>
    <t>Desenvolver O Código  Back-End</t>
  </si>
  <si>
    <t>4.1;4.1.2</t>
  </si>
  <si>
    <t>4.1.4</t>
  </si>
  <si>
    <t>Criar O Banco De Dados</t>
  </si>
  <si>
    <t>4.1;4.1.3</t>
  </si>
  <si>
    <t>Melissa</t>
  </si>
  <si>
    <t>4.2</t>
  </si>
  <si>
    <t>Desenvolver Principais Módulos</t>
  </si>
  <si>
    <t>4.2.1</t>
  </si>
  <si>
    <t>Módulo De Cadastro De Currículo</t>
  </si>
  <si>
    <t>4.1;4.1.3;4.2</t>
  </si>
  <si>
    <t>4.2.2</t>
  </si>
  <si>
    <t>Desenvolver O Gerador De Match</t>
  </si>
  <si>
    <t>4.1;4.1.3;4.1.4;4.2.1</t>
  </si>
  <si>
    <t>Leonardo</t>
  </si>
  <si>
    <t>4.2.3</t>
  </si>
  <si>
    <t xml:space="preserve">Desenvolver O Cadastro De Vagas </t>
  </si>
  <si>
    <t>4.2.4</t>
  </si>
  <si>
    <t>Integração De Apis</t>
  </si>
  <si>
    <t>4.1.3;4.1.4</t>
  </si>
  <si>
    <t>Integração Com Sistemas De Vagas De Empregos</t>
  </si>
  <si>
    <t>5.0</t>
  </si>
  <si>
    <t xml:space="preserve">Integração Com Diversos Sistemas De Vagas De Empregos </t>
  </si>
  <si>
    <t>SEGURANÇA</t>
  </si>
  <si>
    <t>Bianca</t>
  </si>
  <si>
    <t>5.1</t>
  </si>
  <si>
    <t xml:space="preserve">Integração Com Sistemas De Monitoramento </t>
  </si>
  <si>
    <t>4.1.4;4.2.2;4.2.3</t>
  </si>
  <si>
    <t>5.2</t>
  </si>
  <si>
    <t xml:space="preserve">Garantir A Segurança E Privacidade De Cada Usuarios </t>
  </si>
  <si>
    <t>4.1.2;4.1;3;4.2.1;4.2.3</t>
  </si>
  <si>
    <t>5.3</t>
  </si>
  <si>
    <t>Testar A Integração E Sincronização De Dados</t>
  </si>
  <si>
    <t>4.1.4;4.2.4;5.0;5.1</t>
  </si>
  <si>
    <t>Testes</t>
  </si>
  <si>
    <t>6.1</t>
  </si>
  <si>
    <t>Realizar Testes De Qualidade E Desempenho</t>
  </si>
  <si>
    <t>QUALIDADE</t>
  </si>
  <si>
    <t>Erik</t>
  </si>
  <si>
    <t>6.2</t>
  </si>
  <si>
    <t>Testar A Usabilidade Do Site Com Usuários Reais</t>
  </si>
  <si>
    <t>4.1;4.1.2;4.1.3;4.1.4;4.2.4</t>
  </si>
  <si>
    <t>6.3</t>
  </si>
  <si>
    <t>Indentificar E Corrigir Bugs E Problemas De Interface</t>
  </si>
  <si>
    <t>5.3;6.1;6.2</t>
  </si>
  <si>
    <t>Lançamento (Stakeholders Internos)</t>
  </si>
  <si>
    <t>7.1</t>
  </si>
  <si>
    <t>Realizar Campanhas De Mídia Social E Anúncios Online</t>
  </si>
  <si>
    <t>1.2;1.5</t>
  </si>
  <si>
    <t>EQUIPE TÉCNICA</t>
  </si>
  <si>
    <t>Lucas</t>
  </si>
  <si>
    <t>7.2</t>
  </si>
  <si>
    <t>Criar Materiais De Marketing Digital Para Aumentar A Visibilidade Do Site</t>
  </si>
  <si>
    <t>7.3</t>
  </si>
  <si>
    <t xml:space="preserve">Submeter O Site Para Revisão Dos Usuários </t>
  </si>
  <si>
    <t>4.1.2;4.1;3;4.1.4;4.2.1;4.2.2;4.2.3;4.2.4;5.0;5.1;5.2;5.3</t>
  </si>
  <si>
    <t>Pós-Lançamento (Stakeholders Internos)</t>
  </si>
  <si>
    <t>8.1</t>
  </si>
  <si>
    <t>Coletar Insights Do Grupo De Teste E Analisar Métricas De Engajamento Do Produto.</t>
  </si>
  <si>
    <t>Kauã</t>
  </si>
  <si>
    <t>.</t>
  </si>
  <si>
    <t>8.2</t>
  </si>
  <si>
    <t>Implementar Ciclos De Atualização Para Integração De Novas Features E Otimização Do Sistema.</t>
  </si>
  <si>
    <t>8.3</t>
  </si>
  <si>
    <t>Prestar Suporte Técnico Para Garantir A Resolução De Incidentes E O Sucesso Do Usuário.</t>
  </si>
  <si>
    <t xml:space="preserve">Marketing E Divulgação - Para O Mercado </t>
  </si>
  <si>
    <t>9.1</t>
  </si>
  <si>
    <t>Criar Estratégias De Marketing Digital Para Aumentar A Visibilidade Do Site</t>
  </si>
  <si>
    <t>Marketing</t>
  </si>
  <si>
    <t>Isabela</t>
  </si>
  <si>
    <t>9.2</t>
  </si>
  <si>
    <t xml:space="preserve">Colaborar Com Empresas </t>
  </si>
  <si>
    <t>9.3</t>
  </si>
  <si>
    <t>Avaliação E Aperfeiçoamento</t>
  </si>
  <si>
    <t>10.1</t>
  </si>
  <si>
    <t>Realizar Análise Regular Sobre O Desempenho Do Site</t>
  </si>
  <si>
    <t>4.1.2;4.1;3;4.1.4;4.2.1;4.2.2;4.2.3;4.2.4;5.0;5.1;5.2;5.3;7.3</t>
  </si>
  <si>
    <t>DESEMPENHO</t>
  </si>
  <si>
    <t>Carlos</t>
  </si>
  <si>
    <t>10.2</t>
  </si>
  <si>
    <t xml:space="preserve">Coletar Feedback E Implementação De Melhorias </t>
  </si>
  <si>
    <t>7.3;8.1;8.2;8.3</t>
  </si>
  <si>
    <t>10.3</t>
  </si>
  <si>
    <t xml:space="preserve">Adaptação De Mercado </t>
  </si>
  <si>
    <t>Expansão</t>
  </si>
  <si>
    <t>11.1</t>
  </si>
  <si>
    <t xml:space="preserve">Análise De Expansão Do Mercado </t>
  </si>
  <si>
    <t>11.2</t>
  </si>
  <si>
    <t xml:space="preserve">Desenvolvimento De Parcerias </t>
  </si>
  <si>
    <t>11.3</t>
  </si>
  <si>
    <t xml:space="preserve">Desenvolvimento De Versões De Assinatura </t>
  </si>
  <si>
    <t>11.1;11.2</t>
  </si>
  <si>
    <t>TOTAL</t>
  </si>
  <si>
    <t>4.2 Plano de ação detalhado da WBS (com dependência, tempo e recurso)</t>
  </si>
  <si>
    <t>Duração em dias</t>
  </si>
  <si>
    <t>Conclusão</t>
  </si>
  <si>
    <t>1ª</t>
  </si>
  <si>
    <t>2ª</t>
  </si>
  <si>
    <t>Revisão Do Prject Charter</t>
  </si>
  <si>
    <t>Desenvolver O Código  Front-And</t>
  </si>
  <si>
    <t>5.4</t>
  </si>
  <si>
    <t>Preparar A Infraestrutura Para O Lançamento(Onde Iremos Postar)</t>
  </si>
  <si>
    <t>Criar Estratégias E Materiais De Marketing Digital Para Aumentar A Visibilidade Do Site</t>
  </si>
  <si>
    <t>Submeter O Site Para Revisão Dos Usuários</t>
  </si>
  <si>
    <t xml:space="preserve">Coletar Insights Do Grupo De Teste E Analisar Métricas De Engajamento Do Produto </t>
  </si>
  <si>
    <t xml:space="preserve">Implementar Ciclos De Atualização Para Integração De Novas Feactures E Otimização </t>
  </si>
  <si>
    <t>MARKETING</t>
  </si>
  <si>
    <t xml:space="preserve">Realizar Campanhas De Mídia Social E Anúncios Onlines </t>
  </si>
  <si>
    <t>EQUIPE DESEMPENHO</t>
  </si>
  <si>
    <t xml:space="preserve">Monetização Desenvolvimento De Versões De Assinatura </t>
  </si>
  <si>
    <t>SAM</t>
  </si>
  <si>
    <t>SRM</t>
  </si>
  <si>
    <t>Stakeholder</t>
  </si>
  <si>
    <t>Objetivos</t>
  </si>
  <si>
    <t>Metas (4 meses)</t>
  </si>
  <si>
    <t>Motivações e Interesses</t>
  </si>
  <si>
    <t>Poder e Influência</t>
  </si>
  <si>
    <t>Importância e Impacto</t>
  </si>
  <si>
    <t>Papéis e Responsabilidades</t>
  </si>
  <si>
    <t>Sintonia "Fina"</t>
  </si>
  <si>
    <t>Área de Interesse</t>
  </si>
  <si>
    <t>Nível de Detalhe</t>
  </si>
  <si>
    <t>Formato</t>
  </si>
  <si>
    <t>Frequência</t>
  </si>
  <si>
    <t>Mecanismo de Entrega</t>
  </si>
  <si>
    <t>Cliente (Desempregados e Transição)</t>
  </si>
  <si>
    <t>Conseguir o match com as 10 melhores vagas e cursos recomendados.</t>
  </si>
  <si>
    <t>Cadastro finalizado; Visualizar 10 vagas; Acessar links de cursos.</t>
  </si>
  <si>
    <t>Recolocação rápida ou transição de carreira assertiva.</t>
  </si>
  <si>
    <t>Influenciam o sucesso através do uso e avaliações.</t>
  </si>
  <si>
    <t>Cruciais para a aceitação social da plataforma.</t>
  </si>
  <si>
    <t>Usar o app; Candidatar-se às vagas; Fornecer feedback.</t>
  </si>
  <si>
    <t>Candidatos: Garantir que o match seja preciso e o curso útil.</t>
  </si>
  <si>
    <t>Precisão do algoritmo de match e qualidade dos cursos.</t>
  </si>
  <si>
    <t>Relatórios concisos e guias informativos "passo a passo".</t>
  </si>
  <si>
    <t>Notificações push e e-mail marketing.</t>
  </si>
  <si>
    <t>Semanal ou imediata (alertas de vagas).</t>
  </si>
  <si>
    <t>Interface do App, E-mail e WhatsApp.</t>
  </si>
  <si>
    <t>Product Owner (PO)</t>
  </si>
  <si>
    <t>Lançar o produto funcional com algoritmo de match e indicação de cursos.</t>
  </si>
  <si>
    <t>Lançamento em 120 dias; Integração com fontes de vagas.</t>
  </si>
  <si>
    <t>Sucesso do produto; Inovação em RH Social.</t>
  </si>
  <si>
    <t>Determina as prioridades e o escopo de cada Sprint.</t>
  </si>
  <si>
    <t>Fundamental para cumprir o cronograma curto.</t>
  </si>
  <si>
    <t>Definir o produto; Priorizar o backlog; Decidir rumos.</t>
  </si>
  <si>
    <t>Alinhar o desenvolvimento com as necessidades do mercado.</t>
  </si>
  <si>
    <t>Métricas de engajamento, status das sprints e riscos.</t>
  </si>
  <si>
    <t>Relatórios detalhados com métricas e análise de tendências.</t>
  </si>
  <si>
    <t>Dashboard no Power BI2 e reuniões mensais de revisão.</t>
  </si>
  <si>
    <t>Dailies e reuniões do Scrum.</t>
  </si>
  <si>
    <t>Teams e reuniões remotas.</t>
  </si>
  <si>
    <t>Desenvolvedores</t>
  </si>
  <si>
    <t>Implementar o motor de busca automatizada de oportunidades e a lógica de recomendação personalizada para usuários em transição e entrada no mercado.</t>
  </si>
  <si>
    <t>Código estável; Integração de APIs de vagas e cursos; Segurança LGPD.</t>
  </si>
  <si>
    <t>Desenvolvimento técnico e aprendizado de novas tecnologias.</t>
  </si>
  <si>
    <t>Impactam diretamente na qualidade e rapidez da entrega.</t>
  </si>
  <si>
    <t>Alta importância: o time técnico dita o ritmo dos 4 meses.</t>
  </si>
  <si>
    <t>Escrever código; Testar algoritmos de match; Resolver bugs.</t>
  </si>
  <si>
    <t>Colaboração eficaz com PO e UX para evitar retrabalho.</t>
  </si>
  <si>
    <t>Documentação técnica, correções de bugs, novas APIs.</t>
  </si>
  <si>
    <t>Comunicados claros e específicos sobre o que desenvolver.</t>
  </si>
  <si>
    <t>Dailies e alinhamentos semanais (Scrum/Kanban).</t>
  </si>
  <si>
    <t>Diária (Dailies) e reuniões do Scrum.</t>
  </si>
  <si>
    <t xml:space="preserve"> GitHub e reuniões virtuais.</t>
  </si>
  <si>
    <t>Time Comercial / Parcerias</t>
  </si>
  <si>
    <t>Garantir que o fluxo de cadastro e o "match" sejam intuitivos.</t>
  </si>
  <si>
    <t>Protótipo validado; Jornada de usuário fluida para desempregados.</t>
  </si>
  <si>
    <t>Satisfação do usuário e facilidade de navegação.</t>
  </si>
  <si>
    <t>Impactam na retenção do usuário no primeiro acesso.</t>
  </si>
  <si>
    <t>Vital para que o usuário não abandone o cadastro longo.</t>
  </si>
  <si>
    <t>Desenvolver interfaces; Testar usabilidade; Criar fluxos.</t>
  </si>
  <si>
    <t>Focar na clareza do "porquê" de cada vaga e curso indicado.</t>
  </si>
  <si>
    <t>Feedback do usuário, testes de usabilidade e protótipos.</t>
  </si>
  <si>
    <t>Relatórios de testes e propostas de melhorias de design.</t>
  </si>
  <si>
    <t>Figma, Miro e alinhamentos semanais de sprint.</t>
  </si>
  <si>
    <t>Semanal para ciclos de ajuste rápido.</t>
  </si>
  <si>
    <t>Figma e reuniões virtuais.</t>
  </si>
  <si>
    <t>Oferecer conteúdo de qualificação para preencher as lacunas dos usuários.</t>
  </si>
  <si>
    <t>Garantir links ativos para cursos recomendados no app.</t>
  </si>
  <si>
    <t>Conversão de novos alunos e visibilidade da marca.</t>
  </si>
  <si>
    <t>Influenciam a qualidade da solução de "transição".</t>
  </si>
  <si>
    <t>Complementam a oferta de valor do ecossistema.</t>
  </si>
  <si>
    <t>Fornecer APIs/Links de cursos; Atualizar catálogo.</t>
  </si>
  <si>
    <t>Alinhamento com a estratégia de recomendação de cursos.</t>
  </si>
  <si>
    <t>Métricas de clique nos cursos e lacunas de competência.</t>
  </si>
  <si>
    <t>Resumos claros e acionáveis sobre interesse de cursos.</t>
  </si>
  <si>
    <t>E-mails semanais e reuniões de alinhamento.</t>
  </si>
  <si>
    <t>Semanal ou mensal (conforme a tração).</t>
  </si>
  <si>
    <t>Reuniões virtuais e e-mails informativos.</t>
  </si>
  <si>
    <t>UX (User Experience)</t>
  </si>
  <si>
    <t>Protótipo validado; Jornada de usuário fluida para jovens (1º emprego) e experientes.</t>
  </si>
  <si>
    <t>Código estável; Integração de APIs de vagas; Segurança LGPD.</t>
  </si>
  <si>
    <t>Sucesso da marca; Redução de índices de desemprego.</t>
  </si>
  <si>
    <t>Moldam o orçamento e a visão macro do projeto.</t>
  </si>
  <si>
    <t>Determinam o futuro e a continuidade do produto.</t>
  </si>
  <si>
    <t>Alocar recursos; Tomar decisões de alto nível; Definir metas.</t>
  </si>
  <si>
    <t>Garantir a usabilidade e satisfação do usuário na jornada de 120 dias.</t>
  </si>
  <si>
    <t>Resultados gerais do projeto e conformidade estratégica.</t>
  </si>
  <si>
    <t>Relatórios de alto nível com métricas-chave de sucesso.</t>
  </si>
  <si>
    <t>Relatórios executivos e apresentações mensais.</t>
  </si>
  <si>
    <t>Mensal para revisão executiva de progresso.</t>
  </si>
  <si>
    <t>Reuniões presenciais ou virtuais e PowerPoint.</t>
  </si>
  <si>
    <t>Equipe de Suporte</t>
  </si>
  <si>
    <t>Garantir que o fluxo de cadastro e o "match" sejam intuitivos para todos.</t>
  </si>
  <si>
    <t>Protótipo validado; Jornada de usuário fluida para jovens e experientes.</t>
  </si>
  <si>
    <t>Satisfação do cliente; Melhoria contínua do suporte.</t>
  </si>
  <si>
    <t>Impactam na retenção e imagem da marca.</t>
  </si>
  <si>
    <t>Mantêm os candidatos confiantes e engajados.</t>
  </si>
  <si>
    <t>Responder dúvidas; Coletar feedback de bugs reais.</t>
  </si>
  <si>
    <t>Fornecer suporte eficaz para manter os usuários satisfeitos.</t>
  </si>
  <si>
    <t>Problemas recorrentes, dificuldades com o gerador de PDF.</t>
  </si>
  <si>
    <t>Relatórios resumidos de problemas e solicitações.</t>
  </si>
  <si>
    <t>Reuniões mensais no Teams e resumos por e-mail.</t>
  </si>
  <si>
    <t>Mensal para revisão; Semanal para ajustes rápidos.</t>
  </si>
  <si>
    <t>Teams e e-mails informativos.</t>
  </si>
  <si>
    <t>Gerência Executiva / Alta Adm.</t>
  </si>
  <si>
    <t>Apoiar usuários com dificuldades técnicas no uso da plataforma.</t>
  </si>
  <si>
    <t>FAQ atualizado; Baixo tempo de resposta; Resolução de tickets.</t>
  </si>
  <si>
    <t>Sucesso da empresa; Impacto no índice de desemprego.</t>
  </si>
  <si>
    <t>Moldam a percepção da marca perante a sociedade.</t>
  </si>
  <si>
    <t>Determinam o curso do projeto e seu financiamento.</t>
  </si>
  <si>
    <t>Estabelecer metas macro; Alocar recursos; Decidir pivotagem.</t>
  </si>
  <si>
    <t>Alinhamento Estratégico: Garantir que o projeto traga o impacto social esperado e retorno sobre o investimento.</t>
  </si>
  <si>
    <t>Resultados gerais, conformidade e desempenho financeiro.</t>
  </si>
  <si>
    <t>Relatórios de alto nível com métricas-chave (KPIs).</t>
  </si>
  <si>
    <t>Reuniões de revisão executiva e dashboards (Power BI / PowerPoint).</t>
  </si>
  <si>
    <t>Reuniões presenciais/virtuais e relatórios executivos.</t>
  </si>
  <si>
    <t>Projeto para construir um Software</t>
  </si>
  <si>
    <t>Legenda do NÓ</t>
  </si>
  <si>
    <t>Diagrama de seta</t>
  </si>
  <si>
    <t>modelo</t>
  </si>
  <si>
    <t>Atividade fantasma</t>
  </si>
  <si>
    <t>Quantos Dias dura o projeto?</t>
  </si>
  <si>
    <t>atividade</t>
  </si>
  <si>
    <t>duração</t>
  </si>
  <si>
    <t>PDI -Primeiro dia de início</t>
  </si>
  <si>
    <t>PDT - Primeito dia de término</t>
  </si>
  <si>
    <t>PDI</t>
  </si>
  <si>
    <t>PDT</t>
  </si>
  <si>
    <t>UDI - Último dia de início</t>
  </si>
  <si>
    <t>UDT - Último dia de término</t>
  </si>
  <si>
    <t>UDI</t>
  </si>
  <si>
    <t>UDT</t>
  </si>
  <si>
    <t>FL-Folgas Livres</t>
  </si>
  <si>
    <t>FT-Folgas totais</t>
  </si>
  <si>
    <t>FL</t>
  </si>
  <si>
    <t>FT</t>
  </si>
  <si>
    <t>É o caminho crítico</t>
  </si>
  <si>
    <t>Atividade Fanstasma</t>
  </si>
  <si>
    <t>Dias</t>
  </si>
  <si>
    <t>descrição</t>
  </si>
  <si>
    <t>Atividade</t>
  </si>
  <si>
    <t>Ideação</t>
  </si>
  <si>
    <t>A</t>
  </si>
  <si>
    <t>B</t>
  </si>
  <si>
    <t>E</t>
  </si>
  <si>
    <t>Requisitos</t>
  </si>
  <si>
    <t>UX</t>
  </si>
  <si>
    <t>C</t>
  </si>
  <si>
    <t>F</t>
  </si>
  <si>
    <t>H</t>
  </si>
  <si>
    <t>Teste</t>
  </si>
  <si>
    <t>D</t>
  </si>
  <si>
    <t>B,C</t>
  </si>
  <si>
    <t>Verificação</t>
  </si>
  <si>
    <t>B,C,D</t>
  </si>
  <si>
    <t>Validação</t>
  </si>
  <si>
    <t>G</t>
  </si>
  <si>
    <t>C,D</t>
  </si>
  <si>
    <t>Apresentação dos planos</t>
  </si>
  <si>
    <t>E,F,G</t>
  </si>
  <si>
    <t>Permissões e restrições</t>
  </si>
  <si>
    <t>I</t>
  </si>
  <si>
    <t>Definir os requisitos detalhados do site(escopo)</t>
  </si>
  <si>
    <t>J</t>
  </si>
  <si>
    <t>Pesquisa de viabilidade</t>
  </si>
  <si>
    <t>K</t>
  </si>
  <si>
    <t>Pesquisa com consumidores</t>
  </si>
  <si>
    <t>L</t>
  </si>
  <si>
    <t>Avaliação de custos</t>
  </si>
  <si>
    <t>M</t>
  </si>
  <si>
    <t>Relatorio de viabilidade</t>
  </si>
  <si>
    <t>N</t>
  </si>
  <si>
    <t xml:space="preserve">INTEGRAÇÃO COM SISTEMAS DE MONITORAMENTO </t>
  </si>
  <si>
    <t>O</t>
  </si>
  <si>
    <t>CRIAÇÃO DE CRONOGRAMAS E METAS</t>
  </si>
  <si>
    <t>P</t>
  </si>
  <si>
    <t>Revisão do prject charter</t>
  </si>
  <si>
    <t>Q</t>
  </si>
  <si>
    <t xml:space="preserve">DESIGN UI </t>
  </si>
  <si>
    <t>R</t>
  </si>
  <si>
    <t>Navegação simples entre as funcionalidades</t>
  </si>
  <si>
    <t>S</t>
  </si>
  <si>
    <t>Criar protótipos interativos para validar o fluxo de usuário</t>
  </si>
  <si>
    <t>T</t>
  </si>
  <si>
    <t>Saúde e bem-estar na palma da sua mão</t>
  </si>
  <si>
    <t>Insira o nome do Líder do projeto na célula B3. Insira a data de Início do projeto na célula E3. Início do projeto: o rótulo está na célula C3.</t>
  </si>
  <si>
    <t>Líder do projeto:
Gerente de Projeto</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</si>
  <si>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</si>
  <si>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</si>
  <si>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</si>
  <si>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</si>
  <si>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</si>
  <si>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</si>
  <si>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</si>
  <si>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</si>
  <si>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</si>
  <si>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</si>
  <si>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</si>
  <si>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</si>
  <si>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</si>
  <si>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</si>
  <si>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Definir os objetivos do aplicativo e sua proposta de valor</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</si>
  <si>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</si>
  <si>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Tarefa 2</t>
  </si>
  <si>
    <t>Tarefa 3</t>
  </si>
  <si>
    <t>Tarefa 4</t>
  </si>
  <si>
    <t>Tarefa 5</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</si>
  <si>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</si>
  <si>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Título Fase 2</t>
  </si>
  <si>
    <t>Tarefa 1</t>
  </si>
  <si>
    <t>Bloco de título de fase de exemplo</t>
  </si>
  <si>
    <t>Título Fase 3</t>
  </si>
  <si>
    <t>Título Fase 4</t>
  </si>
  <si>
    <t>data</t>
  </si>
  <si>
    <t>Esta é uma linha vazia</t>
  </si>
  <si>
    <t>Esta linha marca o final do Cronograma do projeto. NÃO insira nada nessa linha. 
Insira novas linhas ACIMA desta linha para continuar a construção do cronograma de projeto.</t>
  </si>
  <si>
    <t>Insira novas linhas ACIMA desta</t>
  </si>
  <si>
    <t>Soma de Custos</t>
  </si>
  <si>
    <t>5.2. CRONOGRAMA DE CUSTOS</t>
  </si>
  <si>
    <t>Etapas – Atividades - Marcos</t>
  </si>
  <si>
    <t>Agosto</t>
  </si>
  <si>
    <t>Setembro</t>
  </si>
  <si>
    <t>Outubro</t>
  </si>
  <si>
    <t>Novembro</t>
  </si>
  <si>
    <t>Dezembro</t>
  </si>
  <si>
    <t>Janeiro</t>
  </si>
  <si>
    <t>Plano do Projeto</t>
  </si>
  <si>
    <t>Controle</t>
  </si>
  <si>
    <t>Fechamento</t>
  </si>
  <si>
    <t>Adequar o Espaço Físico</t>
  </si>
  <si>
    <t>Equipamentos de Ginástica</t>
  </si>
  <si>
    <t>Equipamentos de Apoio e Administração</t>
  </si>
  <si>
    <t>Contratar Mão de Obra</t>
  </si>
  <si>
    <t>Contratar empresa para informatização da academia</t>
  </si>
  <si>
    <t>Adquirir Sistemas de Segurança</t>
  </si>
  <si>
    <t>Fechar Convênio com Estacionamento próximo ao local</t>
  </si>
  <si>
    <t>Contratação de Designer de Interiores</t>
  </si>
  <si>
    <t>(vazio)</t>
  </si>
  <si>
    <t>Total 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</si>
</sst>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R$&quot;\ #,##0.00;[Red]\-&quot;R$&quot;\ #,##0.00"/>
    <numFmt numFmtId="164" formatCode="_(&quot;R$ &quot;* #,##0.00_);_(&quot;R$ &quot;* \(#,##0.00\);_(&quot;R$ &quot;* &quot;-&quot;??_);_(@_)"/>
    <numFmt numFmtId="165" formatCode="&quot;R$&quot;\ #,##0.00"/>
    <numFmt numFmtId="166" formatCode="ddd\,\ dd/mm/yyyy"/>
    <numFmt numFmtId="167" formatCode="d\-mmm\-yyyy"/>
    <numFmt numFmtId="168" formatCode="d"/>
    <numFmt numFmtId="169" formatCode="d/m/yy"/>
  </numFmts>
  <fonts count="42" x14ac:knownFonts="1">
    <font>
      <sz val="10"/>
      <color rgb="FF000000"/>
      <name val="Arial"/>
      <scheme val="minor"/>
    </font>
    <font>
      <sz val="10"/>
      <color theme="1"/>
      <name val="Arial"/>
    </font>
    <font>
      <sz val="12"/>
      <color theme="1"/>
      <name val="Arial"/>
    </font>
    <font>
      <b/>
      <sz val="12"/>
      <color theme="1"/>
      <name val="Arial"/>
    </font>
    <font>
      <sz val="12"/>
      <color rgb="FF0070C0"/>
      <name val="Arial"/>
    </font>
    <font>
      <b/>
      <sz val="13"/>
      <color theme="1"/>
      <name val="Times New Roman"/>
    </font>
    <font>
      <b/>
      <sz val="18"/>
      <color rgb="FFE36C09"/>
      <name val="Arial"/>
    </font>
    <font>
      <b/>
      <sz val="20"/>
      <color theme="4"/>
      <name val="Arial"/>
    </font>
    <font>
      <sz val="9"/>
      <color theme="1"/>
      <name val="Arial"/>
    </font>
    <font>
      <b/>
      <sz val="10"/>
      <color theme="1"/>
      <name val="Arial"/>
    </font>
    <font>
      <b/>
      <sz val="14"/>
      <color theme="1"/>
      <name val="Arial"/>
    </font>
    <font>
      <sz val="12"/>
      <color rgb="FF374151"/>
      <name val="Arial"/>
    </font>
    <font>
      <sz val="11"/>
      <color theme="1"/>
      <name val="Arial"/>
    </font>
    <font>
      <b/>
      <sz val="11"/>
      <color theme="1"/>
      <name val="Arial"/>
    </font>
    <font>
      <b/>
      <sz val="9"/>
      <color theme="1"/>
      <name val="Arial"/>
    </font>
    <font>
      <sz val="9"/>
      <color theme="1"/>
      <name val="Times New Roman"/>
    </font>
    <font>
      <sz val="10"/>
      <color theme="1"/>
      <name val="Times New Roman"/>
    </font>
    <font>
      <sz val="11"/>
      <color rgb="FFE6E8F0"/>
      <name val="Courier New"/>
    </font>
    <font>
      <b/>
      <sz val="10"/>
      <color theme="1"/>
      <name val="Calibri"/>
    </font>
    <font>
      <sz val="10"/>
      <name val="Arial"/>
    </font>
    <font>
      <sz val="10"/>
      <color theme="1"/>
      <name val="Calibri"/>
    </font>
    <font>
      <b/>
      <sz val="12"/>
      <color rgb="FF1F1F1F"/>
      <name val="Arial"/>
    </font>
    <font>
      <sz val="12"/>
      <color rgb="FF1F1F1F"/>
      <name val="Arial"/>
    </font>
    <font>
      <b/>
      <sz val="18"/>
      <color theme="1"/>
      <name val="Arial"/>
    </font>
    <font>
      <sz val="10"/>
      <color rgb="FFFF0000"/>
      <name val="Arial"/>
    </font>
    <font>
      <sz val="8"/>
      <color theme="1"/>
      <name val="Arial"/>
    </font>
    <font>
      <sz val="11"/>
      <color theme="0"/>
      <name val="Calibri"/>
    </font>
    <font>
      <b/>
      <sz val="18"/>
      <color rgb="FF1F497D"/>
      <name val="Cambria"/>
    </font>
    <font>
      <b/>
      <sz val="20"/>
      <color rgb="FF366092"/>
      <name val="Cambria"/>
    </font>
    <font>
      <b/>
      <sz val="13"/>
      <color rgb="FF1F497D"/>
      <name val="Calibri"/>
    </font>
    <font>
      <b/>
      <sz val="11"/>
      <color rgb="FF1F497D"/>
      <name val="Calibri"/>
    </font>
    <font>
      <sz val="11"/>
      <color theme="1"/>
      <name val="Calibri"/>
    </font>
    <font>
      <sz val="9"/>
      <color theme="1"/>
      <name val="Calibri"/>
    </font>
    <font>
      <b/>
      <sz val="9"/>
      <color theme="0"/>
      <name val="Calibri"/>
    </font>
    <font>
      <sz val="8"/>
      <color theme="0"/>
      <name val="Calibri"/>
    </font>
    <font>
      <b/>
      <sz val="11"/>
      <color theme="1"/>
      <name val="Calibri"/>
    </font>
    <font>
      <i/>
      <sz val="9"/>
      <color theme="1"/>
      <name val="Calibri"/>
    </font>
    <font>
      <sz val="10"/>
      <color rgb="FF7F7F7F"/>
      <name val="Calibri"/>
    </font>
    <font>
      <b/>
      <sz val="11"/>
      <color rgb="FF7F7F7F"/>
      <name val="Calibri"/>
    </font>
    <font>
      <sz val="10"/>
      <color rgb="FF7F7F7F"/>
      <name val="Arial"/>
    </font>
    <font>
      <b/>
      <sz val="12"/>
      <color rgb="FFFFFFFF"/>
      <name val="Times New Roman"/>
    </font>
    <font>
      <sz val="12"/>
      <color theme="1"/>
      <name val="Times New Roman"/>
    </font>
  </fonts>
  <fills count="23">
    <fill>
      <patternFill patternType="none"/>
    </fill>
    <fill>
      <patternFill patternType="gray125"/>
    </fill>
    <fill>
      <patternFill patternType="solid">
        <fgColor rgb="FF8DB3E2"/>
        <bgColor rgb="FF8DB3E2"/>
      </patternFill>
    </fill>
    <fill>
      <patternFill patternType="solid">
        <fgColor rgb="FFFABF8F"/>
        <bgColor rgb="FFFABF8F"/>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C6D9F0"/>
        <bgColor rgb="FFC6D9F0"/>
      </patternFill>
    </fill>
    <fill>
      <patternFill patternType="solid">
        <fgColor rgb="FFD99594"/>
        <bgColor rgb="FFD99594"/>
      </patternFill>
    </fill>
    <fill>
      <patternFill patternType="solid">
        <fgColor rgb="FFDBE5F1"/>
        <bgColor rgb="FFDBE5F1"/>
      </patternFill>
    </fill>
    <fill>
      <patternFill patternType="solid">
        <fgColor rgb="FFFBD4B4"/>
        <bgColor rgb="FFFBD4B4"/>
      </patternFill>
    </fill>
    <fill>
      <patternFill patternType="solid">
        <fgColor rgb="FFB8CCE4"/>
        <bgColor rgb="FFB8CCE4"/>
      </patternFill>
    </fill>
    <fill>
      <patternFill patternType="solid">
        <fgColor rgb="FFD8D8D8"/>
        <bgColor rgb="FFD8D8D8"/>
      </patternFill>
    </fill>
    <fill>
      <patternFill patternType="solid">
        <fgColor rgb="FF595959"/>
        <bgColor rgb="FF595959"/>
      </patternFill>
    </fill>
    <fill>
      <patternFill patternType="solid">
        <fgColor rgb="FFE5B8B7"/>
        <bgColor rgb="FFE5B8B7"/>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CCC0D9"/>
        <bgColor rgb="FFCCC0D9"/>
      </patternFill>
    </fill>
    <fill>
      <patternFill patternType="solid">
        <fgColor rgb="FFE5DFEC"/>
        <bgColor rgb="FFE5DFEC"/>
      </patternFill>
    </fill>
    <fill>
      <patternFill patternType="solid">
        <fgColor rgb="FFF2F2F2"/>
        <bgColor rgb="FFF2F2F2"/>
      </patternFill>
    </fill>
    <fill>
      <patternFill patternType="solid">
        <fgColor rgb="FF003366"/>
        <bgColor rgb="FF003366"/>
      </patternFill>
    </fill>
    <fill>
      <patternFill patternType="solid">
        <fgColor rgb="FF333399"/>
        <bgColor rgb="FF333399"/>
      </patternFill>
    </fill>
  </fills>
  <borders count="101">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n">
        <color rgb="FF1F497D"/>
      </right>
      <top style="medium">
        <color rgb="FF000000"/>
      </top>
      <bottom style="medium">
        <color rgb="FF000000"/>
      </bottom>
      <diagonal/>
    </border>
    <border>
      <left style="thin">
        <color rgb="FF1F497D"/>
      </left>
      <right style="thin">
        <color rgb="FF1F497D"/>
      </right>
      <top style="medium">
        <color rgb="FF000000"/>
      </top>
      <bottom style="medium">
        <color rgb="FF000000"/>
      </bottom>
      <diagonal/>
    </border>
    <border>
      <left style="thin">
        <color rgb="FF1F497D"/>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style="thin">
        <color rgb="FF000000"/>
      </left>
      <right style="thin">
        <color rgb="FF000000"/>
      </right>
      <top style="medium">
        <color rgb="FF000000"/>
      </top>
      <bottom/>
      <diagonal/>
    </border>
    <border>
      <left/>
      <right style="thin">
        <color rgb="FF1F497D"/>
      </right>
      <top style="medium">
        <color rgb="FF000000"/>
      </top>
      <bottom/>
      <diagonal/>
    </border>
    <border>
      <left style="thin">
        <color rgb="FF1F497D"/>
      </left>
      <right style="thin">
        <color rgb="FF1F497D"/>
      </right>
      <top style="medium">
        <color rgb="FF000000"/>
      </top>
      <bottom/>
      <diagonal/>
    </border>
    <border>
      <left style="thin">
        <color rgb="FF1F497D"/>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top/>
      <bottom/>
      <diagonal/>
    </border>
    <border>
      <left style="thin">
        <color rgb="FF000000"/>
      </left>
      <right style="thin">
        <color rgb="FF000000"/>
      </right>
      <top/>
      <bottom/>
      <diagonal/>
    </border>
    <border>
      <left style="hair">
        <color rgb="FF000000"/>
      </left>
      <right style="hair">
        <color rgb="FF000000"/>
      </right>
      <top/>
      <bottom/>
      <diagonal/>
    </border>
    <border>
      <left style="hair">
        <color rgb="FF000000"/>
      </left>
      <right style="medium">
        <color rgb="FF000000"/>
      </right>
      <top/>
      <bottom/>
      <diagonal/>
    </border>
    <border>
      <left style="thin">
        <color rgb="FF1F497D"/>
      </left>
      <right style="thin">
        <color rgb="FF1F497D"/>
      </right>
      <top/>
      <bottom/>
      <diagonal/>
    </border>
    <border>
      <left style="thin">
        <color rgb="FF1F497D"/>
      </left>
      <right style="medium">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thick">
        <color rgb="FFA6BFDD"/>
      </bottom>
      <diagonal/>
    </border>
    <border>
      <left/>
      <right/>
      <top/>
      <bottom style="medium">
        <color rgb="FF95B3D7"/>
      </bottom>
      <diagonal/>
    </border>
    <border>
      <left/>
      <right style="thin">
        <color rgb="FFA5A5A5"/>
      </right>
      <top/>
      <bottom style="medium">
        <color rgb="FF95B3D7"/>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diagonal/>
    </border>
    <border>
      <left/>
      <right/>
      <top style="thin">
        <color rgb="FFA5A5A5"/>
      </top>
      <bottom/>
      <diagonal/>
    </border>
    <border>
      <left/>
      <right style="thin">
        <color rgb="FFA5A5A5"/>
      </right>
      <top style="thin">
        <color rgb="FFA5A5A5"/>
      </top>
      <bottom/>
      <diagonal/>
    </border>
    <border>
      <left/>
      <right/>
      <top/>
      <bottom style="thin">
        <color rgb="FFA5A5A5"/>
      </bottom>
      <diagonal/>
    </border>
    <border>
      <left style="thin">
        <color rgb="FFA5A5A5"/>
      </left>
      <right/>
      <top/>
      <bottom/>
      <diagonal/>
    </border>
    <border>
      <left/>
      <right style="thin">
        <color rgb="FFA5A5A5"/>
      </right>
      <top/>
      <bottom/>
      <diagonal/>
    </border>
    <border>
      <left/>
      <right/>
      <top style="thin">
        <color rgb="FFA5A5A5"/>
      </top>
      <bottom/>
      <diagonal/>
    </border>
    <border>
      <left style="thin">
        <color rgb="FFA5A5A5"/>
      </left>
      <right style="thin">
        <color rgb="FFA5A5A5"/>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right/>
      <top style="medium">
        <color rgb="FFD8D8D8"/>
      </top>
      <bottom style="medium">
        <color rgb="FFD8D8D8"/>
      </bottom>
      <diagonal/>
    </border>
    <border>
      <left/>
      <right/>
      <top style="medium">
        <color rgb="FF000000"/>
      </top>
      <bottom style="medium">
        <color rgb="FF000000"/>
      </bottom>
      <diagonal/>
    </border>
    <border>
      <left/>
      <right style="thick">
        <color rgb="FF000000"/>
      </right>
      <top style="medium">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76">
    <xf numFmtId="0" fontId="0" fillId="0" borderId="0" xfId="0"/>
    <xf numFmtId="0" fontId="1" fillId="0" borderId="0" xfId="0" applyFont="1" applyAlignment="1">
      <alignment wrapText="1"/>
    </xf>
    <xf numFmtId="0" fontId="2" fillId="0" borderId="0" xfId="0" applyFont="1" applyAlignment="1">
      <alignment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8" fontId="2" fillId="0" borderId="0" xfId="0" applyNumberFormat="1" applyFont="1" applyAlignment="1">
      <alignment horizontal="center" vertical="center" wrapText="1"/>
    </xf>
    <xf numFmtId="0" fontId="2" fillId="0" borderId="0" xfId="0" applyFont="1" applyAlignment="1">
      <alignment vertical="center"/>
    </xf>
    <xf numFmtId="0" fontId="5" fillId="0" borderId="0" xfId="0" applyFont="1"/>
    <xf numFmtId="0" fontId="2" fillId="0" borderId="0" xfId="0" applyFont="1"/>
    <xf numFmtId="0" fontId="6" fillId="0" borderId="0" xfId="0" applyFont="1" applyAlignment="1">
      <alignment horizontal="center" vertical="center"/>
    </xf>
    <xf numFmtId="0" fontId="7" fillId="0" borderId="0" xfId="0" applyFont="1"/>
    <xf numFmtId="0" fontId="7" fillId="0" borderId="0" xfId="0" applyFont="1" applyAlignment="1">
      <alignment horizontal="center"/>
    </xf>
    <xf numFmtId="0" fontId="8" fillId="0" borderId="0" xfId="0" applyFont="1"/>
    <xf numFmtId="0" fontId="9" fillId="0" borderId="0" xfId="0" applyFont="1"/>
    <xf numFmtId="0" fontId="1" fillId="0" borderId="0" xfId="0" applyFont="1"/>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center"/>
    </xf>
    <xf numFmtId="0" fontId="1" fillId="0" borderId="0" xfId="0" applyFont="1" applyAlignment="1">
      <alignment horizontal="left" vertical="center" wrapText="1"/>
    </xf>
    <xf numFmtId="0" fontId="10" fillId="0" borderId="0" xfId="0" applyFont="1" applyAlignment="1">
      <alignment horizontal="left" vertical="center"/>
    </xf>
    <xf numFmtId="0" fontId="1" fillId="0" borderId="0" xfId="0" applyFont="1" applyAlignment="1">
      <alignmen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9" fillId="0" borderId="0" xfId="0" applyFont="1" applyAlignment="1">
      <alignment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9" fillId="2" borderId="11" xfId="0" applyFont="1" applyFill="1" applyBorder="1" applyAlignment="1">
      <alignment vertical="center"/>
    </xf>
    <xf numFmtId="0" fontId="3" fillId="2" borderId="12" xfId="0" applyFont="1" applyFill="1" applyBorder="1" applyAlignment="1">
      <alignment horizontal="left" vertical="center" wrapText="1"/>
    </xf>
    <xf numFmtId="0" fontId="2" fillId="0" borderId="13" xfId="0" applyFont="1" applyBorder="1" applyAlignment="1">
      <alignment horizontal="center" vertical="center" wrapText="1"/>
    </xf>
    <xf numFmtId="0" fontId="11" fillId="0" borderId="13" xfId="0" applyFont="1" applyBorder="1" applyAlignment="1">
      <alignment horizontal="left" vertical="center"/>
    </xf>
    <xf numFmtId="14" fontId="2" fillId="0" borderId="13" xfId="0" applyNumberFormat="1" applyFont="1" applyBorder="1" applyAlignment="1">
      <alignment horizontal="center" vertical="center" wrapText="1"/>
    </xf>
    <xf numFmtId="1" fontId="2" fillId="0" borderId="13" xfId="0" applyNumberFormat="1" applyFont="1" applyBorder="1" applyAlignment="1">
      <alignment horizontal="center" vertical="center" wrapText="1"/>
    </xf>
    <xf numFmtId="0" fontId="2" fillId="0" borderId="13" xfId="0" applyFont="1" applyBorder="1" applyAlignment="1">
      <alignment horizontal="center" vertical="top" wrapText="1"/>
    </xf>
    <xf numFmtId="164" fontId="2" fillId="0" borderId="13" xfId="0" applyNumberFormat="1" applyFont="1" applyBorder="1" applyAlignment="1">
      <alignment vertical="center" wrapText="1"/>
    </xf>
    <xf numFmtId="0" fontId="3" fillId="0" borderId="13" xfId="0" applyFont="1" applyBorder="1" applyAlignment="1">
      <alignment horizontal="center" vertical="center" wrapText="1"/>
    </xf>
    <xf numFmtId="0" fontId="3" fillId="2" borderId="14" xfId="0" applyFont="1" applyFill="1" applyBorder="1" applyAlignment="1">
      <alignment horizontal="center" vertical="center" wrapText="1"/>
    </xf>
    <xf numFmtId="0" fontId="3" fillId="2" borderId="15" xfId="0" applyFont="1" applyFill="1" applyBorder="1" applyAlignment="1">
      <alignment horizontal="left" vertical="center" wrapText="1"/>
    </xf>
    <xf numFmtId="0" fontId="3" fillId="2" borderId="16" xfId="0" applyFont="1" applyFill="1" applyBorder="1" applyAlignment="1">
      <alignment horizontal="center" vertical="center" wrapText="1"/>
    </xf>
    <xf numFmtId="0" fontId="3" fillId="2" borderId="17" xfId="0" applyFont="1" applyFill="1" applyBorder="1" applyAlignment="1">
      <alignment horizontal="center" vertical="center" wrapText="1"/>
    </xf>
    <xf numFmtId="164" fontId="3" fillId="3" borderId="17" xfId="0" applyNumberFormat="1" applyFont="1" applyFill="1" applyBorder="1" applyAlignment="1">
      <alignment horizontal="center" vertical="center" wrapText="1"/>
    </xf>
    <xf numFmtId="0" fontId="3" fillId="2" borderId="18" xfId="0" applyFont="1" applyFill="1" applyBorder="1" applyAlignment="1">
      <alignment horizontal="left" vertical="center" wrapText="1"/>
    </xf>
    <xf numFmtId="0" fontId="2" fillId="0" borderId="13" xfId="0" applyFont="1" applyBorder="1" applyAlignment="1">
      <alignment horizontal="left" vertical="center"/>
    </xf>
    <xf numFmtId="0" fontId="2" fillId="0" borderId="13" xfId="0" applyFont="1" applyBorder="1" applyAlignment="1">
      <alignment horizontal="left" vertical="center" wrapText="1"/>
    </xf>
    <xf numFmtId="0" fontId="3" fillId="2" borderId="19" xfId="0" applyFont="1" applyFill="1" applyBorder="1" applyAlignment="1">
      <alignment horizontal="center" vertical="center" wrapText="1"/>
    </xf>
    <xf numFmtId="164" fontId="3" fillId="3" borderId="19" xfId="0" applyNumberFormat="1" applyFont="1" applyFill="1" applyBorder="1" applyAlignment="1">
      <alignment horizontal="center" vertical="center" wrapText="1"/>
    </xf>
    <xf numFmtId="0" fontId="3" fillId="2" borderId="20" xfId="0" applyFont="1" applyFill="1" applyBorder="1" applyAlignment="1">
      <alignment horizontal="left" vertical="center" wrapText="1"/>
    </xf>
    <xf numFmtId="0" fontId="11" fillId="0" borderId="13" xfId="0" applyFont="1" applyBorder="1" applyAlignment="1">
      <alignment horizontal="left" vertical="center" shrinkToFit="1"/>
    </xf>
    <xf numFmtId="164" fontId="3" fillId="2" borderId="19" xfId="0" applyNumberFormat="1" applyFont="1" applyFill="1" applyBorder="1" applyAlignment="1">
      <alignment horizontal="center" vertical="center" wrapText="1"/>
    </xf>
    <xf numFmtId="164" fontId="3" fillId="0" borderId="13" xfId="0" applyNumberFormat="1" applyFont="1" applyBorder="1" applyAlignment="1">
      <alignment horizontal="center" vertical="center" wrapText="1"/>
    </xf>
    <xf numFmtId="0" fontId="3" fillId="2" borderId="15" xfId="0" applyFont="1" applyFill="1" applyBorder="1" applyAlignment="1">
      <alignment horizontal="left" vertical="center"/>
    </xf>
    <xf numFmtId="0" fontId="12" fillId="0" borderId="13" xfId="0" applyFont="1" applyBorder="1" applyAlignment="1">
      <alignment horizontal="center" vertical="center" wrapText="1"/>
    </xf>
    <xf numFmtId="14" fontId="2" fillId="4" borderId="13" xfId="0" applyNumberFormat="1" applyFont="1" applyFill="1" applyBorder="1" applyAlignment="1">
      <alignment horizontal="center" vertical="center" wrapText="1"/>
    </xf>
    <xf numFmtId="0" fontId="13" fillId="2" borderId="14" xfId="0" applyFont="1" applyFill="1" applyBorder="1" applyAlignment="1">
      <alignment horizontal="center" vertical="center"/>
    </xf>
    <xf numFmtId="0" fontId="3" fillId="2" borderId="16"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6" xfId="0" applyFont="1" applyFill="1" applyBorder="1" applyAlignment="1">
      <alignment horizontal="center" vertical="center" wrapText="1"/>
    </xf>
    <xf numFmtId="164" fontId="2" fillId="3" borderId="16" xfId="0" applyNumberFormat="1" applyFont="1" applyFill="1" applyBorder="1" applyAlignment="1">
      <alignment vertical="center" wrapText="1"/>
    </xf>
    <xf numFmtId="0" fontId="1" fillId="2" borderId="21" xfId="0" applyFont="1" applyFill="1" applyBorder="1"/>
    <xf numFmtId="0" fontId="12" fillId="0" borderId="13" xfId="0" applyFont="1" applyBorder="1" applyAlignment="1">
      <alignment horizontal="center" vertical="center"/>
    </xf>
    <xf numFmtId="14" fontId="2" fillId="5" borderId="13" xfId="0" applyNumberFormat="1" applyFont="1" applyFill="1" applyBorder="1" applyAlignment="1">
      <alignment horizontal="center" vertical="center" wrapText="1"/>
    </xf>
    <xf numFmtId="0" fontId="2" fillId="0" borderId="13" xfId="0" applyFont="1" applyBorder="1" applyAlignment="1">
      <alignment horizontal="center" vertical="center"/>
    </xf>
    <xf numFmtId="0" fontId="1" fillId="0" borderId="13" xfId="0" applyFont="1" applyBorder="1" applyAlignment="1">
      <alignment horizontal="center" vertical="center"/>
    </xf>
    <xf numFmtId="0" fontId="12" fillId="0" borderId="22" xfId="0" applyFont="1" applyBorder="1" applyAlignment="1">
      <alignment horizontal="center"/>
    </xf>
    <xf numFmtId="0" fontId="12" fillId="0" borderId="23" xfId="0" applyFont="1" applyBorder="1" applyAlignment="1">
      <alignment horizontal="left" vertical="center"/>
    </xf>
    <xf numFmtId="0" fontId="13" fillId="0" borderId="24" xfId="0" applyFont="1" applyBorder="1" applyAlignment="1">
      <alignment horizontal="center" vertical="center"/>
    </xf>
    <xf numFmtId="0" fontId="12" fillId="0" borderId="23" xfId="0" applyFont="1" applyBorder="1" applyAlignment="1">
      <alignment vertical="center"/>
    </xf>
    <xf numFmtId="164" fontId="2" fillId="3" borderId="25" xfId="0" applyNumberFormat="1" applyFont="1" applyFill="1" applyBorder="1" applyAlignment="1">
      <alignment vertical="center" wrapText="1"/>
    </xf>
    <xf numFmtId="0" fontId="1" fillId="0" borderId="26" xfId="0" applyFont="1" applyBorder="1"/>
    <xf numFmtId="0" fontId="9" fillId="2" borderId="1" xfId="0" applyFont="1" applyFill="1" applyBorder="1" applyAlignment="1">
      <alignment vertical="center"/>
    </xf>
    <xf numFmtId="0" fontId="9" fillId="2" borderId="27" xfId="0" applyFont="1" applyFill="1" applyBorder="1" applyAlignment="1">
      <alignment vertical="center"/>
    </xf>
    <xf numFmtId="0" fontId="3" fillId="2" borderId="1" xfId="0" applyFont="1" applyFill="1" applyBorder="1" applyAlignment="1">
      <alignment horizontal="right" vertical="center" wrapText="1"/>
    </xf>
    <xf numFmtId="0" fontId="3" fillId="2" borderId="2" xfId="0" applyFont="1" applyFill="1" applyBorder="1" applyAlignment="1">
      <alignment horizontal="right" vertical="center" wrapText="1"/>
    </xf>
    <xf numFmtId="165" fontId="3" fillId="6" borderId="28" xfId="0" applyNumberFormat="1" applyFont="1" applyFill="1" applyBorder="1" applyAlignment="1">
      <alignment vertical="center" wrapText="1"/>
    </xf>
    <xf numFmtId="164" fontId="3" fillId="2" borderId="29" xfId="0" applyNumberFormat="1" applyFont="1" applyFill="1" applyBorder="1" applyAlignment="1">
      <alignment vertical="center" wrapText="1"/>
    </xf>
    <xf numFmtId="0" fontId="1" fillId="0" borderId="0" xfId="0" applyFont="1" applyAlignment="1">
      <alignment horizontal="left"/>
    </xf>
    <xf numFmtId="0" fontId="3" fillId="0" borderId="0" xfId="0" applyFont="1" applyAlignment="1">
      <alignment horizontal="left" vertical="center"/>
    </xf>
    <xf numFmtId="0" fontId="14" fillId="7" borderId="13" xfId="0" applyFont="1" applyFill="1" applyBorder="1" applyAlignment="1">
      <alignment horizontal="center" vertical="center" wrapText="1"/>
    </xf>
    <xf numFmtId="49" fontId="8" fillId="0" borderId="13" xfId="0" applyNumberFormat="1" applyFont="1" applyBorder="1" applyAlignment="1">
      <alignment horizontal="center" vertical="center" wrapText="1"/>
    </xf>
    <xf numFmtId="14" fontId="15" fillId="0" borderId="13" xfId="0" applyNumberFormat="1" applyFont="1" applyBorder="1" applyAlignment="1">
      <alignment horizontal="center" vertical="center" wrapText="1"/>
    </xf>
    <xf numFmtId="0" fontId="8" fillId="0" borderId="13" xfId="0" applyFont="1" applyBorder="1" applyAlignment="1">
      <alignment horizontal="center" vertical="center" wrapText="1"/>
    </xf>
    <xf numFmtId="0" fontId="1" fillId="4" borderId="13" xfId="0" applyFont="1" applyFill="1" applyBorder="1" applyAlignment="1">
      <alignment horizontal="center" vertical="center"/>
    </xf>
    <xf numFmtId="14" fontId="8" fillId="0" borderId="13" xfId="0" applyNumberFormat="1" applyFont="1" applyBorder="1" applyAlignment="1">
      <alignment horizontal="center" vertical="center" wrapText="1"/>
    </xf>
    <xf numFmtId="0" fontId="8" fillId="0" borderId="13" xfId="0" applyFont="1" applyBorder="1" applyAlignment="1">
      <alignment horizontal="center" vertical="top" wrapText="1"/>
    </xf>
    <xf numFmtId="0" fontId="11" fillId="0" borderId="13" xfId="0" applyFont="1" applyBorder="1" applyAlignment="1">
      <alignment horizontal="left" vertical="center" wrapText="1"/>
    </xf>
    <xf numFmtId="0" fontId="16" fillId="0" borderId="13" xfId="0" applyFont="1" applyBorder="1" applyAlignment="1">
      <alignment horizontal="center" vertical="top" wrapText="1"/>
    </xf>
    <xf numFmtId="0" fontId="8" fillId="0" borderId="13" xfId="0" applyFont="1" applyBorder="1" applyAlignment="1">
      <alignment horizontal="center"/>
    </xf>
    <xf numFmtId="0" fontId="8" fillId="0" borderId="13" xfId="0" applyFont="1" applyBorder="1" applyAlignment="1">
      <alignment horizontal="center" vertical="center"/>
    </xf>
    <xf numFmtId="0" fontId="17" fillId="0" borderId="0" xfId="0" applyFont="1"/>
    <xf numFmtId="0" fontId="20" fillId="4" borderId="30" xfId="0" applyFont="1" applyFill="1" applyBorder="1" applyAlignment="1">
      <alignment horizontal="center" vertical="center" wrapText="1"/>
    </xf>
    <xf numFmtId="0" fontId="20" fillId="0" borderId="0" xfId="0" applyFont="1"/>
    <xf numFmtId="0" fontId="18" fillId="4" borderId="30" xfId="0" applyFont="1" applyFill="1" applyBorder="1" applyAlignment="1">
      <alignment horizontal="center" vertical="center" wrapText="1"/>
    </xf>
    <xf numFmtId="14" fontId="20" fillId="4" borderId="30" xfId="0" applyNumberFormat="1" applyFont="1" applyFill="1" applyBorder="1" applyAlignment="1">
      <alignment horizontal="center" vertical="center" wrapText="1"/>
    </xf>
    <xf numFmtId="0" fontId="22" fillId="0" borderId="1" xfId="0" applyFont="1" applyBorder="1" applyAlignment="1">
      <alignment horizontal="center" vertical="center" wrapText="1" readingOrder="1"/>
    </xf>
    <xf numFmtId="0" fontId="23" fillId="4" borderId="30" xfId="0" applyFont="1" applyFill="1" applyBorder="1"/>
    <xf numFmtId="0" fontId="1" fillId="4" borderId="30" xfId="0" applyFont="1" applyFill="1" applyBorder="1"/>
    <xf numFmtId="0" fontId="24" fillId="4" borderId="30" xfId="0" applyFont="1" applyFill="1" applyBorder="1"/>
    <xf numFmtId="0" fontId="2" fillId="4" borderId="30" xfId="0" applyFont="1" applyFill="1" applyBorder="1"/>
    <xf numFmtId="0" fontId="1" fillId="10" borderId="34" xfId="0" applyFont="1" applyFill="1" applyBorder="1"/>
    <xf numFmtId="0" fontId="1" fillId="10" borderId="35" xfId="0" applyFont="1" applyFill="1" applyBorder="1"/>
    <xf numFmtId="0" fontId="1" fillId="4" borderId="34" xfId="0" applyFont="1" applyFill="1" applyBorder="1"/>
    <xf numFmtId="0" fontId="1" fillId="4" borderId="36" xfId="0" applyFont="1" applyFill="1" applyBorder="1"/>
    <xf numFmtId="0" fontId="1" fillId="4" borderId="35" xfId="0" applyFont="1" applyFill="1" applyBorder="1"/>
    <xf numFmtId="0" fontId="1" fillId="10" borderId="37" xfId="0" applyFont="1" applyFill="1" applyBorder="1"/>
    <xf numFmtId="0" fontId="1" fillId="10" borderId="38" xfId="0" applyFont="1" applyFill="1" applyBorder="1"/>
    <xf numFmtId="0" fontId="1" fillId="4" borderId="37" xfId="0" applyFont="1" applyFill="1" applyBorder="1"/>
    <xf numFmtId="0" fontId="1" fillId="0" borderId="13" xfId="0" applyFont="1" applyBorder="1"/>
    <xf numFmtId="0" fontId="1" fillId="4" borderId="13" xfId="0" applyFont="1" applyFill="1" applyBorder="1"/>
    <xf numFmtId="0" fontId="1" fillId="4" borderId="38" xfId="0" applyFont="1" applyFill="1" applyBorder="1"/>
    <xf numFmtId="0" fontId="1" fillId="10" borderId="44" xfId="0" applyFont="1" applyFill="1" applyBorder="1"/>
    <xf numFmtId="0" fontId="1" fillId="10" borderId="45" xfId="0" applyFont="1" applyFill="1" applyBorder="1"/>
    <xf numFmtId="0" fontId="1" fillId="0" borderId="46" xfId="0" applyFont="1" applyBorder="1"/>
    <xf numFmtId="0" fontId="1" fillId="0" borderId="47" xfId="0" applyFont="1" applyBorder="1"/>
    <xf numFmtId="0" fontId="1" fillId="0" borderId="48" xfId="0" applyFont="1" applyBorder="1"/>
    <xf numFmtId="0" fontId="1" fillId="4" borderId="49" xfId="0" applyFont="1" applyFill="1" applyBorder="1"/>
    <xf numFmtId="0" fontId="1" fillId="4" borderId="50" xfId="0" applyFont="1" applyFill="1" applyBorder="1"/>
    <xf numFmtId="0" fontId="1" fillId="4" borderId="51" xfId="0" applyFont="1" applyFill="1" applyBorder="1"/>
    <xf numFmtId="0" fontId="1" fillId="0" borderId="52" xfId="0" applyFont="1" applyBorder="1"/>
    <xf numFmtId="0" fontId="10" fillId="11" borderId="27" xfId="0" applyFont="1" applyFill="1" applyBorder="1" applyAlignment="1">
      <alignment horizontal="center"/>
    </xf>
    <xf numFmtId="0" fontId="10" fillId="11" borderId="2" xfId="0" applyFont="1" applyFill="1" applyBorder="1" applyAlignment="1">
      <alignment horizontal="center"/>
    </xf>
    <xf numFmtId="0" fontId="10" fillId="11" borderId="53" xfId="0" applyFont="1" applyFill="1" applyBorder="1" applyAlignment="1">
      <alignment horizontal="center"/>
    </xf>
    <xf numFmtId="0" fontId="9" fillId="9" borderId="13" xfId="0" applyFont="1" applyFill="1" applyBorder="1"/>
    <xf numFmtId="0" fontId="1" fillId="9" borderId="54" xfId="0" applyFont="1" applyFill="1" applyBorder="1"/>
    <xf numFmtId="0" fontId="1" fillId="9" borderId="3" xfId="0" applyFont="1" applyFill="1" applyBorder="1"/>
    <xf numFmtId="0" fontId="1" fillId="9" borderId="55" xfId="0" applyFont="1" applyFill="1" applyBorder="1"/>
    <xf numFmtId="0" fontId="25" fillId="0" borderId="13" xfId="0" applyFont="1" applyBorder="1"/>
    <xf numFmtId="0" fontId="1" fillId="0" borderId="13" xfId="0" applyFont="1" applyBorder="1" applyAlignment="1">
      <alignment horizontal="center"/>
    </xf>
    <xf numFmtId="0" fontId="9" fillId="0" borderId="54" xfId="0" applyFont="1" applyBorder="1" applyAlignment="1">
      <alignment horizontal="center"/>
    </xf>
    <xf numFmtId="0" fontId="9" fillId="0" borderId="55" xfId="0" applyFont="1" applyBorder="1" applyAlignment="1">
      <alignment horizontal="center"/>
    </xf>
    <xf numFmtId="0" fontId="1" fillId="0" borderId="56" xfId="0" applyFont="1" applyBorder="1"/>
    <xf numFmtId="0" fontId="1" fillId="0" borderId="57" xfId="0" applyFont="1" applyBorder="1"/>
    <xf numFmtId="0" fontId="1" fillId="0" borderId="58" xfId="0" applyFont="1" applyBorder="1"/>
    <xf numFmtId="0" fontId="1" fillId="0" borderId="59" xfId="0" applyFont="1" applyBorder="1"/>
    <xf numFmtId="0" fontId="1" fillId="0" borderId="60" xfId="0" applyFont="1" applyBorder="1"/>
    <xf numFmtId="0" fontId="1" fillId="0" borderId="61" xfId="0" applyFont="1" applyBorder="1"/>
    <xf numFmtId="0" fontId="1" fillId="0" borderId="24" xfId="0" applyFont="1" applyBorder="1"/>
    <xf numFmtId="0" fontId="1" fillId="0" borderId="62" xfId="0" applyFont="1" applyBorder="1"/>
    <xf numFmtId="0" fontId="1" fillId="0" borderId="63" xfId="0" applyFont="1" applyBorder="1"/>
    <xf numFmtId="0" fontId="1" fillId="0" borderId="64" xfId="0" applyFont="1" applyBorder="1"/>
    <xf numFmtId="0" fontId="1" fillId="0" borderId="37" xfId="0" applyFont="1" applyBorder="1"/>
    <xf numFmtId="0" fontId="1" fillId="0" borderId="38" xfId="0" applyFont="1" applyBorder="1"/>
    <xf numFmtId="0" fontId="1" fillId="0" borderId="44" xfId="0" applyFont="1" applyBorder="1"/>
    <xf numFmtId="0" fontId="25" fillId="0" borderId="13" xfId="0" applyFont="1" applyBorder="1" applyAlignment="1">
      <alignment horizontal="left" vertical="center" wrapText="1"/>
    </xf>
    <xf numFmtId="0" fontId="9" fillId="0" borderId="54" xfId="0" applyFont="1" applyBorder="1" applyAlignment="1">
      <alignment horizontal="center" vertical="center"/>
    </xf>
    <xf numFmtId="0" fontId="9" fillId="0" borderId="55" xfId="0" applyFont="1" applyBorder="1" applyAlignment="1">
      <alignment horizontal="center" vertical="center"/>
    </xf>
    <xf numFmtId="0" fontId="25" fillId="0" borderId="13" xfId="0" applyFont="1" applyBorder="1" applyAlignment="1">
      <alignment vertical="center"/>
    </xf>
    <xf numFmtId="0" fontId="1" fillId="0" borderId="65" xfId="0" applyFont="1" applyBorder="1"/>
    <xf numFmtId="0" fontId="1" fillId="0" borderId="66" xfId="0" applyFont="1" applyBorder="1"/>
    <xf numFmtId="0" fontId="25" fillId="0" borderId="13" xfId="0" applyFont="1" applyBorder="1" applyAlignment="1">
      <alignment horizontal="left" vertical="center"/>
    </xf>
    <xf numFmtId="0" fontId="1" fillId="4" borderId="13" xfId="0" applyFont="1" applyFill="1" applyBorder="1" applyAlignment="1">
      <alignment horizontal="center"/>
    </xf>
    <xf numFmtId="0" fontId="26" fillId="0" borderId="0" xfId="0" applyFont="1"/>
    <xf numFmtId="0" fontId="27" fillId="0" borderId="0" xfId="0" applyFont="1" applyAlignment="1">
      <alignment horizontal="left"/>
    </xf>
    <xf numFmtId="0" fontId="28" fillId="0" borderId="0" xfId="0" applyFont="1" applyAlignment="1">
      <alignment horizontal="left"/>
    </xf>
    <xf numFmtId="0" fontId="20" fillId="0" borderId="0" xfId="0" applyFont="1" applyAlignment="1">
      <alignment horizontal="center"/>
    </xf>
    <xf numFmtId="0" fontId="29" fillId="0" borderId="67" xfId="0" applyFont="1" applyBorder="1" applyAlignment="1">
      <alignment vertical="top" wrapText="1"/>
    </xf>
    <xf numFmtId="0" fontId="26" fillId="0" borderId="0" xfId="0" applyFont="1" applyAlignment="1">
      <alignment wrapText="1"/>
    </xf>
    <xf numFmtId="0" fontId="1" fillId="0" borderId="72" xfId="0" applyFont="1" applyBorder="1" applyAlignment="1">
      <alignment horizontal="center" vertical="center"/>
    </xf>
    <xf numFmtId="0" fontId="1" fillId="0" borderId="76" xfId="0" applyFont="1" applyBorder="1"/>
    <xf numFmtId="168" fontId="32" fillId="12" borderId="77" xfId="0" applyNumberFormat="1" applyFont="1" applyFill="1" applyBorder="1" applyAlignment="1">
      <alignment horizontal="center" vertical="center"/>
    </xf>
    <xf numFmtId="168" fontId="32" fillId="12" borderId="30" xfId="0" applyNumberFormat="1" applyFont="1" applyFill="1" applyBorder="1" applyAlignment="1">
      <alignment horizontal="center" vertical="center"/>
    </xf>
    <xf numFmtId="168" fontId="32" fillId="12" borderId="78" xfId="0" applyNumberFormat="1" applyFont="1" applyFill="1" applyBorder="1" applyAlignment="1">
      <alignment horizontal="center" vertical="center"/>
    </xf>
    <xf numFmtId="0" fontId="33" fillId="13" borderId="79" xfId="0" applyFont="1" applyFill="1" applyBorder="1" applyAlignment="1">
      <alignment horizontal="left" vertical="center"/>
    </xf>
    <xf numFmtId="0" fontId="33" fillId="13" borderId="79" xfId="0" applyFont="1" applyFill="1" applyBorder="1" applyAlignment="1">
      <alignment horizontal="center" vertical="center" wrapText="1"/>
    </xf>
    <xf numFmtId="0" fontId="34" fillId="13" borderId="80" xfId="0" applyFont="1" applyFill="1" applyBorder="1" applyAlignment="1">
      <alignment horizontal="center" vertical="center" shrinkToFit="1"/>
    </xf>
    <xf numFmtId="0" fontId="1" fillId="0" borderId="81" xfId="0" applyFont="1" applyBorder="1" applyAlignment="1">
      <alignment vertical="center"/>
    </xf>
    <xf numFmtId="0" fontId="35" fillId="11" borderId="82" xfId="0" applyFont="1" applyFill="1" applyBorder="1" applyAlignment="1">
      <alignment horizontal="left" vertical="center"/>
    </xf>
    <xf numFmtId="0" fontId="31" fillId="11" borderId="82" xfId="0" applyFont="1" applyFill="1" applyBorder="1" applyAlignment="1">
      <alignment horizontal="center" vertical="center"/>
    </xf>
    <xf numFmtId="9" fontId="31" fillId="11" borderId="82" xfId="0" applyNumberFormat="1" applyFont="1" applyFill="1" applyBorder="1" applyAlignment="1">
      <alignment horizontal="center" vertical="center"/>
    </xf>
    <xf numFmtId="169" fontId="1" fillId="11" borderId="82" xfId="0" applyNumberFormat="1" applyFont="1" applyFill="1" applyBorder="1" applyAlignment="1">
      <alignment horizontal="center" vertical="center"/>
    </xf>
    <xf numFmtId="169" fontId="31" fillId="11" borderId="82" xfId="0" applyNumberFormat="1" applyFont="1" applyFill="1" applyBorder="1" applyAlignment="1">
      <alignment horizontal="center" vertical="center"/>
    </xf>
    <xf numFmtId="0" fontId="31" fillId="0" borderId="83" xfId="0" applyFont="1" applyBorder="1" applyAlignment="1">
      <alignment horizontal="center" vertical="center"/>
    </xf>
    <xf numFmtId="0" fontId="31" fillId="9" borderId="82" xfId="0" applyFont="1" applyFill="1" applyBorder="1" applyAlignment="1">
      <alignment horizontal="left" vertical="center"/>
    </xf>
    <xf numFmtId="0" fontId="31" fillId="9" borderId="82" xfId="0" applyFont="1" applyFill="1" applyBorder="1" applyAlignment="1">
      <alignment horizontal="center" vertical="center"/>
    </xf>
    <xf numFmtId="9" fontId="31" fillId="9" borderId="82" xfId="0" applyNumberFormat="1" applyFont="1" applyFill="1" applyBorder="1" applyAlignment="1">
      <alignment horizontal="center" vertical="center"/>
    </xf>
    <xf numFmtId="169" fontId="31" fillId="9" borderId="82" xfId="0" applyNumberFormat="1" applyFont="1" applyFill="1" applyBorder="1" applyAlignment="1">
      <alignment horizontal="center" vertical="center"/>
    </xf>
    <xf numFmtId="0" fontId="1" fillId="0" borderId="81" xfId="0" applyFont="1" applyBorder="1" applyAlignment="1">
      <alignment horizontal="right" vertical="center"/>
    </xf>
    <xf numFmtId="0" fontId="35" fillId="14" borderId="82" xfId="0" applyFont="1" applyFill="1" applyBorder="1" applyAlignment="1">
      <alignment horizontal="left" vertical="center"/>
    </xf>
    <xf numFmtId="0" fontId="31" fillId="14" borderId="82" xfId="0" applyFont="1" applyFill="1" applyBorder="1" applyAlignment="1">
      <alignment horizontal="center" vertical="center"/>
    </xf>
    <xf numFmtId="9" fontId="31" fillId="14" borderId="82" xfId="0" applyNumberFormat="1" applyFont="1" applyFill="1" applyBorder="1" applyAlignment="1">
      <alignment horizontal="center" vertical="center"/>
    </xf>
    <xf numFmtId="169" fontId="1" fillId="14" borderId="82" xfId="0" applyNumberFormat="1" applyFont="1" applyFill="1" applyBorder="1" applyAlignment="1">
      <alignment horizontal="center" vertical="center"/>
    </xf>
    <xf numFmtId="169" fontId="31" fillId="14" borderId="82" xfId="0" applyNumberFormat="1" applyFont="1" applyFill="1" applyBorder="1" applyAlignment="1">
      <alignment horizontal="center" vertical="center"/>
    </xf>
    <xf numFmtId="0" fontId="31" fillId="15" borderId="82" xfId="0" applyFont="1" applyFill="1" applyBorder="1" applyAlignment="1">
      <alignment horizontal="left" vertical="center"/>
    </xf>
    <xf numFmtId="0" fontId="31" fillId="15" borderId="82" xfId="0" applyFont="1" applyFill="1" applyBorder="1" applyAlignment="1">
      <alignment horizontal="center" vertical="center"/>
    </xf>
    <xf numFmtId="9" fontId="31" fillId="15" borderId="82" xfId="0" applyNumberFormat="1" applyFont="1" applyFill="1" applyBorder="1" applyAlignment="1">
      <alignment horizontal="center" vertical="center"/>
    </xf>
    <xf numFmtId="169" fontId="31" fillId="15" borderId="82" xfId="0" applyNumberFormat="1" applyFont="1" applyFill="1" applyBorder="1" applyAlignment="1">
      <alignment horizontal="center" vertical="center"/>
    </xf>
    <xf numFmtId="0" fontId="35" fillId="16" borderId="82" xfId="0" applyFont="1" applyFill="1" applyBorder="1" applyAlignment="1">
      <alignment horizontal="left" vertical="center"/>
    </xf>
    <xf numFmtId="0" fontId="31" fillId="16" borderId="82" xfId="0" applyFont="1" applyFill="1" applyBorder="1" applyAlignment="1">
      <alignment horizontal="center" vertical="center"/>
    </xf>
    <xf numFmtId="9" fontId="31" fillId="16" borderId="82" xfId="0" applyNumberFormat="1" applyFont="1" applyFill="1" applyBorder="1" applyAlignment="1">
      <alignment horizontal="center" vertical="center"/>
    </xf>
    <xf numFmtId="169" fontId="1" fillId="16" borderId="82" xfId="0" applyNumberFormat="1" applyFont="1" applyFill="1" applyBorder="1" applyAlignment="1">
      <alignment horizontal="center" vertical="center"/>
    </xf>
    <xf numFmtId="169" fontId="31" fillId="16" borderId="82" xfId="0" applyNumberFormat="1" applyFont="1" applyFill="1" applyBorder="1" applyAlignment="1">
      <alignment horizontal="center" vertical="center"/>
    </xf>
    <xf numFmtId="0" fontId="31" fillId="17" borderId="82" xfId="0" applyFont="1" applyFill="1" applyBorder="1" applyAlignment="1">
      <alignment horizontal="left" vertical="center"/>
    </xf>
    <xf numFmtId="0" fontId="31" fillId="17" borderId="82" xfId="0" applyFont="1" applyFill="1" applyBorder="1" applyAlignment="1">
      <alignment horizontal="center" vertical="center"/>
    </xf>
    <xf numFmtId="9" fontId="31" fillId="17" borderId="82" xfId="0" applyNumberFormat="1" applyFont="1" applyFill="1" applyBorder="1" applyAlignment="1">
      <alignment horizontal="center" vertical="center"/>
    </xf>
    <xf numFmtId="169" fontId="31" fillId="17" borderId="82" xfId="0" applyNumberFormat="1" applyFont="1" applyFill="1" applyBorder="1" applyAlignment="1">
      <alignment horizontal="center" vertical="center"/>
    </xf>
    <xf numFmtId="0" fontId="35" fillId="18" borderId="82" xfId="0" applyFont="1" applyFill="1" applyBorder="1" applyAlignment="1">
      <alignment horizontal="left" vertical="center"/>
    </xf>
    <xf numFmtId="0" fontId="31" fillId="18" borderId="82" xfId="0" applyFont="1" applyFill="1" applyBorder="1" applyAlignment="1">
      <alignment horizontal="center" vertical="center"/>
    </xf>
    <xf numFmtId="9" fontId="31" fillId="18" borderId="82" xfId="0" applyNumberFormat="1" applyFont="1" applyFill="1" applyBorder="1" applyAlignment="1">
      <alignment horizontal="center" vertical="center"/>
    </xf>
    <xf numFmtId="169" fontId="1" fillId="18" borderId="82" xfId="0" applyNumberFormat="1" applyFont="1" applyFill="1" applyBorder="1" applyAlignment="1">
      <alignment horizontal="center" vertical="center"/>
    </xf>
    <xf numFmtId="169" fontId="31" fillId="18" borderId="82" xfId="0" applyNumberFormat="1" applyFont="1" applyFill="1" applyBorder="1" applyAlignment="1">
      <alignment horizontal="center" vertical="center"/>
    </xf>
    <xf numFmtId="0" fontId="31" fillId="19" borderId="82" xfId="0" applyFont="1" applyFill="1" applyBorder="1" applyAlignment="1">
      <alignment horizontal="left" vertical="center"/>
    </xf>
    <xf numFmtId="0" fontId="31" fillId="19" borderId="82" xfId="0" applyFont="1" applyFill="1" applyBorder="1" applyAlignment="1">
      <alignment horizontal="center" vertical="center"/>
    </xf>
    <xf numFmtId="9" fontId="31" fillId="19" borderId="82" xfId="0" applyNumberFormat="1" applyFont="1" applyFill="1" applyBorder="1" applyAlignment="1">
      <alignment horizontal="center" vertical="center"/>
    </xf>
    <xf numFmtId="169" fontId="31" fillId="19" borderId="82" xfId="0" applyNumberFormat="1" applyFont="1" applyFill="1" applyBorder="1" applyAlignment="1">
      <alignment horizontal="center" vertical="center"/>
    </xf>
    <xf numFmtId="0" fontId="31" fillId="0" borderId="83" xfId="0" applyFont="1" applyBorder="1" applyAlignment="1">
      <alignment horizontal="left" vertical="center"/>
    </xf>
    <xf numFmtId="9" fontId="31" fillId="0" borderId="83" xfId="0" applyNumberFormat="1" applyFont="1" applyBorder="1" applyAlignment="1">
      <alignment horizontal="center" vertical="center"/>
    </xf>
    <xf numFmtId="169" fontId="31" fillId="0" borderId="83" xfId="0" applyNumberFormat="1" applyFont="1" applyBorder="1" applyAlignment="1">
      <alignment horizontal="center" vertical="center"/>
    </xf>
    <xf numFmtId="0" fontId="36" fillId="20" borderId="82" xfId="0" applyFont="1" applyFill="1" applyBorder="1" applyAlignment="1">
      <alignment horizontal="left" vertical="center"/>
    </xf>
    <xf numFmtId="0" fontId="36" fillId="20" borderId="82" xfId="0" applyFont="1" applyFill="1" applyBorder="1" applyAlignment="1">
      <alignment horizontal="center" vertical="center"/>
    </xf>
    <xf numFmtId="9" fontId="31" fillId="20" borderId="82" xfId="0" applyNumberFormat="1" applyFont="1" applyFill="1" applyBorder="1" applyAlignment="1">
      <alignment horizontal="center" vertical="center"/>
    </xf>
    <xf numFmtId="169" fontId="37" fillId="20" borderId="82" xfId="0" applyNumberFormat="1" applyFont="1" applyFill="1" applyBorder="1" applyAlignment="1">
      <alignment horizontal="left" vertical="center"/>
    </xf>
    <xf numFmtId="169" fontId="31" fillId="20" borderId="82" xfId="0" applyNumberFormat="1" applyFont="1" applyFill="1" applyBorder="1" applyAlignment="1">
      <alignment horizontal="center" vertical="center"/>
    </xf>
    <xf numFmtId="0" fontId="31" fillId="20" borderId="82" xfId="0" applyFont="1" applyFill="1" applyBorder="1" applyAlignment="1">
      <alignment horizontal="center" vertical="center"/>
    </xf>
    <xf numFmtId="0" fontId="1" fillId="20" borderId="81" xfId="0" applyFont="1" applyFill="1" applyBorder="1" applyAlignment="1">
      <alignment vertical="center"/>
    </xf>
    <xf numFmtId="0" fontId="1" fillId="0" borderId="0" xfId="0" applyFont="1" applyAlignment="1">
      <alignment horizontal="right" vertical="center"/>
    </xf>
    <xf numFmtId="0" fontId="38" fillId="0" borderId="0" xfId="0" applyFont="1"/>
    <xf numFmtId="0" fontId="26" fillId="0" borderId="0" xfId="0" applyFont="1" applyAlignment="1">
      <alignment horizontal="center"/>
    </xf>
    <xf numFmtId="0" fontId="39" fillId="0" borderId="0" xfId="0" applyFont="1"/>
    <xf numFmtId="0" fontId="40" fillId="21" borderId="1" xfId="0" applyFont="1" applyFill="1" applyBorder="1" applyAlignment="1">
      <alignment horizontal="center" vertical="center" wrapText="1"/>
    </xf>
    <xf numFmtId="0" fontId="40" fillId="21" borderId="53" xfId="0" applyFont="1" applyFill="1" applyBorder="1" applyAlignment="1">
      <alignment horizontal="center" vertical="center" wrapText="1"/>
    </xf>
    <xf numFmtId="0" fontId="40" fillId="21" borderId="8" xfId="0" applyFont="1" applyFill="1" applyBorder="1" applyAlignment="1">
      <alignment horizontal="center" vertical="center" wrapText="1"/>
    </xf>
    <xf numFmtId="0" fontId="40" fillId="21" borderId="86" xfId="0" applyFont="1" applyFill="1" applyBorder="1" applyAlignment="1">
      <alignment horizontal="center" vertical="center" wrapText="1"/>
    </xf>
    <xf numFmtId="0" fontId="1" fillId="0" borderId="87" xfId="0" applyFont="1" applyBorder="1"/>
    <xf numFmtId="0" fontId="1" fillId="0" borderId="88" xfId="0" applyFont="1" applyBorder="1"/>
    <xf numFmtId="0" fontId="41" fillId="0" borderId="37" xfId="0" applyFont="1" applyBorder="1" applyAlignment="1">
      <alignment horizontal="left" vertical="center" wrapText="1"/>
    </xf>
    <xf numFmtId="0" fontId="41" fillId="0" borderId="13" xfId="0" applyFont="1" applyBorder="1" applyAlignment="1">
      <alignment horizontal="left" vertical="center" wrapText="1"/>
    </xf>
    <xf numFmtId="0" fontId="40" fillId="22" borderId="34" xfId="0" applyFont="1" applyFill="1" applyBorder="1" applyAlignment="1">
      <alignment horizontal="left" vertical="center" wrapText="1"/>
    </xf>
    <xf numFmtId="0" fontId="40" fillId="22" borderId="36" xfId="0" applyFont="1" applyFill="1" applyBorder="1" applyAlignment="1">
      <alignment horizontal="left" vertical="center" wrapText="1"/>
    </xf>
    <xf numFmtId="0" fontId="41" fillId="0" borderId="37" xfId="0" applyFont="1" applyBorder="1" applyAlignment="1">
      <alignment horizontal="left" vertical="top" wrapText="1"/>
    </xf>
    <xf numFmtId="0" fontId="41" fillId="0" borderId="13" xfId="0" applyFont="1" applyBorder="1" applyAlignment="1">
      <alignment horizontal="left" vertical="top" wrapText="1"/>
    </xf>
    <xf numFmtId="0" fontId="0" fillId="0" borderId="95" xfId="0" pivotButton="1" applyBorder="1"/>
    <xf numFmtId="0" fontId="0" fillId="0" borderId="96" xfId="0" applyBorder="1"/>
    <xf numFmtId="0" fontId="0" fillId="0" borderId="95" xfId="0" applyBorder="1"/>
    <xf numFmtId="0" fontId="0" fillId="0" borderId="97" xfId="0" applyBorder="1"/>
    <xf numFmtId="0" fontId="0" fillId="0" borderId="98" xfId="0" applyBorder="1"/>
    <xf numFmtId="0" fontId="0" fillId="0" borderId="99" xfId="0" applyBorder="1"/>
    <xf numFmtId="0" fontId="21" fillId="0" borderId="1" xfId="0" applyFont="1" applyBorder="1" applyAlignment="1">
      <alignment horizontal="left" vertical="center" readingOrder="1"/>
    </xf>
    <xf numFmtId="0" fontId="22" fillId="0" borderId="1" xfId="0" applyFont="1" applyBorder="1" applyAlignment="1">
      <alignment horizontal="center" vertical="center" readingOrder="1"/>
    </xf>
    <xf numFmtId="0" fontId="6" fillId="0" borderId="0" xfId="0" applyFont="1" applyAlignment="1">
      <alignment horizontal="center" vertical="center"/>
    </xf>
    <xf numFmtId="0" fontId="0" fillId="0" borderId="0" xfId="0"/>
    <xf numFmtId="0" fontId="5" fillId="0" borderId="0" xfId="0" applyFont="1" applyAlignment="1">
      <alignment horizontal="center" vertical="center"/>
    </xf>
    <xf numFmtId="0" fontId="18" fillId="8" borderId="31" xfId="0" applyFont="1" applyFill="1" applyBorder="1" applyAlignment="1">
      <alignment horizontal="center"/>
    </xf>
    <xf numFmtId="0" fontId="19" fillId="0" borderId="32" xfId="0" applyFont="1" applyBorder="1"/>
    <xf numFmtId="0" fontId="19" fillId="0" borderId="33" xfId="0" applyFont="1" applyBorder="1"/>
    <xf numFmtId="0" fontId="20" fillId="3" borderId="31" xfId="0" applyFont="1" applyFill="1" applyBorder="1" applyAlignment="1">
      <alignment horizontal="center"/>
    </xf>
    <xf numFmtId="0" fontId="9" fillId="9" borderId="31" xfId="0" applyFont="1" applyFill="1" applyBorder="1" applyAlignment="1">
      <alignment horizontal="center"/>
    </xf>
    <xf numFmtId="0" fontId="1" fillId="4" borderId="39" xfId="0" applyFont="1" applyFill="1" applyBorder="1" applyAlignment="1">
      <alignment horizontal="center"/>
    </xf>
    <xf numFmtId="0" fontId="19" fillId="0" borderId="40" xfId="0" applyFont="1" applyBorder="1"/>
    <xf numFmtId="0" fontId="19" fillId="0" borderId="41" xfId="0" applyFont="1" applyBorder="1"/>
    <xf numFmtId="0" fontId="1" fillId="4" borderId="42" xfId="0" applyFont="1" applyFill="1" applyBorder="1" applyAlignment="1">
      <alignment horizontal="center"/>
    </xf>
    <xf numFmtId="0" fontId="19" fillId="0" borderId="43" xfId="0" applyFont="1" applyBorder="1"/>
    <xf numFmtId="0" fontId="10" fillId="11" borderId="31" xfId="0" applyFont="1" applyFill="1" applyBorder="1" applyAlignment="1">
      <alignment horizontal="center"/>
    </xf>
    <xf numFmtId="167" fontId="1" fillId="12" borderId="73" xfId="0" applyNumberFormat="1" applyFont="1" applyFill="1" applyBorder="1" applyAlignment="1">
      <alignment horizontal="left" vertical="center" wrapText="1"/>
    </xf>
    <xf numFmtId="0" fontId="19" fillId="0" borderId="74" xfId="0" applyFont="1" applyBorder="1"/>
    <xf numFmtId="0" fontId="19" fillId="0" borderId="75" xfId="0" applyFont="1" applyBorder="1"/>
    <xf numFmtId="0" fontId="30" fillId="0" borderId="68" xfId="0" applyFont="1" applyBorder="1" applyAlignment="1">
      <alignment horizontal="right"/>
    </xf>
    <xf numFmtId="0" fontId="19" fillId="0" borderId="69" xfId="0" applyFont="1" applyBorder="1"/>
    <xf numFmtId="166" fontId="31" fillId="0" borderId="70" xfId="0" applyNumberFormat="1" applyFont="1" applyBorder="1" applyAlignment="1">
      <alignment horizontal="center" vertical="center"/>
    </xf>
    <xf numFmtId="0" fontId="19" fillId="0" borderId="71" xfId="0" applyFont="1" applyBorder="1"/>
    <xf numFmtId="0" fontId="41" fillId="5" borderId="92" xfId="0" applyFont="1" applyFill="1" applyBorder="1" applyAlignment="1">
      <alignment horizontal="center" vertical="center" wrapText="1"/>
    </xf>
    <xf numFmtId="0" fontId="19" fillId="0" borderId="93" xfId="0" applyFont="1" applyBorder="1"/>
    <xf numFmtId="0" fontId="19" fillId="0" borderId="94" xfId="0" applyFont="1" applyBorder="1"/>
    <xf numFmtId="0" fontId="40" fillId="21" borderId="84" xfId="0" applyFont="1" applyFill="1" applyBorder="1" applyAlignment="1">
      <alignment horizontal="center" vertical="center" wrapText="1"/>
    </xf>
    <xf numFmtId="0" fontId="19" fillId="0" borderId="85" xfId="0" applyFont="1" applyBorder="1"/>
    <xf numFmtId="0" fontId="1" fillId="0" borderId="89" xfId="0" applyFont="1" applyBorder="1" applyAlignment="1">
      <alignment horizontal="center" wrapText="1"/>
    </xf>
    <xf numFmtId="0" fontId="19" fillId="0" borderId="90" xfId="0" applyFont="1" applyBorder="1"/>
    <xf numFmtId="0" fontId="19" fillId="0" borderId="91" xfId="0" applyFont="1" applyBorder="1"/>
    <xf numFmtId="0" fontId="1" fillId="0" borderId="89" xfId="0" applyFont="1" applyBorder="1" applyAlignment="1">
      <alignment horizontal="center"/>
    </xf>
    <xf numFmtId="0" fontId="0" fillId="0" borderId="96" xfId="0" applyNumberFormat="1" applyBorder="1"/>
    <xf numFmtId="0" fontId="0" fillId="0" borderId="100" xfId="0" applyNumberFormat="1" applyBorder="1"/>
  </cellXfs>
  <cellStyles count="1">
    <cellStyle name="Normal" xfId="0" builtinId="0"/>
  </cellStyles>
  <dxfs count="12">
    <dxf>
      <fill>
        <patternFill patternType="solid">
          <fgColor theme="7"/>
          <bgColor theme="7"/>
        </patternFill>
      </fill>
    </dxf>
    <dxf>
      <fill>
        <patternFill patternType="solid">
          <fgColor rgb="FFA5A5A5"/>
          <bgColor rgb="FFA5A5A5"/>
        </patternFill>
      </fill>
    </dxf>
    <dxf>
      <fill>
        <patternFill patternType="none"/>
      </fill>
      <border>
        <left style="thin">
          <color rgb="FFC00000"/>
        </left>
        <right style="thin">
          <color rgb="FFC00000"/>
        </right>
      </border>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0" Type="http://schemas.openxmlformats.org/officeDocument/2006/relationships/externalLink" Target="externalLinks/externalLink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0CFB7DD9-0DA5-4E4C-8DA3-9F1B6119F4C6}" type="doc">
      <dgm:prSet loTypeId="urn:microsoft.com/office/officeart/2005/8/layout/orgChart1" loCatId="hierarchy" qsTypeId="urn:microsoft.com/office/officeart/2005/8/quickstyle/simple4" qsCatId="simple" csTypeId="urn:microsoft.com/office/officeart/2005/8/colors/accent1_2" csCatId="accent1" phldr="1"/>
      <dgm:spPr/>
      <dgm:t>
        <a:bodyPr/>
        <a:lstStyle/>
        <a:p>
          <a:endParaRPr lang="pt-BR"/>
        </a:p>
      </dgm:t>
    </dgm:pt>
    <dgm:pt modelId="{0102E4FE-20A8-44CB-9044-37DB2019EEF7}">
      <dgm:prSet phldrT="[Texto]" custT="1"/>
      <dgm:spPr>
        <a:solidFill>
          <a:schemeClr val="tx2"/>
        </a:solidFill>
      </dgm:spPr>
      <dgm:t>
        <a:bodyPr/>
        <a:lstStyle/>
        <a:p>
          <a:endParaRPr lang="pt-BR" sz="1050" b="1"/>
        </a:p>
      </dgm:t>
    </dgm:pt>
    <dgm:pt modelId="{2EDE4DE6-9005-475A-8D27-D82D00EB941C}" type="parTrans" cxnId="{8856D64A-8E4C-492F-98E8-19CF0A0ADB32}">
      <dgm:prSet/>
      <dgm:spPr/>
      <dgm:t>
        <a:bodyPr/>
        <a:lstStyle/>
        <a:p>
          <a:endParaRPr lang="pt-BR"/>
        </a:p>
      </dgm:t>
    </dgm:pt>
    <dgm:pt modelId="{E7C380F8-F032-4E10-986A-DDA7FC09E32D}" type="sibTrans" cxnId="{8856D64A-8E4C-492F-98E8-19CF0A0ADB32}">
      <dgm:prSet/>
      <dgm:spPr/>
      <dgm:t>
        <a:bodyPr/>
        <a:lstStyle/>
        <a:p>
          <a:endParaRPr lang="pt-BR"/>
        </a:p>
      </dgm:t>
    </dgm:pt>
    <dgm:pt modelId="{025397C8-278A-4FB7-A986-A1B487EA1563}">
      <dgm:prSet phldrT="[Texto]"/>
      <dgm:spPr>
        <a:solidFill>
          <a:schemeClr val="accent6">
            <a:lumMod val="75000"/>
          </a:schemeClr>
        </a:solidFill>
      </dgm:spPr>
      <dgm:t>
        <a:bodyPr/>
        <a:lstStyle/>
        <a:p>
          <a:r>
            <a:rPr lang="pt-BR" b="1"/>
            <a:t>INTEGRAÇÃO COM SISTEMAS DE VAGAS DE EMPREGOS</a:t>
          </a:r>
        </a:p>
      </dgm:t>
    </dgm:pt>
    <dgm:pt modelId="{E9CCBF3B-F7D4-491B-83ED-166AFDD5DD30}" type="parTrans" cxnId="{0A56C6DB-31EB-4084-BBA3-788918B1E116}">
      <dgm:prSet/>
      <dgm:spPr/>
      <dgm:t>
        <a:bodyPr/>
        <a:lstStyle/>
        <a:p>
          <a:endParaRPr lang="pt-BR"/>
        </a:p>
      </dgm:t>
    </dgm:pt>
    <dgm:pt modelId="{03B4767C-E8A0-48F5-82FB-BC0CE0CB73C2}" type="sibTrans" cxnId="{0A56C6DB-31EB-4084-BBA3-788918B1E116}">
      <dgm:prSet/>
      <dgm:spPr/>
      <dgm:t>
        <a:bodyPr/>
        <a:lstStyle/>
        <a:p>
          <a:endParaRPr lang="pt-BR"/>
        </a:p>
      </dgm:t>
    </dgm:pt>
    <dgm:pt modelId="{8BB75C25-BB24-48E5-95A1-BDDD2AD67385}">
      <dgm:prSet phldrT="[Texto]"/>
      <dgm:spPr>
        <a:solidFill>
          <a:schemeClr val="accent6">
            <a:lumMod val="75000"/>
          </a:schemeClr>
        </a:solidFill>
      </dgm:spPr>
      <dgm:t>
        <a:bodyPr/>
        <a:lstStyle/>
        <a:p>
          <a:r>
            <a:rPr lang="pt-BR" b="1"/>
            <a:t>TESTES</a:t>
          </a:r>
        </a:p>
      </dgm:t>
    </dgm:pt>
    <dgm:pt modelId="{3F1B0426-4EA2-44D9-B786-B19B57D5CDEA}" type="parTrans" cxnId="{A458D9FF-02BE-46BB-A088-C5A5D4DCC19A}">
      <dgm:prSet/>
      <dgm:spPr/>
      <dgm:t>
        <a:bodyPr/>
        <a:lstStyle/>
        <a:p>
          <a:endParaRPr lang="pt-BR"/>
        </a:p>
      </dgm:t>
    </dgm:pt>
    <dgm:pt modelId="{287D1434-478B-40C7-839D-02EB6EAF6F1B}" type="sibTrans" cxnId="{A458D9FF-02BE-46BB-A088-C5A5D4DCC19A}">
      <dgm:prSet/>
      <dgm:spPr/>
      <dgm:t>
        <a:bodyPr/>
        <a:lstStyle/>
        <a:p>
          <a:endParaRPr lang="pt-BR"/>
        </a:p>
      </dgm:t>
    </dgm:pt>
    <dgm:pt modelId="{14FC8420-D447-4CEA-A3B7-61E9B3749D8E}">
      <dgm:prSet phldrT="[Texto]"/>
      <dgm:spPr>
        <a:solidFill>
          <a:schemeClr val="accent6">
            <a:lumMod val="75000"/>
          </a:schemeClr>
        </a:solidFill>
      </dgm:spPr>
      <dgm:t>
        <a:bodyPr/>
        <a:lstStyle/>
        <a:p>
          <a:r>
            <a:rPr lang="pt-BR" b="1"/>
            <a:t>EXPANSÃO</a:t>
          </a:r>
        </a:p>
      </dgm:t>
    </dgm:pt>
    <dgm:pt modelId="{EC92CB9E-5DFE-4287-A9E0-4954C06F656B}" type="parTrans" cxnId="{90A22982-35F0-4690-94C9-FC7C7030A57B}">
      <dgm:prSet/>
      <dgm:spPr/>
      <dgm:t>
        <a:bodyPr/>
        <a:lstStyle/>
        <a:p>
          <a:endParaRPr lang="pt-BR"/>
        </a:p>
      </dgm:t>
    </dgm:pt>
    <dgm:pt modelId="{E9188AE6-C38D-49A6-B8A2-AFBE7B3ACBE6}" type="sibTrans" cxnId="{90A22982-35F0-4690-94C9-FC7C7030A57B}">
      <dgm:prSet/>
      <dgm:spPr/>
      <dgm:t>
        <a:bodyPr/>
        <a:lstStyle/>
        <a:p>
          <a:endParaRPr lang="pt-BR"/>
        </a:p>
      </dgm:t>
    </dgm:pt>
    <dgm:pt modelId="{905ED552-0ABB-46DE-A60F-9DB1B7EBD348}">
      <dgm:prSet/>
      <dgm:spPr>
        <a:solidFill>
          <a:schemeClr val="accent6">
            <a:lumMod val="75000"/>
          </a:schemeClr>
        </a:solidFill>
      </dgm:spPr>
      <dgm:t>
        <a:bodyPr/>
        <a:lstStyle/>
        <a:p>
          <a:r>
            <a:rPr lang="pt-BR" b="1"/>
            <a:t>AVALIAÇÃO</a:t>
          </a:r>
        </a:p>
        <a:p>
          <a:r>
            <a:rPr lang="pt-BR" b="1"/>
            <a:t>E APERFEICOAMENTO</a:t>
          </a:r>
        </a:p>
      </dgm:t>
    </dgm:pt>
    <dgm:pt modelId="{C0EE7375-36E6-4281-9237-5F5EEB6505C0}" type="parTrans" cxnId="{81FD159E-5A59-47E9-B060-7B6EB6770B16}">
      <dgm:prSet/>
      <dgm:spPr/>
      <dgm:t>
        <a:bodyPr/>
        <a:lstStyle/>
        <a:p>
          <a:endParaRPr lang="pt-BR"/>
        </a:p>
      </dgm:t>
    </dgm:pt>
    <dgm:pt modelId="{CB9B60C3-837E-4475-B99D-FCE33FAFF27C}" type="sibTrans" cxnId="{81FD159E-5A59-47E9-B060-7B6EB6770B16}">
      <dgm:prSet/>
      <dgm:spPr/>
      <dgm:t>
        <a:bodyPr/>
        <a:lstStyle/>
        <a:p>
          <a:endParaRPr lang="pt-BR"/>
        </a:p>
      </dgm:t>
    </dgm:pt>
    <dgm:pt modelId="{5901CCA6-EF9E-4F05-B532-AFA0A830E4D5}">
      <dgm:prSet/>
      <dgm:spPr>
        <a:solidFill>
          <a:schemeClr val="accent6">
            <a:lumMod val="75000"/>
          </a:schemeClr>
        </a:solidFill>
      </dgm:spPr>
      <dgm:t>
        <a:bodyPr/>
        <a:lstStyle/>
        <a:p>
          <a:r>
            <a:rPr lang="pt-BR" b="1"/>
            <a:t>PÓS-LANÇAMENTO</a:t>
          </a:r>
        </a:p>
      </dgm:t>
    </dgm:pt>
    <dgm:pt modelId="{3AAD358E-6C2A-45F6-8AEA-D2444BC59F19}" type="parTrans" cxnId="{E55DB602-DC2A-4A90-AEBC-D3FA9C19E981}">
      <dgm:prSet/>
      <dgm:spPr/>
      <dgm:t>
        <a:bodyPr/>
        <a:lstStyle/>
        <a:p>
          <a:endParaRPr lang="pt-BR"/>
        </a:p>
      </dgm:t>
    </dgm:pt>
    <dgm:pt modelId="{DA81767C-EE83-44C2-9E22-3E8E99D8403B}" type="sibTrans" cxnId="{E55DB602-DC2A-4A90-AEBC-D3FA9C19E981}">
      <dgm:prSet/>
      <dgm:spPr/>
      <dgm:t>
        <a:bodyPr/>
        <a:lstStyle/>
        <a:p>
          <a:endParaRPr lang="pt-BR"/>
        </a:p>
      </dgm:t>
    </dgm:pt>
    <dgm:pt modelId="{95040E2D-3B14-4838-BEEC-F567F54E210A}">
      <dgm:prSet/>
      <dgm:spPr>
        <a:solidFill>
          <a:schemeClr val="accent6">
            <a:lumMod val="75000"/>
          </a:schemeClr>
        </a:solidFill>
      </dgm:spPr>
      <dgm:t>
        <a:bodyPr/>
        <a:lstStyle/>
        <a:p>
          <a:r>
            <a:rPr lang="pt-BR" b="1"/>
            <a:t>MARKETING </a:t>
          </a:r>
        </a:p>
        <a:p>
          <a:r>
            <a:rPr lang="pt-BR" b="1"/>
            <a:t>E DIVULGAÇÃO</a:t>
          </a:r>
        </a:p>
      </dgm:t>
    </dgm:pt>
    <dgm:pt modelId="{05FE1BD5-3C3C-4969-A364-2530D63BDBD5}" type="parTrans" cxnId="{65E43AF3-D179-485C-9875-A65A828CCE76}">
      <dgm:prSet/>
      <dgm:spPr/>
      <dgm:t>
        <a:bodyPr/>
        <a:lstStyle/>
        <a:p>
          <a:endParaRPr lang="pt-BR"/>
        </a:p>
      </dgm:t>
    </dgm:pt>
    <dgm:pt modelId="{399F0C6F-6EF9-4BBC-8F8C-74F7043B2B33}" type="sibTrans" cxnId="{65E43AF3-D179-485C-9875-A65A828CCE76}">
      <dgm:prSet/>
      <dgm:spPr/>
      <dgm:t>
        <a:bodyPr/>
        <a:lstStyle/>
        <a:p>
          <a:endParaRPr lang="pt-BR"/>
        </a:p>
      </dgm:t>
    </dgm:pt>
    <dgm:pt modelId="{424E63FB-7A5E-47ED-BA8E-381C8BEA7B4D}">
      <dgm:prSet/>
      <dgm:spPr>
        <a:solidFill>
          <a:schemeClr val="accent6">
            <a:lumMod val="75000"/>
          </a:schemeClr>
        </a:solidFill>
      </dgm:spPr>
      <dgm:t>
        <a:bodyPr/>
        <a:lstStyle/>
        <a:p>
          <a:r>
            <a:rPr lang="pt-BR" b="1"/>
            <a:t>LANÇAMENTO</a:t>
          </a:r>
        </a:p>
      </dgm:t>
    </dgm:pt>
    <dgm:pt modelId="{EBA54DFC-7FC3-4D85-9BDE-4CD347E65E6C}" type="parTrans" cxnId="{92F2DEF2-629B-4230-8138-3DEF5A285113}">
      <dgm:prSet/>
      <dgm:spPr/>
      <dgm:t>
        <a:bodyPr/>
        <a:lstStyle/>
        <a:p>
          <a:endParaRPr lang="pt-BR"/>
        </a:p>
      </dgm:t>
    </dgm:pt>
    <dgm:pt modelId="{2D9C3D49-28A1-4E2A-8676-8FA2D87A3E83}" type="sibTrans" cxnId="{92F2DEF2-629B-4230-8138-3DEF5A285113}">
      <dgm:prSet/>
      <dgm:spPr/>
      <dgm:t>
        <a:bodyPr/>
        <a:lstStyle/>
        <a:p>
          <a:endParaRPr lang="pt-BR"/>
        </a:p>
      </dgm:t>
    </dgm:pt>
    <dgm:pt modelId="{4D29C077-1695-455C-9DAA-E15887E6F57B}">
      <dgm:prSet custT="1"/>
      <dgm:spPr>
        <a:solidFill>
          <a:schemeClr val="accent6">
            <a:lumMod val="75000"/>
          </a:schemeClr>
        </a:solidFill>
      </dgm:spPr>
      <dgm:t>
        <a:bodyPr/>
        <a:lstStyle/>
        <a:p>
          <a:r>
            <a:rPr lang="pt-BR" sz="800" b="1"/>
            <a:t>DESIGN</a:t>
          </a:r>
        </a:p>
        <a:p>
          <a:r>
            <a:rPr lang="pt-BR" sz="800" b="1"/>
            <a:t>PROTOTIPAGEM</a:t>
          </a:r>
        </a:p>
      </dgm:t>
    </dgm:pt>
    <dgm:pt modelId="{DE3A69AF-6A99-44DF-9639-EBEE5AEFB1D1}" type="parTrans" cxnId="{27C00910-C226-4303-8866-345AE734DB89}">
      <dgm:prSet/>
      <dgm:spPr/>
      <dgm:t>
        <a:bodyPr/>
        <a:lstStyle/>
        <a:p>
          <a:endParaRPr lang="pt-BR"/>
        </a:p>
      </dgm:t>
    </dgm:pt>
    <dgm:pt modelId="{E6AEEF36-DE94-4725-A972-AA3652B3FD65}" type="sibTrans" cxnId="{27C00910-C226-4303-8866-345AE734DB89}">
      <dgm:prSet/>
      <dgm:spPr/>
      <dgm:t>
        <a:bodyPr/>
        <a:lstStyle/>
        <a:p>
          <a:endParaRPr lang="pt-BR"/>
        </a:p>
      </dgm:t>
    </dgm:pt>
    <dgm:pt modelId="{809B22AA-EB2B-4C4F-82C3-E979FD4CF357}">
      <dgm:prSet custT="1"/>
      <dgm:spPr>
        <a:solidFill>
          <a:schemeClr val="accent6">
            <a:lumMod val="75000"/>
          </a:schemeClr>
        </a:solidFill>
      </dgm:spPr>
      <dgm:t>
        <a:bodyPr/>
        <a:lstStyle/>
        <a:p>
          <a:r>
            <a:rPr lang="pt-BR" sz="900" b="1"/>
            <a:t>Acordos</a:t>
          </a:r>
        </a:p>
      </dgm:t>
    </dgm:pt>
    <dgm:pt modelId="{E2EA6942-20E6-4D51-99FA-C77C5E746936}" type="parTrans" cxnId="{8F7AF59A-A09C-4519-9E40-16E103BD2262}">
      <dgm:prSet/>
      <dgm:spPr/>
      <dgm:t>
        <a:bodyPr/>
        <a:lstStyle/>
        <a:p>
          <a:endParaRPr lang="pt-BR"/>
        </a:p>
      </dgm:t>
    </dgm:pt>
    <dgm:pt modelId="{A3E7A7D9-26B8-432D-9CFA-8BAF85BB66C1}" type="sibTrans" cxnId="{8F7AF59A-A09C-4519-9E40-16E103BD2262}">
      <dgm:prSet/>
      <dgm:spPr/>
      <dgm:t>
        <a:bodyPr/>
        <a:lstStyle/>
        <a:p>
          <a:endParaRPr lang="pt-BR"/>
        </a:p>
      </dgm:t>
    </dgm:pt>
    <dgm:pt modelId="{8D244D8F-C792-40BC-A511-7DE39E45E194}">
      <dgm:prSet custT="1"/>
      <dgm:spPr>
        <a:solidFill>
          <a:schemeClr val="accent6">
            <a:lumMod val="75000"/>
          </a:schemeClr>
        </a:solidFill>
      </dgm:spPr>
      <dgm:t>
        <a:bodyPr/>
        <a:lstStyle/>
        <a:p>
          <a:r>
            <a:rPr lang="pt-BR" sz="1000" b="1"/>
            <a:t>INÍCIO</a:t>
          </a:r>
        </a:p>
      </dgm:t>
    </dgm:pt>
    <dgm:pt modelId="{D6922E7D-1806-4E3F-8FA5-876C5E53C8A8}" type="parTrans" cxnId="{C552F942-1B7C-4AFB-821A-4D72C958D1CB}">
      <dgm:prSet/>
      <dgm:spPr/>
      <dgm:t>
        <a:bodyPr/>
        <a:lstStyle/>
        <a:p>
          <a:endParaRPr lang="pt-BR"/>
        </a:p>
      </dgm:t>
    </dgm:pt>
    <dgm:pt modelId="{0BEBD46A-8D07-492E-B8B0-DBB8BC9382EB}" type="sibTrans" cxnId="{C552F942-1B7C-4AFB-821A-4D72C958D1CB}">
      <dgm:prSet/>
      <dgm:spPr/>
      <dgm:t>
        <a:bodyPr/>
        <a:lstStyle/>
        <a:p>
          <a:endParaRPr lang="pt-BR"/>
        </a:p>
      </dgm:t>
    </dgm:pt>
    <dgm:pt modelId="{97F38E1B-8B0A-4C1C-BB0E-8DC2824BBDEE}">
      <dgm:prSet/>
      <dgm:spPr/>
      <dgm:t>
        <a:bodyPr/>
        <a:lstStyle/>
        <a:p>
          <a:r>
            <a:rPr lang="pt-BR"/>
            <a:t>Permissões e</a:t>
          </a:r>
        </a:p>
        <a:p>
          <a:r>
            <a:rPr lang="pt-BR"/>
            <a:t>restrições</a:t>
          </a:r>
        </a:p>
      </dgm:t>
    </dgm:pt>
    <dgm:pt modelId="{9792CF75-292C-4BCA-A2CF-C2FA68F001BD}" type="parTrans" cxnId="{F28D2A09-27DD-4A0C-BC01-7D87ED14C5EF}">
      <dgm:prSet/>
      <dgm:spPr/>
      <dgm:t>
        <a:bodyPr/>
        <a:lstStyle/>
        <a:p>
          <a:endParaRPr lang="pt-BR"/>
        </a:p>
      </dgm:t>
    </dgm:pt>
    <dgm:pt modelId="{2D6198F2-32BE-47EB-A094-B34B1ED30EA3}" type="sibTrans" cxnId="{F28D2A09-27DD-4A0C-BC01-7D87ED14C5EF}">
      <dgm:prSet/>
      <dgm:spPr/>
      <dgm:t>
        <a:bodyPr/>
        <a:lstStyle/>
        <a:p>
          <a:endParaRPr lang="pt-BR"/>
        </a:p>
      </dgm:t>
    </dgm:pt>
    <dgm:pt modelId="{4EDFDD96-7D03-4644-B893-2DE9B7516A86}">
      <dgm:prSet/>
      <dgm:spPr/>
      <dgm:t>
        <a:bodyPr/>
        <a:lstStyle/>
        <a:p>
          <a:r>
            <a:rPr lang="pt-BR"/>
            <a:t>DESIGN UI </a:t>
          </a:r>
        </a:p>
      </dgm:t>
    </dgm:pt>
    <dgm:pt modelId="{F488A61D-44A8-43AF-8D4D-9D3A28823A7B}" type="parTrans" cxnId="{3EA162A4-132D-4878-91E4-70CE79167425}">
      <dgm:prSet/>
      <dgm:spPr/>
      <dgm:t>
        <a:bodyPr/>
        <a:lstStyle/>
        <a:p>
          <a:endParaRPr lang="pt-BR"/>
        </a:p>
      </dgm:t>
    </dgm:pt>
    <dgm:pt modelId="{DE838DFA-5D9A-4E00-863E-4F0DE9AEC1FD}" type="sibTrans" cxnId="{3EA162A4-132D-4878-91E4-70CE79167425}">
      <dgm:prSet/>
      <dgm:spPr/>
      <dgm:t>
        <a:bodyPr/>
        <a:lstStyle/>
        <a:p>
          <a:endParaRPr lang="pt-BR"/>
        </a:p>
      </dgm:t>
    </dgm:pt>
    <dgm:pt modelId="{D9DCBD92-CF2D-4FA3-9650-A94983E94475}">
      <dgm:prSet/>
      <dgm:spPr/>
      <dgm:t>
        <a:bodyPr/>
        <a:lstStyle/>
        <a:p>
          <a:r>
            <a:rPr lang="pt-BR" b="1"/>
            <a:t>arquitetura do app</a:t>
          </a:r>
          <a:endParaRPr lang="pt-BR"/>
        </a:p>
      </dgm:t>
    </dgm:pt>
    <dgm:pt modelId="{8069AF01-BDAC-4439-9E0A-EA0793CC3F91}" type="parTrans" cxnId="{0251C4D9-523C-45CA-9883-E36842905429}">
      <dgm:prSet/>
      <dgm:spPr/>
      <dgm:t>
        <a:bodyPr/>
        <a:lstStyle/>
        <a:p>
          <a:endParaRPr lang="pt-BR"/>
        </a:p>
      </dgm:t>
    </dgm:pt>
    <dgm:pt modelId="{62C8F385-660A-4B36-9BB8-6E3C7FF1DC57}" type="sibTrans" cxnId="{0251C4D9-523C-45CA-9883-E36842905429}">
      <dgm:prSet/>
      <dgm:spPr/>
      <dgm:t>
        <a:bodyPr/>
        <a:lstStyle/>
        <a:p>
          <a:endParaRPr lang="pt-BR"/>
        </a:p>
      </dgm:t>
    </dgm:pt>
    <dgm:pt modelId="{E2157045-4CE0-40CE-9C58-F4043DF91E33}">
      <dgm:prSet/>
      <dgm:spPr/>
      <dgm:t>
        <a:bodyPr/>
        <a:lstStyle/>
        <a:p>
          <a:r>
            <a:rPr lang="pt-BR"/>
            <a:t>INTEGRAÇÃO COM DIVERSOS SISTEMAS</a:t>
          </a:r>
        </a:p>
      </dgm:t>
    </dgm:pt>
    <dgm:pt modelId="{F9922145-9B07-49CE-9FA6-B33C82D2B167}" type="parTrans" cxnId="{762B93D8-43BE-42B3-8DE5-31247C71202B}">
      <dgm:prSet/>
      <dgm:spPr/>
      <dgm:t>
        <a:bodyPr/>
        <a:lstStyle/>
        <a:p>
          <a:endParaRPr lang="pt-BR"/>
        </a:p>
      </dgm:t>
    </dgm:pt>
    <dgm:pt modelId="{CA9D8683-4E32-4861-94E8-CF694F4D3BA3}" type="sibTrans" cxnId="{762B93D8-43BE-42B3-8DE5-31247C71202B}">
      <dgm:prSet/>
      <dgm:spPr/>
      <dgm:t>
        <a:bodyPr/>
        <a:lstStyle/>
        <a:p>
          <a:endParaRPr lang="pt-BR"/>
        </a:p>
      </dgm:t>
    </dgm:pt>
    <dgm:pt modelId="{D6F5CD79-D3E1-4B19-9C25-479267A00537}">
      <dgm:prSet/>
      <dgm:spPr/>
      <dgm:t>
        <a:bodyPr/>
        <a:lstStyle/>
        <a:p>
          <a:r>
            <a:rPr lang="pt-BR"/>
            <a:t>TESTES DE QUALIDADE E DESEMPENHO</a:t>
          </a:r>
        </a:p>
      </dgm:t>
    </dgm:pt>
    <dgm:pt modelId="{50F4CB47-0DB9-4B1E-9C75-49682DAC2BF7}" type="parTrans" cxnId="{C6FE6CD8-A901-422C-875C-5FBBBE15EF5E}">
      <dgm:prSet/>
      <dgm:spPr/>
      <dgm:t>
        <a:bodyPr/>
        <a:lstStyle/>
        <a:p>
          <a:endParaRPr lang="pt-BR"/>
        </a:p>
      </dgm:t>
    </dgm:pt>
    <dgm:pt modelId="{A143E528-DC48-443B-967F-FB0FB6BA3C02}" type="sibTrans" cxnId="{C6FE6CD8-A901-422C-875C-5FBBBE15EF5E}">
      <dgm:prSet/>
      <dgm:spPr/>
      <dgm:t>
        <a:bodyPr/>
        <a:lstStyle/>
        <a:p>
          <a:endParaRPr lang="pt-BR"/>
        </a:p>
      </dgm:t>
    </dgm:pt>
    <dgm:pt modelId="{92338313-9670-40FB-8040-D372407E9060}">
      <dgm:prSet/>
      <dgm:spPr/>
      <dgm:t>
        <a:bodyPr/>
        <a:lstStyle/>
        <a:p>
          <a:r>
            <a:rPr lang="pt-BR"/>
            <a:t>CRIAR MATERIAIS DE VENDAS/MARKETING</a:t>
          </a:r>
        </a:p>
      </dgm:t>
    </dgm:pt>
    <dgm:pt modelId="{2EA6147A-4097-4648-9D83-1C15EC3F6E1C}" type="parTrans" cxnId="{87F57775-E1CB-4C77-B610-15C932BBF66E}">
      <dgm:prSet/>
      <dgm:spPr/>
      <dgm:t>
        <a:bodyPr/>
        <a:lstStyle/>
        <a:p>
          <a:endParaRPr lang="pt-BR"/>
        </a:p>
      </dgm:t>
    </dgm:pt>
    <dgm:pt modelId="{B4F18F56-A5B4-46E0-A7B1-FB49C24421E2}" type="sibTrans" cxnId="{87F57775-E1CB-4C77-B610-15C932BBF66E}">
      <dgm:prSet/>
      <dgm:spPr/>
      <dgm:t>
        <a:bodyPr/>
        <a:lstStyle/>
        <a:p>
          <a:endParaRPr lang="pt-BR"/>
        </a:p>
      </dgm:t>
    </dgm:pt>
    <dgm:pt modelId="{23A96D7A-299B-4FA1-93D0-41E5DC2BDB0F}">
      <dgm:prSet/>
      <dgm:spPr/>
      <dgm:t>
        <a:bodyPr/>
        <a:lstStyle/>
        <a:p>
          <a:r>
            <a:rPr lang="pt-BR"/>
            <a:t>MONITORAÇÃO DE MÉTRICAS E FEEDBACK</a:t>
          </a:r>
        </a:p>
      </dgm:t>
    </dgm:pt>
    <dgm:pt modelId="{E9B60A7F-1B58-4875-83A0-42F3D1E4F7F2}" type="parTrans" cxnId="{B7D1D96A-3311-42A6-95E4-ADEB798CB0AE}">
      <dgm:prSet/>
      <dgm:spPr/>
      <dgm:t>
        <a:bodyPr/>
        <a:lstStyle/>
        <a:p>
          <a:endParaRPr lang="pt-BR"/>
        </a:p>
      </dgm:t>
    </dgm:pt>
    <dgm:pt modelId="{2B4DE4BC-1F11-40B8-BA40-4D746CA32CA5}" type="sibTrans" cxnId="{B7D1D96A-3311-42A6-95E4-ADEB798CB0AE}">
      <dgm:prSet/>
      <dgm:spPr/>
      <dgm:t>
        <a:bodyPr/>
        <a:lstStyle/>
        <a:p>
          <a:endParaRPr lang="pt-BR"/>
        </a:p>
      </dgm:t>
    </dgm:pt>
    <dgm:pt modelId="{EEBC546B-B559-4568-BA01-5B4728E41645}">
      <dgm:prSet/>
      <dgm:spPr/>
      <dgm:t>
        <a:bodyPr/>
        <a:lstStyle/>
        <a:p>
          <a:r>
            <a:rPr lang="pt-BR"/>
            <a:t>ESTRATÉGIAS DE MARKETING</a:t>
          </a:r>
        </a:p>
      </dgm:t>
    </dgm:pt>
    <dgm:pt modelId="{90B63618-9D9F-4204-8A72-1DEDB9B6A698}" type="parTrans" cxnId="{BD8A4098-D363-4F86-8817-05EE9013D60E}">
      <dgm:prSet/>
      <dgm:spPr/>
      <dgm:t>
        <a:bodyPr/>
        <a:lstStyle/>
        <a:p>
          <a:endParaRPr lang="pt-BR"/>
        </a:p>
      </dgm:t>
    </dgm:pt>
    <dgm:pt modelId="{30517B5D-AB6C-4E1B-B1ED-2E6BBC68EE6B}" type="sibTrans" cxnId="{BD8A4098-D363-4F86-8817-05EE9013D60E}">
      <dgm:prSet/>
      <dgm:spPr/>
      <dgm:t>
        <a:bodyPr/>
        <a:lstStyle/>
        <a:p>
          <a:endParaRPr lang="pt-BR"/>
        </a:p>
      </dgm:t>
    </dgm:pt>
    <dgm:pt modelId="{FA075ABC-5CA4-4216-8E88-E8C82245409F}">
      <dgm:prSet/>
      <dgm:spPr/>
      <dgm:t>
        <a:bodyPr/>
        <a:lstStyle/>
        <a:p>
          <a:r>
            <a:rPr lang="pt-BR"/>
            <a:t>ANÁLISE DE DESEMPENHO</a:t>
          </a:r>
        </a:p>
      </dgm:t>
    </dgm:pt>
    <dgm:pt modelId="{164BE56B-4369-439C-BDA1-AC866650347E}" type="parTrans" cxnId="{1A5C29E5-0B3D-496A-BA37-3EE497555743}">
      <dgm:prSet/>
      <dgm:spPr/>
      <dgm:t>
        <a:bodyPr/>
        <a:lstStyle/>
        <a:p>
          <a:endParaRPr lang="pt-BR"/>
        </a:p>
      </dgm:t>
    </dgm:pt>
    <dgm:pt modelId="{EA0AF616-A340-440B-B802-02F18855477B}" type="sibTrans" cxnId="{1A5C29E5-0B3D-496A-BA37-3EE497555743}">
      <dgm:prSet/>
      <dgm:spPr/>
      <dgm:t>
        <a:bodyPr/>
        <a:lstStyle/>
        <a:p>
          <a:endParaRPr lang="pt-BR"/>
        </a:p>
      </dgm:t>
    </dgm:pt>
    <dgm:pt modelId="{BA15DC88-B838-4D5F-9BAB-AEC02AE52521}">
      <dgm:prSet/>
      <dgm:spPr/>
      <dgm:t>
        <a:bodyPr/>
        <a:lstStyle/>
        <a:p>
          <a:r>
            <a:rPr lang="pt-BR"/>
            <a:t>ANÁLISE DE EXPANSÃO DE MERCADO</a:t>
          </a:r>
        </a:p>
      </dgm:t>
    </dgm:pt>
    <dgm:pt modelId="{D1202378-9FC3-4AC3-BEDF-808E27AD479B}" type="parTrans" cxnId="{F7A145CB-AB41-45AF-8AD4-9A4F753B3ABE}">
      <dgm:prSet/>
      <dgm:spPr/>
      <dgm:t>
        <a:bodyPr/>
        <a:lstStyle/>
        <a:p>
          <a:endParaRPr lang="pt-BR"/>
        </a:p>
      </dgm:t>
    </dgm:pt>
    <dgm:pt modelId="{D7CB81A8-D79B-493F-A54C-A4C32D5B5C19}" type="sibTrans" cxnId="{F7A145CB-AB41-45AF-8AD4-9A4F753B3ABE}">
      <dgm:prSet/>
      <dgm:spPr/>
      <dgm:t>
        <a:bodyPr/>
        <a:lstStyle/>
        <a:p>
          <a:endParaRPr lang="pt-BR"/>
        </a:p>
      </dgm:t>
    </dgm:pt>
    <dgm:pt modelId="{86AF350A-A785-4BDD-9C13-1E90196942B4}">
      <dgm:prSet/>
      <dgm:spPr/>
      <dgm:t>
        <a:bodyPr/>
        <a:lstStyle/>
        <a:p>
          <a:r>
            <a:rPr lang="pt-BR"/>
            <a:t>Pesquisa de</a:t>
          </a:r>
        </a:p>
        <a:p>
          <a:r>
            <a:rPr lang="pt-BR"/>
            <a:t>viabilidade</a:t>
          </a:r>
        </a:p>
      </dgm:t>
    </dgm:pt>
    <dgm:pt modelId="{B7B3C6AE-DFBB-46A9-8CF1-A1BD803B9409}" type="parTrans" cxnId="{25A7167F-DF6B-457E-B8FE-9C31F86E5923}">
      <dgm:prSet/>
      <dgm:spPr/>
      <dgm:t>
        <a:bodyPr/>
        <a:lstStyle/>
        <a:p>
          <a:endParaRPr lang="pt-BR"/>
        </a:p>
      </dgm:t>
    </dgm:pt>
    <dgm:pt modelId="{E2A53098-4FAB-4666-9DF9-9FFC35DA3367}" type="sibTrans" cxnId="{25A7167F-DF6B-457E-B8FE-9C31F86E5923}">
      <dgm:prSet/>
      <dgm:spPr/>
      <dgm:t>
        <a:bodyPr/>
        <a:lstStyle/>
        <a:p>
          <a:endParaRPr lang="pt-BR"/>
        </a:p>
      </dgm:t>
    </dgm:pt>
    <dgm:pt modelId="{95643014-9364-4ED7-A23C-11FF87634454}">
      <dgm:prSet/>
      <dgm:spPr/>
      <dgm:t>
        <a:bodyPr/>
        <a:lstStyle/>
        <a:p>
          <a:r>
            <a:rPr lang="pt-BR"/>
            <a:t>Pesquisa</a:t>
          </a:r>
        </a:p>
        <a:p>
          <a:r>
            <a:rPr lang="pt-BR"/>
            <a:t>com</a:t>
          </a:r>
        </a:p>
        <a:p>
          <a:r>
            <a:rPr lang="pt-BR"/>
            <a:t>consumidores</a:t>
          </a:r>
        </a:p>
      </dgm:t>
    </dgm:pt>
    <dgm:pt modelId="{E0114C20-3A39-4242-9BD4-7E3A42C0079E}" type="parTrans" cxnId="{56F4D0BE-0ED8-4594-B6D7-DCDE4C6272FE}">
      <dgm:prSet/>
      <dgm:spPr/>
      <dgm:t>
        <a:bodyPr/>
        <a:lstStyle/>
        <a:p>
          <a:endParaRPr lang="pt-BR"/>
        </a:p>
      </dgm:t>
    </dgm:pt>
    <dgm:pt modelId="{17FCF78A-6A89-4118-8006-45387E9866DB}" type="sibTrans" cxnId="{56F4D0BE-0ED8-4594-B6D7-DCDE4C6272FE}">
      <dgm:prSet/>
      <dgm:spPr/>
      <dgm:t>
        <a:bodyPr/>
        <a:lstStyle/>
        <a:p>
          <a:endParaRPr lang="pt-BR"/>
        </a:p>
      </dgm:t>
    </dgm:pt>
    <dgm:pt modelId="{85C9611E-0EC3-4C90-8306-3D5D07DB36F8}">
      <dgm:prSet/>
      <dgm:spPr/>
      <dgm:t>
        <a:bodyPr/>
        <a:lstStyle/>
        <a:p>
          <a:r>
            <a:rPr lang="pt-BR" b="0"/>
            <a:t>Avaliação de</a:t>
          </a:r>
        </a:p>
        <a:p>
          <a:r>
            <a:rPr lang="pt-BR" b="0"/>
            <a:t>custos</a:t>
          </a:r>
        </a:p>
      </dgm:t>
    </dgm:pt>
    <dgm:pt modelId="{4661214A-AF71-4F01-B5B7-3BAE62E034B1}" type="parTrans" cxnId="{5FA28F56-013D-472F-83B5-8187D8315481}">
      <dgm:prSet/>
      <dgm:spPr/>
      <dgm:t>
        <a:bodyPr/>
        <a:lstStyle/>
        <a:p>
          <a:endParaRPr lang="pt-BR"/>
        </a:p>
      </dgm:t>
    </dgm:pt>
    <dgm:pt modelId="{764D2B81-8F9C-4694-8817-C29E2CC9CA1B}" type="sibTrans" cxnId="{5FA28F56-013D-472F-83B5-8187D8315481}">
      <dgm:prSet/>
      <dgm:spPr/>
      <dgm:t>
        <a:bodyPr/>
        <a:lstStyle/>
        <a:p>
          <a:endParaRPr lang="pt-BR"/>
        </a:p>
      </dgm:t>
    </dgm:pt>
    <dgm:pt modelId="{C2EFE54E-DDBB-4937-AAAF-B8E47F74D697}">
      <dgm:prSet/>
      <dgm:spPr/>
      <dgm:t>
        <a:bodyPr/>
        <a:lstStyle/>
        <a:p>
          <a:r>
            <a:rPr lang="pt-BR"/>
            <a:t>Relatorio de</a:t>
          </a:r>
        </a:p>
        <a:p>
          <a:r>
            <a:rPr lang="pt-BR"/>
            <a:t>viabilidade</a:t>
          </a:r>
        </a:p>
      </dgm:t>
    </dgm:pt>
    <dgm:pt modelId="{DCA270CC-2A75-49E7-89B8-4B3AC5996B9D}" type="parTrans" cxnId="{3D7DD36E-03E9-42F3-B684-10B7CEF98A4F}">
      <dgm:prSet/>
      <dgm:spPr/>
      <dgm:t>
        <a:bodyPr/>
        <a:lstStyle/>
        <a:p>
          <a:endParaRPr lang="pt-BR"/>
        </a:p>
      </dgm:t>
    </dgm:pt>
    <dgm:pt modelId="{5DE7361D-5FEF-405C-B0DD-35377479C1DF}" type="sibTrans" cxnId="{3D7DD36E-03E9-42F3-B684-10B7CEF98A4F}">
      <dgm:prSet/>
      <dgm:spPr/>
      <dgm:t>
        <a:bodyPr/>
        <a:lstStyle/>
        <a:p>
          <a:endParaRPr lang="pt-BR"/>
        </a:p>
      </dgm:t>
    </dgm:pt>
    <dgm:pt modelId="{0B7A893D-34B0-412E-AAF0-3244FF37E62F}">
      <dgm:prSet/>
      <dgm:spPr/>
      <dgm:t>
        <a:bodyPr/>
        <a:lstStyle/>
        <a:p>
          <a:r>
            <a:rPr lang="pt-BR"/>
            <a:t>INTEGRAÇÃO COM SISTEMAS DE MONITORAMENTO </a:t>
          </a:r>
        </a:p>
      </dgm:t>
    </dgm:pt>
    <dgm:pt modelId="{2DEF8671-DD1F-49D2-9C9F-4553E51583D7}" type="parTrans" cxnId="{DD8252DC-97BB-4DFF-98B1-5F9768B012B2}">
      <dgm:prSet/>
      <dgm:spPr/>
      <dgm:t>
        <a:bodyPr/>
        <a:lstStyle/>
        <a:p>
          <a:endParaRPr lang="pt-BR"/>
        </a:p>
      </dgm:t>
    </dgm:pt>
    <dgm:pt modelId="{EBBEF2A1-4FE1-445D-81D1-191137E58D73}" type="sibTrans" cxnId="{DD8252DC-97BB-4DFF-98B1-5F9768B012B2}">
      <dgm:prSet/>
      <dgm:spPr/>
      <dgm:t>
        <a:bodyPr/>
        <a:lstStyle/>
        <a:p>
          <a:endParaRPr lang="pt-BR"/>
        </a:p>
      </dgm:t>
    </dgm:pt>
    <dgm:pt modelId="{6ED531EE-0BC7-4118-B43F-7D8D436633A8}">
      <dgm:prSet/>
      <dgm:spPr/>
      <dgm:t>
        <a:bodyPr/>
        <a:lstStyle/>
        <a:p>
          <a:r>
            <a:rPr lang="pt-BR"/>
            <a:t>Plano de respostas e  Riscos</a:t>
          </a:r>
        </a:p>
      </dgm:t>
    </dgm:pt>
    <dgm:pt modelId="{D433E747-1E2C-41A0-B616-42B31870972F}" type="parTrans" cxnId="{14C546E3-3C2E-474D-828F-11A57961D2DD}">
      <dgm:prSet/>
      <dgm:spPr/>
      <dgm:t>
        <a:bodyPr/>
        <a:lstStyle/>
        <a:p>
          <a:endParaRPr lang="pt-BR"/>
        </a:p>
      </dgm:t>
    </dgm:pt>
    <dgm:pt modelId="{9952C637-C4F1-4218-8E7E-3DE34073E216}" type="sibTrans" cxnId="{14C546E3-3C2E-474D-828F-11A57961D2DD}">
      <dgm:prSet/>
      <dgm:spPr/>
      <dgm:t>
        <a:bodyPr/>
        <a:lstStyle/>
        <a:p>
          <a:endParaRPr lang="pt-BR"/>
        </a:p>
      </dgm:t>
    </dgm:pt>
    <dgm:pt modelId="{939AE253-A7E2-4EBA-B997-5913C2301F5A}">
      <dgm:prSet/>
      <dgm:spPr/>
      <dgm:t>
        <a:bodyPr/>
        <a:lstStyle/>
        <a:p>
          <a:r>
            <a:rPr lang="pt-BR"/>
            <a:t>Cronograma</a:t>
          </a:r>
        </a:p>
      </dgm:t>
    </dgm:pt>
    <dgm:pt modelId="{CB1CFF7C-42F1-4A09-8B31-0773BB970F24}" type="parTrans" cxnId="{5674EC56-7284-401F-B9D6-9A37111DF4F8}">
      <dgm:prSet/>
      <dgm:spPr/>
      <dgm:t>
        <a:bodyPr/>
        <a:lstStyle/>
        <a:p>
          <a:endParaRPr lang="pt-BR"/>
        </a:p>
      </dgm:t>
    </dgm:pt>
    <dgm:pt modelId="{8DE7717C-7BB8-4CCA-B0CF-5548E227F675}" type="sibTrans" cxnId="{5674EC56-7284-401F-B9D6-9A37111DF4F8}">
      <dgm:prSet/>
      <dgm:spPr/>
      <dgm:t>
        <a:bodyPr/>
        <a:lstStyle/>
        <a:p>
          <a:endParaRPr lang="pt-BR"/>
        </a:p>
      </dgm:t>
    </dgm:pt>
    <dgm:pt modelId="{E2EC6A85-58E6-4744-B75D-3324C60D8EE8}">
      <dgm:prSet/>
      <dgm:spPr/>
      <dgm:t>
        <a:bodyPr/>
        <a:lstStyle/>
        <a:p>
          <a:r>
            <a:rPr lang="pt-BR"/>
            <a:t>NAVEGAÇÃO E FUNCIONALIDADES</a:t>
          </a:r>
        </a:p>
      </dgm:t>
    </dgm:pt>
    <dgm:pt modelId="{B3501234-EF80-4869-A279-C89BC86861D2}" type="parTrans" cxnId="{DE9C8239-0598-4C48-90A2-01751F1B2D4D}">
      <dgm:prSet/>
      <dgm:spPr/>
      <dgm:t>
        <a:bodyPr/>
        <a:lstStyle/>
        <a:p>
          <a:endParaRPr lang="pt-BR"/>
        </a:p>
      </dgm:t>
    </dgm:pt>
    <dgm:pt modelId="{10EFCF7D-53F5-4063-BC87-A0BF36C60784}" type="sibTrans" cxnId="{DE9C8239-0598-4C48-90A2-01751F1B2D4D}">
      <dgm:prSet/>
      <dgm:spPr/>
      <dgm:t>
        <a:bodyPr/>
        <a:lstStyle/>
        <a:p>
          <a:endParaRPr lang="pt-BR"/>
        </a:p>
      </dgm:t>
    </dgm:pt>
    <dgm:pt modelId="{69233474-9CCA-431F-ADB6-8A9AC33B9697}">
      <dgm:prSet/>
      <dgm:spPr/>
      <dgm:t>
        <a:bodyPr/>
        <a:lstStyle/>
        <a:p>
          <a:r>
            <a:rPr lang="pt-BR" b="1"/>
            <a:t>Protótipo interativo</a:t>
          </a:r>
          <a:endParaRPr lang="pt-BR"/>
        </a:p>
      </dgm:t>
    </dgm:pt>
    <dgm:pt modelId="{622DEC80-7D3B-489F-A688-386A3BD66E46}" type="parTrans" cxnId="{F1E5D1E5-1268-475D-944D-33E806414ACD}">
      <dgm:prSet/>
      <dgm:spPr/>
      <dgm:t>
        <a:bodyPr/>
        <a:lstStyle/>
        <a:p>
          <a:endParaRPr lang="pt-BR"/>
        </a:p>
      </dgm:t>
    </dgm:pt>
    <dgm:pt modelId="{FEF84970-9F64-4C23-B93E-C7AB8DAB57E9}" type="sibTrans" cxnId="{F1E5D1E5-1268-475D-944D-33E806414ACD}">
      <dgm:prSet/>
      <dgm:spPr/>
      <dgm:t>
        <a:bodyPr/>
        <a:lstStyle/>
        <a:p>
          <a:endParaRPr lang="pt-BR"/>
        </a:p>
      </dgm:t>
    </dgm:pt>
    <dgm:pt modelId="{DBA8929B-46BA-404E-A3FA-7CF913B88C72}">
      <dgm:prSet/>
      <dgm:spPr/>
      <dgm:t>
        <a:bodyPr/>
        <a:lstStyle/>
        <a:p>
          <a:r>
            <a:rPr lang="pt-BR"/>
            <a:t>CÓDIGO FRONT-END</a:t>
          </a:r>
        </a:p>
      </dgm:t>
    </dgm:pt>
    <dgm:pt modelId="{F26A6E32-5FBB-4CEF-BDB1-A0E805534581}" type="parTrans" cxnId="{A0E7CBB5-7CF0-42B5-B4E5-93BE50449420}">
      <dgm:prSet/>
      <dgm:spPr/>
      <dgm:t>
        <a:bodyPr/>
        <a:lstStyle/>
        <a:p>
          <a:endParaRPr lang="pt-BR"/>
        </a:p>
      </dgm:t>
    </dgm:pt>
    <dgm:pt modelId="{79AC7646-F02B-4EB7-8D35-A654D4BDF6CA}" type="sibTrans" cxnId="{A0E7CBB5-7CF0-42B5-B4E5-93BE50449420}">
      <dgm:prSet/>
      <dgm:spPr/>
      <dgm:t>
        <a:bodyPr/>
        <a:lstStyle/>
        <a:p>
          <a:endParaRPr lang="pt-BR"/>
        </a:p>
      </dgm:t>
    </dgm:pt>
    <dgm:pt modelId="{C2E9E08C-C520-4750-9A46-099873830BC9}">
      <dgm:prSet/>
      <dgm:spPr/>
      <dgm:t>
        <a:bodyPr/>
        <a:lstStyle/>
        <a:p>
          <a:r>
            <a:rPr lang="pt-BR"/>
            <a:t>CÓDIGO BACK-END</a:t>
          </a:r>
        </a:p>
      </dgm:t>
    </dgm:pt>
    <dgm:pt modelId="{304499FC-178F-457B-9D5B-07C633CC1703}" type="parTrans" cxnId="{EB7666B2-9172-4ECA-B786-AA8FF5113B06}">
      <dgm:prSet/>
      <dgm:spPr/>
      <dgm:t>
        <a:bodyPr/>
        <a:lstStyle/>
        <a:p>
          <a:endParaRPr lang="pt-BR"/>
        </a:p>
      </dgm:t>
    </dgm:pt>
    <dgm:pt modelId="{E69A4F6D-B644-4F5C-905D-8356A91FFF6D}" type="sibTrans" cxnId="{EB7666B2-9172-4ECA-B786-AA8FF5113B06}">
      <dgm:prSet/>
      <dgm:spPr/>
      <dgm:t>
        <a:bodyPr/>
        <a:lstStyle/>
        <a:p>
          <a:endParaRPr lang="pt-BR"/>
        </a:p>
      </dgm:t>
    </dgm:pt>
    <dgm:pt modelId="{D5E38E4B-FED5-4A0A-B8AA-8728BED387A3}">
      <dgm:prSet/>
      <dgm:spPr/>
      <dgm:t>
        <a:bodyPr/>
        <a:lstStyle/>
        <a:p>
          <a:r>
            <a:rPr lang="pt-BR"/>
            <a:t>DESENVOLVER PRINCIPAIS MÓDULOS</a:t>
          </a:r>
        </a:p>
      </dgm:t>
    </dgm:pt>
    <dgm:pt modelId="{1182CA2F-4565-428E-AE54-DA4AC822DEC1}" type="parTrans" cxnId="{21C18FBE-38F8-4F4C-A586-7435BBF5F356}">
      <dgm:prSet/>
      <dgm:spPr/>
      <dgm:t>
        <a:bodyPr/>
        <a:lstStyle/>
        <a:p>
          <a:endParaRPr lang="pt-BR"/>
        </a:p>
      </dgm:t>
    </dgm:pt>
    <dgm:pt modelId="{F08BBAFC-C54C-473A-A12D-0976EAD9F5B1}" type="sibTrans" cxnId="{21C18FBE-38F8-4F4C-A586-7435BBF5F356}">
      <dgm:prSet/>
      <dgm:spPr/>
      <dgm:t>
        <a:bodyPr/>
        <a:lstStyle/>
        <a:p>
          <a:endParaRPr lang="pt-BR"/>
        </a:p>
      </dgm:t>
    </dgm:pt>
    <dgm:pt modelId="{B3F45023-E1E3-43C0-B67F-AD1E7AC51078}">
      <dgm:prSet/>
      <dgm:spPr/>
      <dgm:t>
        <a:bodyPr/>
        <a:lstStyle/>
        <a:p>
          <a:r>
            <a:rPr lang="pt-BR"/>
            <a:t>MÓDULO DE CADASTRO DE CURRÍCULO</a:t>
          </a:r>
        </a:p>
      </dgm:t>
    </dgm:pt>
    <dgm:pt modelId="{E5DFCF2D-8524-4D8E-AB8B-E3229044C96F}" type="parTrans" cxnId="{AD7A2B7E-65A4-458E-9A02-A18E82620DF8}">
      <dgm:prSet/>
      <dgm:spPr/>
      <dgm:t>
        <a:bodyPr/>
        <a:lstStyle/>
        <a:p>
          <a:endParaRPr lang="pt-BR"/>
        </a:p>
      </dgm:t>
    </dgm:pt>
    <dgm:pt modelId="{C9664199-173B-4D48-A43A-0784E524AFD3}" type="sibTrans" cxnId="{AD7A2B7E-65A4-458E-9A02-A18E82620DF8}">
      <dgm:prSet/>
      <dgm:spPr/>
      <dgm:t>
        <a:bodyPr/>
        <a:lstStyle/>
        <a:p>
          <a:endParaRPr lang="pt-BR"/>
        </a:p>
      </dgm:t>
    </dgm:pt>
    <dgm:pt modelId="{971055BB-A4A3-40DF-B506-54605DDFB45E}">
      <dgm:prSet/>
      <dgm:spPr/>
      <dgm:t>
        <a:bodyPr/>
        <a:lstStyle/>
        <a:p>
          <a:r>
            <a:rPr lang="pt-BR"/>
            <a:t>GERADOR DE MATCH</a:t>
          </a:r>
        </a:p>
      </dgm:t>
    </dgm:pt>
    <dgm:pt modelId="{C550F39E-3BA4-4EAC-9784-E4F9E4C6F36F}" type="parTrans" cxnId="{5B6CFCF8-25A2-4BDC-9211-21E220344ED1}">
      <dgm:prSet/>
      <dgm:spPr/>
      <dgm:t>
        <a:bodyPr/>
        <a:lstStyle/>
        <a:p>
          <a:endParaRPr lang="pt-BR"/>
        </a:p>
      </dgm:t>
    </dgm:pt>
    <dgm:pt modelId="{5A6147EE-A1A6-4614-9DEB-0D9C46F37CEE}" type="sibTrans" cxnId="{5B6CFCF8-25A2-4BDC-9211-21E220344ED1}">
      <dgm:prSet/>
      <dgm:spPr/>
      <dgm:t>
        <a:bodyPr/>
        <a:lstStyle/>
        <a:p>
          <a:endParaRPr lang="pt-BR"/>
        </a:p>
      </dgm:t>
    </dgm:pt>
    <dgm:pt modelId="{B71ED880-875D-465D-A2D5-7EFCE170B8F3}">
      <dgm:prSet/>
      <dgm:spPr/>
      <dgm:t>
        <a:bodyPr/>
        <a:lstStyle/>
        <a:p>
          <a:r>
            <a:rPr lang="pt-BR"/>
            <a:t>INTEGRAÇÃO DE APIS</a:t>
          </a:r>
        </a:p>
      </dgm:t>
    </dgm:pt>
    <dgm:pt modelId="{6B85388F-71E1-413F-BC49-7FE13C99924D}" type="parTrans" cxnId="{186A48B7-C942-4DF9-A198-0A87B53EE7B1}">
      <dgm:prSet/>
      <dgm:spPr/>
      <dgm:t>
        <a:bodyPr/>
        <a:lstStyle/>
        <a:p>
          <a:endParaRPr lang="pt-BR"/>
        </a:p>
      </dgm:t>
    </dgm:pt>
    <dgm:pt modelId="{01D8D94A-4C5D-44E8-A195-D41DEB2DABF3}" type="sibTrans" cxnId="{186A48B7-C942-4DF9-A198-0A87B53EE7B1}">
      <dgm:prSet/>
      <dgm:spPr/>
      <dgm:t>
        <a:bodyPr/>
        <a:lstStyle/>
        <a:p>
          <a:endParaRPr lang="pt-BR"/>
        </a:p>
      </dgm:t>
    </dgm:pt>
    <dgm:pt modelId="{602FD50F-130C-4E3A-A16E-AF79EACA12AD}">
      <dgm:prSet/>
      <dgm:spPr/>
      <dgm:t>
        <a:bodyPr/>
        <a:lstStyle/>
        <a:p>
          <a:r>
            <a:rPr lang="pt-BR"/>
            <a:t>GARANTIR A SEGURANÇA E PRIVACIDADE </a:t>
          </a:r>
        </a:p>
      </dgm:t>
    </dgm:pt>
    <dgm:pt modelId="{7B0E8674-AF5F-4D43-BDCB-E4D39514593E}" type="parTrans" cxnId="{E8CAFC66-D95E-4317-A7A2-C8AB6D6BA112}">
      <dgm:prSet/>
      <dgm:spPr/>
      <dgm:t>
        <a:bodyPr/>
        <a:lstStyle/>
        <a:p>
          <a:endParaRPr lang="pt-BR"/>
        </a:p>
      </dgm:t>
    </dgm:pt>
    <dgm:pt modelId="{D4ED3A0A-0C59-4430-AAD1-BDBBC840422D}" type="sibTrans" cxnId="{E8CAFC66-D95E-4317-A7A2-C8AB6D6BA112}">
      <dgm:prSet/>
      <dgm:spPr/>
      <dgm:t>
        <a:bodyPr/>
        <a:lstStyle/>
        <a:p>
          <a:endParaRPr lang="pt-BR"/>
        </a:p>
      </dgm:t>
    </dgm:pt>
    <dgm:pt modelId="{E5E9916D-2D7F-4C7A-A808-9D88F35BEC5A}">
      <dgm:prSet/>
      <dgm:spPr/>
      <dgm:t>
        <a:bodyPr/>
        <a:lstStyle/>
        <a:p>
          <a:r>
            <a:rPr lang="pt-BR"/>
            <a:t>INTEGRAÇÃO E SINCRONIZAÇÃO DE DADOS</a:t>
          </a:r>
        </a:p>
      </dgm:t>
    </dgm:pt>
    <dgm:pt modelId="{6EAA41E0-1525-42E3-A200-48C0FE921E72}" type="parTrans" cxnId="{8A23767A-9C3F-4E56-B59C-7BCEF096F684}">
      <dgm:prSet/>
      <dgm:spPr/>
      <dgm:t>
        <a:bodyPr/>
        <a:lstStyle/>
        <a:p>
          <a:endParaRPr lang="pt-BR"/>
        </a:p>
      </dgm:t>
    </dgm:pt>
    <dgm:pt modelId="{4AC5E256-0BCF-40E2-AEBD-A2D1A83F40E2}" type="sibTrans" cxnId="{8A23767A-9C3F-4E56-B59C-7BCEF096F684}">
      <dgm:prSet/>
      <dgm:spPr/>
      <dgm:t>
        <a:bodyPr/>
        <a:lstStyle/>
        <a:p>
          <a:endParaRPr lang="pt-BR"/>
        </a:p>
      </dgm:t>
    </dgm:pt>
    <dgm:pt modelId="{9AC19E5E-60C4-4CCF-A20E-E4814BC2FE9B}">
      <dgm:prSet/>
      <dgm:spPr/>
      <dgm:t>
        <a:bodyPr/>
        <a:lstStyle/>
        <a:p>
          <a:r>
            <a:rPr lang="pt-BR"/>
            <a:t>TESTES DE USABILIDADE</a:t>
          </a:r>
        </a:p>
      </dgm:t>
    </dgm:pt>
    <dgm:pt modelId="{699FA3BB-5DDB-4810-8B78-2E6BCAFDC511}" type="parTrans" cxnId="{A07DF47A-E69E-495D-8151-1979DE0A5DDB}">
      <dgm:prSet/>
      <dgm:spPr/>
      <dgm:t>
        <a:bodyPr/>
        <a:lstStyle/>
        <a:p>
          <a:endParaRPr lang="pt-BR"/>
        </a:p>
      </dgm:t>
    </dgm:pt>
    <dgm:pt modelId="{9F54CECE-D9A6-4EF2-828B-C01621ECF61C}" type="sibTrans" cxnId="{A07DF47A-E69E-495D-8151-1979DE0A5DDB}">
      <dgm:prSet/>
      <dgm:spPr/>
      <dgm:t>
        <a:bodyPr/>
        <a:lstStyle/>
        <a:p>
          <a:endParaRPr lang="pt-BR"/>
        </a:p>
      </dgm:t>
    </dgm:pt>
    <dgm:pt modelId="{03DF699C-3176-485E-B584-5BC85EC703ED}">
      <dgm:prSet/>
      <dgm:spPr/>
      <dgm:t>
        <a:bodyPr/>
        <a:lstStyle/>
        <a:p>
          <a:r>
            <a:rPr lang="pt-BR"/>
            <a:t>IDENTIFICAÇÃO E CORREÇÃO DE BUGS</a:t>
          </a:r>
        </a:p>
      </dgm:t>
    </dgm:pt>
    <dgm:pt modelId="{FDDB7EEE-AB02-47E4-B007-CB2A762CB7F9}" type="parTrans" cxnId="{7241A540-84B9-4248-A8C9-589551961BC5}">
      <dgm:prSet/>
      <dgm:spPr/>
      <dgm:t>
        <a:bodyPr/>
        <a:lstStyle/>
        <a:p>
          <a:endParaRPr lang="pt-BR"/>
        </a:p>
      </dgm:t>
    </dgm:pt>
    <dgm:pt modelId="{C3CA3D16-3F50-4C85-8F9B-29F6F52233B6}" type="sibTrans" cxnId="{7241A540-84B9-4248-A8C9-589551961BC5}">
      <dgm:prSet/>
      <dgm:spPr/>
      <dgm:t>
        <a:bodyPr/>
        <a:lstStyle/>
        <a:p>
          <a:endParaRPr lang="pt-BR"/>
        </a:p>
      </dgm:t>
    </dgm:pt>
    <dgm:pt modelId="{8AB7F64B-E4EA-46A3-93C5-530B1FAAB3A0}">
      <dgm:prSet/>
      <dgm:spPr/>
      <dgm:t>
        <a:bodyPr/>
        <a:lstStyle/>
        <a:p>
          <a:r>
            <a:rPr lang="pt-BR"/>
            <a:t>PREPARAR INFRAESTRUTURA NO MARKETPLACE</a:t>
          </a:r>
        </a:p>
      </dgm:t>
    </dgm:pt>
    <dgm:pt modelId="{D39B8DD9-864C-4EB7-9F89-A2AD12438034}" type="parTrans" cxnId="{633930AF-3D0C-41D1-9D7D-CE36CB354B8D}">
      <dgm:prSet/>
      <dgm:spPr/>
      <dgm:t>
        <a:bodyPr/>
        <a:lstStyle/>
        <a:p>
          <a:endParaRPr lang="pt-BR"/>
        </a:p>
      </dgm:t>
    </dgm:pt>
    <dgm:pt modelId="{54EF72C2-E454-4C40-B61C-C5559BC6F1E5}" type="sibTrans" cxnId="{633930AF-3D0C-41D1-9D7D-CE36CB354B8D}">
      <dgm:prSet/>
      <dgm:spPr/>
      <dgm:t>
        <a:bodyPr/>
        <a:lstStyle/>
        <a:p>
          <a:endParaRPr lang="pt-BR"/>
        </a:p>
      </dgm:t>
    </dgm:pt>
    <dgm:pt modelId="{F02C7DD0-38B5-42D3-B052-77C4D943365F}">
      <dgm:prSet/>
      <dgm:spPr/>
      <dgm:t>
        <a:bodyPr/>
        <a:lstStyle/>
        <a:p>
          <a:r>
            <a:rPr lang="pt-BR"/>
            <a:t>AVALIAÇÃO DO APP NAS LOJAS DE APLICATIVOS</a:t>
          </a:r>
        </a:p>
      </dgm:t>
    </dgm:pt>
    <dgm:pt modelId="{3C430132-43C1-47EF-A156-1D4161537981}" type="parTrans" cxnId="{0B06A545-F7FA-4E92-9E10-17CE2A337029}">
      <dgm:prSet/>
      <dgm:spPr/>
      <dgm:t>
        <a:bodyPr/>
        <a:lstStyle/>
        <a:p>
          <a:endParaRPr lang="pt-BR"/>
        </a:p>
      </dgm:t>
    </dgm:pt>
    <dgm:pt modelId="{50138A85-8EAD-497B-B628-3150CB39B50A}" type="sibTrans" cxnId="{0B06A545-F7FA-4E92-9E10-17CE2A337029}">
      <dgm:prSet/>
      <dgm:spPr/>
      <dgm:t>
        <a:bodyPr/>
        <a:lstStyle/>
        <a:p>
          <a:endParaRPr lang="pt-BR"/>
        </a:p>
      </dgm:t>
    </dgm:pt>
    <dgm:pt modelId="{EC6FE534-DC93-4BE9-B221-533498D9AED2}">
      <dgm:prSet/>
      <dgm:spPr/>
      <dgm:t>
        <a:bodyPr/>
        <a:lstStyle/>
        <a:p>
          <a:r>
            <a:rPr lang="pt-BR"/>
            <a:t>REALIZAÇÃO DE ATUALIZAÇÕES E MELHORIAS CONTÍNUAS</a:t>
          </a:r>
        </a:p>
      </dgm:t>
    </dgm:pt>
    <dgm:pt modelId="{E1527C33-CFAA-4D8C-96C4-EE6231657CF0}" type="parTrans" cxnId="{FE8D82F4-EC2E-4B25-896E-A6EFC76B2206}">
      <dgm:prSet/>
      <dgm:spPr/>
      <dgm:t>
        <a:bodyPr/>
        <a:lstStyle/>
        <a:p>
          <a:endParaRPr lang="pt-BR"/>
        </a:p>
      </dgm:t>
    </dgm:pt>
    <dgm:pt modelId="{6D81CC16-08CD-4BC5-BB25-D3C60D9BB3C1}" type="sibTrans" cxnId="{FE8D82F4-EC2E-4B25-896E-A6EFC76B2206}">
      <dgm:prSet/>
      <dgm:spPr/>
      <dgm:t>
        <a:bodyPr/>
        <a:lstStyle/>
        <a:p>
          <a:endParaRPr lang="pt-BR"/>
        </a:p>
      </dgm:t>
    </dgm:pt>
    <dgm:pt modelId="{0995A2E3-0901-4DB1-B970-376B2E4006D1}">
      <dgm:prSet/>
      <dgm:spPr/>
      <dgm:t>
        <a:bodyPr/>
        <a:lstStyle/>
        <a:p>
          <a:r>
            <a:rPr lang="pt-BR"/>
            <a:t>SUPORTE E SOLUÇÃO DE DÚVIDAS</a:t>
          </a:r>
        </a:p>
      </dgm:t>
    </dgm:pt>
    <dgm:pt modelId="{902A754E-4E4A-4847-B0A2-573B94308BBA}" type="parTrans" cxnId="{A8FF89BC-D15C-44F3-A67F-96B16824950D}">
      <dgm:prSet/>
      <dgm:spPr/>
      <dgm:t>
        <a:bodyPr/>
        <a:lstStyle/>
        <a:p>
          <a:endParaRPr lang="pt-BR"/>
        </a:p>
      </dgm:t>
    </dgm:pt>
    <dgm:pt modelId="{20A0EF64-0AD3-4993-8E6E-5758F9AF64A6}" type="sibTrans" cxnId="{A8FF89BC-D15C-44F3-A67F-96B16824950D}">
      <dgm:prSet/>
      <dgm:spPr/>
      <dgm:t>
        <a:bodyPr/>
        <a:lstStyle/>
        <a:p>
          <a:endParaRPr lang="pt-BR"/>
        </a:p>
      </dgm:t>
    </dgm:pt>
    <dgm:pt modelId="{6D7A7801-BB63-47F6-9F80-2013CE3C8DDF}">
      <dgm:prSet/>
      <dgm:spPr/>
      <dgm:t>
        <a:bodyPr/>
        <a:lstStyle/>
        <a:p>
          <a:r>
            <a:rPr lang="pt-BR"/>
            <a:t>COLABORAÇÃO COM EMPRESAS </a:t>
          </a:r>
        </a:p>
      </dgm:t>
    </dgm:pt>
    <dgm:pt modelId="{0BCFA6B9-4E38-4DF4-9665-C5288F643973}" type="parTrans" cxnId="{50BFF7DD-F1F7-43DF-9057-627C4B6D0B71}">
      <dgm:prSet/>
      <dgm:spPr/>
      <dgm:t>
        <a:bodyPr/>
        <a:lstStyle/>
        <a:p>
          <a:endParaRPr lang="pt-BR"/>
        </a:p>
      </dgm:t>
    </dgm:pt>
    <dgm:pt modelId="{EBEA04DD-D1A7-4439-860D-D29C5EFB821E}" type="sibTrans" cxnId="{50BFF7DD-F1F7-43DF-9057-627C4B6D0B71}">
      <dgm:prSet/>
      <dgm:spPr/>
      <dgm:t>
        <a:bodyPr/>
        <a:lstStyle/>
        <a:p>
          <a:endParaRPr lang="pt-BR"/>
        </a:p>
      </dgm:t>
    </dgm:pt>
    <dgm:pt modelId="{8C33E48E-334E-4A5A-8828-C0B9BC12F4DA}">
      <dgm:prSet/>
      <dgm:spPr/>
      <dgm:t>
        <a:bodyPr/>
        <a:lstStyle/>
        <a:p>
          <a:r>
            <a:rPr lang="pt-BR"/>
            <a:t>CAMPANHAS EM MÍDIAS SOCIAIS E ANÚNCIOS ONLINE</a:t>
          </a:r>
        </a:p>
      </dgm:t>
    </dgm:pt>
    <dgm:pt modelId="{7D1D39C0-3B18-4635-B1B3-C21C05B51E72}" type="parTrans" cxnId="{2BBFBFB3-9575-4C01-9758-C9373EB496DF}">
      <dgm:prSet/>
      <dgm:spPr/>
      <dgm:t>
        <a:bodyPr/>
        <a:lstStyle/>
        <a:p>
          <a:endParaRPr lang="pt-BR"/>
        </a:p>
      </dgm:t>
    </dgm:pt>
    <dgm:pt modelId="{A5953739-5348-4DF8-A599-C497DF96D7A3}" type="sibTrans" cxnId="{2BBFBFB3-9575-4C01-9758-C9373EB496DF}">
      <dgm:prSet/>
      <dgm:spPr/>
      <dgm:t>
        <a:bodyPr/>
        <a:lstStyle/>
        <a:p>
          <a:endParaRPr lang="pt-BR"/>
        </a:p>
      </dgm:t>
    </dgm:pt>
    <dgm:pt modelId="{52322AC1-C0CA-41C2-AF77-D47B568609DC}">
      <dgm:prSet/>
      <dgm:spPr/>
      <dgm:t>
        <a:bodyPr/>
        <a:lstStyle/>
        <a:p>
          <a:r>
            <a:rPr lang="pt-BR"/>
            <a:t>COLETAR FEEDBACK E IMPLEMENTAÇÃO DE MELHORIAS</a:t>
          </a:r>
        </a:p>
      </dgm:t>
    </dgm:pt>
    <dgm:pt modelId="{3BEC5FAA-E4C7-4310-8BF8-FD6D6CD14D5D}" type="parTrans" cxnId="{E81CE985-107C-46B1-8E6F-793372A7C67F}">
      <dgm:prSet/>
      <dgm:spPr/>
      <dgm:t>
        <a:bodyPr/>
        <a:lstStyle/>
        <a:p>
          <a:endParaRPr lang="pt-BR"/>
        </a:p>
      </dgm:t>
    </dgm:pt>
    <dgm:pt modelId="{4588D817-B422-419C-9BBD-93DD8ABBE6F3}" type="sibTrans" cxnId="{E81CE985-107C-46B1-8E6F-793372A7C67F}">
      <dgm:prSet/>
      <dgm:spPr/>
      <dgm:t>
        <a:bodyPr/>
        <a:lstStyle/>
        <a:p>
          <a:endParaRPr lang="pt-BR"/>
        </a:p>
      </dgm:t>
    </dgm:pt>
    <dgm:pt modelId="{B0D67059-EF7D-43CE-8506-8E9B5868DB0C}">
      <dgm:prSet/>
      <dgm:spPr/>
      <dgm:t>
        <a:bodyPr/>
        <a:lstStyle/>
        <a:p>
          <a:r>
            <a:rPr lang="pt-BR"/>
            <a:t>ADAPTAÇÃO  AO MERCADO</a:t>
          </a:r>
        </a:p>
      </dgm:t>
    </dgm:pt>
    <dgm:pt modelId="{D010ED04-6422-41B1-9B13-F8A5DEAE4019}" type="parTrans" cxnId="{B6E8350D-073B-4398-AB39-54D9747CCAF2}">
      <dgm:prSet/>
      <dgm:spPr/>
      <dgm:t>
        <a:bodyPr/>
        <a:lstStyle/>
        <a:p>
          <a:endParaRPr lang="pt-BR"/>
        </a:p>
      </dgm:t>
    </dgm:pt>
    <dgm:pt modelId="{EA6F9236-2F0E-4B77-84C3-BC211A6AAA2F}" type="sibTrans" cxnId="{B6E8350D-073B-4398-AB39-54D9747CCAF2}">
      <dgm:prSet/>
      <dgm:spPr/>
      <dgm:t>
        <a:bodyPr/>
        <a:lstStyle/>
        <a:p>
          <a:endParaRPr lang="pt-BR"/>
        </a:p>
      </dgm:t>
    </dgm:pt>
    <dgm:pt modelId="{85451313-C917-4F47-86D0-45E28E549CBF}">
      <dgm:prSet/>
      <dgm:spPr/>
      <dgm:t>
        <a:bodyPr/>
        <a:lstStyle/>
        <a:p>
          <a:r>
            <a:rPr lang="pt-BR"/>
            <a:t>DESENVOLVER PARCERIAS</a:t>
          </a:r>
        </a:p>
      </dgm:t>
    </dgm:pt>
    <dgm:pt modelId="{900F9B5B-B201-41E8-9F84-B4A949821D1D}" type="parTrans" cxnId="{C8D70DD5-D354-4E8F-8F36-FBA22A5D2A2C}">
      <dgm:prSet/>
      <dgm:spPr/>
      <dgm:t>
        <a:bodyPr/>
        <a:lstStyle/>
        <a:p>
          <a:endParaRPr lang="pt-BR"/>
        </a:p>
      </dgm:t>
    </dgm:pt>
    <dgm:pt modelId="{C35E62F3-BCD5-4083-A380-44B10F6F2EC2}" type="sibTrans" cxnId="{C8D70DD5-D354-4E8F-8F36-FBA22A5D2A2C}">
      <dgm:prSet/>
      <dgm:spPr/>
      <dgm:t>
        <a:bodyPr/>
        <a:lstStyle/>
        <a:p>
          <a:endParaRPr lang="pt-BR"/>
        </a:p>
      </dgm:t>
    </dgm:pt>
    <dgm:pt modelId="{F9F2A175-3F9B-492A-AD89-F9ADF1AA7A09}">
      <dgm:prSet/>
      <dgm:spPr/>
      <dgm:t>
        <a:bodyPr/>
        <a:lstStyle/>
        <a:p>
          <a:r>
            <a:rPr lang="pt-BR"/>
            <a:t>DESENVOLVER VERSÕES DE ASSINATURA</a:t>
          </a:r>
        </a:p>
      </dgm:t>
    </dgm:pt>
    <dgm:pt modelId="{23233B68-EF36-4A02-9B22-884F03B3E17D}" type="parTrans" cxnId="{02726BBB-A793-416B-8A98-F88455A0A603}">
      <dgm:prSet/>
      <dgm:spPr/>
      <dgm:t>
        <a:bodyPr/>
        <a:lstStyle/>
        <a:p>
          <a:endParaRPr lang="pt-BR"/>
        </a:p>
      </dgm:t>
    </dgm:pt>
    <dgm:pt modelId="{6783538A-23B6-4D3C-92F4-06CBADDFC98C}" type="sibTrans" cxnId="{02726BBB-A793-416B-8A98-F88455A0A603}">
      <dgm:prSet/>
      <dgm:spPr/>
      <dgm:t>
        <a:bodyPr/>
        <a:lstStyle/>
        <a:p>
          <a:endParaRPr lang="pt-BR"/>
        </a:p>
      </dgm:t>
    </dgm:pt>
    <dgm:pt modelId="{141B889D-94F1-45C1-B73E-13B1197CCCF8}">
      <dgm:prSet/>
      <dgm:spPr/>
      <dgm:t>
        <a:bodyPr/>
        <a:lstStyle/>
        <a:p>
          <a:r>
            <a:rPr lang="pt-BR"/>
            <a:t>DESIGN UX</a:t>
          </a:r>
        </a:p>
      </dgm:t>
    </dgm:pt>
    <dgm:pt modelId="{16CD9583-BD21-4156-92D6-71CDB340D1AD}" type="parTrans" cxnId="{B92B522F-B1AC-4084-8435-05E3C9E7FBC1}">
      <dgm:prSet/>
      <dgm:spPr/>
      <dgm:t>
        <a:bodyPr/>
        <a:lstStyle/>
        <a:p>
          <a:endParaRPr lang="pt-BR"/>
        </a:p>
      </dgm:t>
    </dgm:pt>
    <dgm:pt modelId="{FD784D90-C615-46FC-910F-FBF76A3078C0}" type="sibTrans" cxnId="{B92B522F-B1AC-4084-8435-05E3C9E7FBC1}">
      <dgm:prSet/>
      <dgm:spPr/>
      <dgm:t>
        <a:bodyPr/>
        <a:lstStyle/>
        <a:p>
          <a:endParaRPr lang="pt-BR"/>
        </a:p>
      </dgm:t>
    </dgm:pt>
    <dgm:pt modelId="{0AE7F9E1-765F-489C-8C16-C7BC49A797D9}">
      <dgm:prSet/>
      <dgm:spPr/>
      <dgm:t>
        <a:bodyPr/>
        <a:lstStyle/>
        <a:p>
          <a:r>
            <a:rPr lang="pt-BR"/>
            <a:t>INTERFACE LIMPA E INTUITIVA</a:t>
          </a:r>
        </a:p>
      </dgm:t>
    </dgm:pt>
    <dgm:pt modelId="{3D8434B0-DEC5-4689-B419-C2351767EFE8}" type="parTrans" cxnId="{71E1FC74-41F8-4DF4-A6BB-6C89D145CA37}">
      <dgm:prSet/>
      <dgm:spPr/>
      <dgm:t>
        <a:bodyPr/>
        <a:lstStyle/>
        <a:p>
          <a:endParaRPr lang="pt-BR"/>
        </a:p>
      </dgm:t>
    </dgm:pt>
    <dgm:pt modelId="{CF6AFA8F-6A63-4640-9B8A-9183306EE590}" type="sibTrans" cxnId="{71E1FC74-41F8-4DF4-A6BB-6C89D145CA37}">
      <dgm:prSet/>
      <dgm:spPr/>
      <dgm:t>
        <a:bodyPr/>
        <a:lstStyle/>
        <a:p>
          <a:endParaRPr lang="pt-BR"/>
        </a:p>
      </dgm:t>
    </dgm:pt>
    <dgm:pt modelId="{1FA32465-79CA-43E4-925C-FD9E6E9DB5C8}">
      <dgm:prSet/>
      <dgm:spPr/>
      <dgm:t>
        <a:bodyPr/>
        <a:lstStyle/>
        <a:p>
          <a:r>
            <a:rPr lang="pt-BR" b="1"/>
            <a:t>Teste de UX/UI</a:t>
          </a:r>
          <a:endParaRPr lang="pt-BR"/>
        </a:p>
      </dgm:t>
    </dgm:pt>
    <dgm:pt modelId="{88490267-DE7E-43ED-9BD4-B69E754A61AF}" type="parTrans" cxnId="{05578DD0-72FA-4B08-B907-FC8A62576561}">
      <dgm:prSet/>
      <dgm:spPr/>
      <dgm:t>
        <a:bodyPr/>
        <a:lstStyle/>
        <a:p>
          <a:endParaRPr lang="pt-BR"/>
        </a:p>
      </dgm:t>
    </dgm:pt>
    <dgm:pt modelId="{8D80A846-3714-4A60-AA9F-DC844391A49A}" type="sibTrans" cxnId="{05578DD0-72FA-4B08-B907-FC8A62576561}">
      <dgm:prSet/>
      <dgm:spPr/>
      <dgm:t>
        <a:bodyPr/>
        <a:lstStyle/>
        <a:p>
          <a:endParaRPr lang="pt-BR"/>
        </a:p>
      </dgm:t>
    </dgm:pt>
    <dgm:pt modelId="{0E0D5914-9733-4438-B53B-E54AED87BD25}">
      <dgm:prSet custT="1"/>
      <dgm:spPr>
        <a:solidFill>
          <a:schemeClr val="accent6">
            <a:lumMod val="75000"/>
          </a:schemeClr>
        </a:solidFill>
      </dgm:spPr>
      <dgm:t>
        <a:bodyPr/>
        <a:lstStyle/>
        <a:p>
          <a:pPr algn="ctr"/>
          <a:r>
            <a:rPr lang="pt-BR" sz="900" b="1"/>
            <a:t>DESENVOLVIMENTO</a:t>
          </a:r>
        </a:p>
      </dgm:t>
    </dgm:pt>
    <dgm:pt modelId="{D8EA48FB-2A30-458D-BF2E-504D6379A563}" type="sibTrans" cxnId="{4A2D8755-0CFA-4659-993A-B10BB913460D}">
      <dgm:prSet/>
      <dgm:spPr/>
      <dgm:t>
        <a:bodyPr/>
        <a:lstStyle/>
        <a:p>
          <a:endParaRPr lang="pt-BR"/>
        </a:p>
      </dgm:t>
    </dgm:pt>
    <dgm:pt modelId="{C025D0B3-3453-4AB2-8C0D-9A93251A872D}" type="parTrans" cxnId="{4A2D8755-0CFA-4659-993A-B10BB913460D}">
      <dgm:prSet/>
      <dgm:spPr/>
      <dgm:t>
        <a:bodyPr/>
        <a:lstStyle/>
        <a:p>
          <a:endParaRPr lang="pt-BR"/>
        </a:p>
      </dgm:t>
    </dgm:pt>
    <dgm:pt modelId="{4D2365D6-7383-4721-8E26-F4225A31DE27}">
      <dgm:prSet/>
      <dgm:spPr/>
      <dgm:t>
        <a:bodyPr/>
        <a:lstStyle/>
        <a:p>
          <a:r>
            <a:rPr lang="pt-BR"/>
            <a:t>Plano de qualidade</a:t>
          </a:r>
        </a:p>
      </dgm:t>
    </dgm:pt>
    <dgm:pt modelId="{940DC769-2DA7-478D-B2CE-100E607E0900}" type="parTrans" cxnId="{407F327E-0CD4-49F5-8BFA-2CD0A97913D9}">
      <dgm:prSet/>
      <dgm:spPr/>
      <dgm:t>
        <a:bodyPr/>
        <a:lstStyle/>
        <a:p>
          <a:endParaRPr lang="pt-BR"/>
        </a:p>
      </dgm:t>
    </dgm:pt>
    <dgm:pt modelId="{9BFC231E-1BFE-4DE4-9AE8-63DE30E245E2}" type="sibTrans" cxnId="{407F327E-0CD4-49F5-8BFA-2CD0A97913D9}">
      <dgm:prSet/>
      <dgm:spPr/>
      <dgm:t>
        <a:bodyPr/>
        <a:lstStyle/>
        <a:p>
          <a:endParaRPr lang="pt-BR"/>
        </a:p>
      </dgm:t>
    </dgm:pt>
    <dgm:pt modelId="{6783568B-99BF-4E7F-9DB1-999456FB7611}">
      <dgm:prSet/>
      <dgm:spPr/>
      <dgm:t>
        <a:bodyPr/>
        <a:lstStyle/>
        <a:p>
          <a:r>
            <a:rPr lang="pt-BR"/>
            <a:t>Apresentação dos planos</a:t>
          </a:r>
        </a:p>
      </dgm:t>
    </dgm:pt>
    <dgm:pt modelId="{62BC5DAA-1270-4DE7-9F30-D69FE871551F}" type="parTrans" cxnId="{9F4D1261-A124-417B-8ACF-0B2415C3D7AA}">
      <dgm:prSet/>
      <dgm:spPr/>
      <dgm:t>
        <a:bodyPr/>
        <a:lstStyle/>
        <a:p>
          <a:endParaRPr lang="pt-BR"/>
        </a:p>
      </dgm:t>
    </dgm:pt>
    <dgm:pt modelId="{B24F2C04-1633-427F-AE66-2C6AA4E5EEEB}" type="sibTrans" cxnId="{9F4D1261-A124-417B-8ACF-0B2415C3D7AA}">
      <dgm:prSet/>
      <dgm:spPr/>
      <dgm:t>
        <a:bodyPr/>
        <a:lstStyle/>
        <a:p>
          <a:endParaRPr lang="pt-BR"/>
        </a:p>
      </dgm:t>
    </dgm:pt>
    <dgm:pt modelId="{C86FF9A0-D069-4D8F-B54B-6C17D808ADD9}">
      <dgm:prSet/>
      <dgm:spPr/>
      <dgm:t>
        <a:bodyPr/>
        <a:lstStyle/>
        <a:p>
          <a:r>
            <a:rPr lang="pt-BR"/>
            <a:t>Revisão do prject charter</a:t>
          </a:r>
        </a:p>
      </dgm:t>
    </dgm:pt>
    <dgm:pt modelId="{B926E79E-B2AB-4C90-BFC9-A30EA3676EEA}" type="parTrans" cxnId="{061E3BD3-56CD-4FF9-BCA6-DACA8F9B9B26}">
      <dgm:prSet/>
      <dgm:spPr/>
      <dgm:t>
        <a:bodyPr/>
        <a:lstStyle/>
        <a:p>
          <a:endParaRPr lang="pt-BR"/>
        </a:p>
      </dgm:t>
    </dgm:pt>
    <dgm:pt modelId="{461CA8B9-6721-4DA6-B54D-B8E26FCE3BBB}" type="sibTrans" cxnId="{061E3BD3-56CD-4FF9-BCA6-DACA8F9B9B26}">
      <dgm:prSet/>
      <dgm:spPr/>
      <dgm:t>
        <a:bodyPr/>
        <a:lstStyle/>
        <a:p>
          <a:endParaRPr lang="pt-BR"/>
        </a:p>
      </dgm:t>
    </dgm:pt>
    <dgm:pt modelId="{9C1E4FCB-B7F4-4214-A13D-EB34EE3750D7}">
      <dgm:prSet/>
      <dgm:spPr/>
      <dgm:t>
        <a:bodyPr/>
        <a:lstStyle/>
        <a:p>
          <a:r>
            <a:rPr lang="pt-BR"/>
            <a:t>CADASTRAR VAGAS </a:t>
          </a:r>
        </a:p>
      </dgm:t>
    </dgm:pt>
    <dgm:pt modelId="{4AC91895-1328-47B6-95A4-257A3E94D935}" type="parTrans" cxnId="{4928C843-6EEE-45B8-A125-7E32238ABB51}">
      <dgm:prSet/>
      <dgm:spPr/>
      <dgm:t>
        <a:bodyPr/>
        <a:lstStyle/>
        <a:p>
          <a:endParaRPr lang="pt-BR"/>
        </a:p>
      </dgm:t>
    </dgm:pt>
    <dgm:pt modelId="{F05C564A-B227-4D73-83A9-37016013B933}" type="sibTrans" cxnId="{4928C843-6EEE-45B8-A125-7E32238ABB51}">
      <dgm:prSet/>
      <dgm:spPr/>
      <dgm:t>
        <a:bodyPr/>
        <a:lstStyle/>
        <a:p>
          <a:endParaRPr lang="pt-BR"/>
        </a:p>
      </dgm:t>
    </dgm:pt>
    <dgm:pt modelId="{EB3954B5-74F4-4D11-9DFF-EA78507987CB}">
      <dgm:prSet/>
      <dgm:spPr/>
      <dgm:t>
        <a:bodyPr/>
        <a:lstStyle/>
        <a:p>
          <a:r>
            <a:rPr lang="pt-BR"/>
            <a:t>CRIAÇÃO DE CRONOGRAMAS E METAS</a:t>
          </a:r>
        </a:p>
      </dgm:t>
    </dgm:pt>
    <dgm:pt modelId="{70FF2AC7-4C12-4FF5-B75D-B14A9D9AF54D}" type="sibTrans" cxnId="{FCAD58C9-5B71-4F8F-A3A8-89272EB477CB}">
      <dgm:prSet/>
      <dgm:spPr/>
      <dgm:t>
        <a:bodyPr/>
        <a:lstStyle/>
        <a:p>
          <a:endParaRPr lang="pt-BR"/>
        </a:p>
      </dgm:t>
    </dgm:pt>
    <dgm:pt modelId="{DC6688E7-45CF-4D5C-9D56-6B7EDCF265A6}" type="parTrans" cxnId="{FCAD58C9-5B71-4F8F-A3A8-89272EB477CB}">
      <dgm:prSet/>
      <dgm:spPr/>
      <dgm:t>
        <a:bodyPr/>
        <a:lstStyle/>
        <a:p>
          <a:endParaRPr lang="pt-BR"/>
        </a:p>
      </dgm:t>
    </dgm:pt>
    <dgm:pt modelId="{38904395-7290-40C3-B247-4545D6A20AAB}">
      <dgm:prSet/>
      <dgm:spPr/>
      <dgm:t>
        <a:bodyPr/>
        <a:lstStyle/>
        <a:p>
          <a:r>
            <a:rPr lang="pt-BR"/>
            <a:t>Identificar as principais funcionalidades e recursos a serem incluídos</a:t>
          </a:r>
        </a:p>
      </dgm:t>
    </dgm:pt>
    <dgm:pt modelId="{4AB2621C-C1A1-4E6F-8BE4-44B029456772}" type="parTrans" cxnId="{B0D6D36A-4B03-427D-9392-D76DBA6F05CB}">
      <dgm:prSet/>
      <dgm:spPr/>
      <dgm:t>
        <a:bodyPr/>
        <a:lstStyle/>
        <a:p>
          <a:endParaRPr lang="pt-BR"/>
        </a:p>
      </dgm:t>
    </dgm:pt>
    <dgm:pt modelId="{55E433AE-AE66-4F31-ABAA-E6EAB73129AA}" type="sibTrans" cxnId="{B0D6D36A-4B03-427D-9392-D76DBA6F05CB}">
      <dgm:prSet/>
      <dgm:spPr/>
      <dgm:t>
        <a:bodyPr/>
        <a:lstStyle/>
        <a:p>
          <a:endParaRPr lang="pt-BR"/>
        </a:p>
      </dgm:t>
    </dgm:pt>
    <dgm:pt modelId="{CE2A3EF5-315E-4A47-8675-C5092FBEAE78}">
      <dgm:prSet/>
      <dgm:spPr/>
      <dgm:t>
        <a:bodyPr/>
        <a:lstStyle/>
        <a:p>
          <a:r>
            <a:rPr lang="pt-BR"/>
            <a:t> BANCO DE DADOS</a:t>
          </a:r>
        </a:p>
      </dgm:t>
    </dgm:pt>
    <dgm:pt modelId="{3081B60C-E0C6-4F93-AEC8-9ADDE71E84C6}" type="parTrans" cxnId="{444A7D42-54F7-4918-AE0A-6413BF589CDF}">
      <dgm:prSet/>
      <dgm:spPr/>
      <dgm:t>
        <a:bodyPr/>
        <a:lstStyle/>
        <a:p>
          <a:endParaRPr lang="pt-BR"/>
        </a:p>
      </dgm:t>
    </dgm:pt>
    <dgm:pt modelId="{EDA7B2DF-D388-4EE9-B15A-A7BF1DDB6639}" type="sibTrans" cxnId="{444A7D42-54F7-4918-AE0A-6413BF589CDF}">
      <dgm:prSet/>
      <dgm:spPr/>
      <dgm:t>
        <a:bodyPr/>
        <a:lstStyle/>
        <a:p>
          <a:endParaRPr lang="pt-BR"/>
        </a:p>
      </dgm:t>
    </dgm:pt>
    <dgm:pt modelId="{90431E3C-4F42-4628-B684-A96161BFF430}" type="pres">
      <dgm:prSet presAssocID="{0CFB7DD9-0DA5-4E4C-8DA3-9F1B6119F4C6}" presName="hierChild1" presStyleCnt="0">
        <dgm:presLayoutVars>
          <dgm:orgChart val="1"/>
          <dgm:chPref val="1"/>
          <dgm:dir/>
          <dgm:animOne val="branch"/>
          <dgm:animLvl val="lvl"/>
          <dgm:resizeHandles/>
        </dgm:presLayoutVars>
      </dgm:prSet>
      <dgm:spPr/>
    </dgm:pt>
    <dgm:pt modelId="{0A189367-43EC-4441-BA08-750B899E9469}" type="pres">
      <dgm:prSet presAssocID="{0102E4FE-20A8-44CB-9044-37DB2019EEF7}" presName="hierRoot1" presStyleCnt="0">
        <dgm:presLayoutVars>
          <dgm:hierBranch val="init"/>
        </dgm:presLayoutVars>
      </dgm:prSet>
      <dgm:spPr/>
    </dgm:pt>
    <dgm:pt modelId="{360B80A0-E040-4231-A03C-DB4C44D4BEFB}" type="pres">
      <dgm:prSet presAssocID="{0102E4FE-20A8-44CB-9044-37DB2019EEF7}" presName="rootComposite1" presStyleCnt="0"/>
      <dgm:spPr/>
    </dgm:pt>
    <dgm:pt modelId="{2D883808-430E-40D8-8B07-302E85302A34}" type="pres">
      <dgm:prSet presAssocID="{0102E4FE-20A8-44CB-9044-37DB2019EEF7}" presName="rootText1" presStyleLbl="node0" presStyleIdx="0" presStyleCnt="1" custScaleX="150162" custScaleY="128812" custLinFactY="-34665" custLinFactNeighborX="-6143" custLinFactNeighborY="-100000">
        <dgm:presLayoutVars>
          <dgm:chPref val="3"/>
        </dgm:presLayoutVars>
      </dgm:prSet>
      <dgm:spPr/>
    </dgm:pt>
    <dgm:pt modelId="{9E54A725-AB28-4B64-8844-9F2951F2F7A0}" type="pres">
      <dgm:prSet presAssocID="{0102E4FE-20A8-44CB-9044-37DB2019EEF7}" presName="rootConnector1" presStyleLbl="node1" presStyleIdx="0" presStyleCnt="0"/>
      <dgm:spPr/>
    </dgm:pt>
    <dgm:pt modelId="{7F944FE0-D2A2-405B-BDFF-D1897631706E}" type="pres">
      <dgm:prSet presAssocID="{0102E4FE-20A8-44CB-9044-37DB2019EEF7}" presName="hierChild2" presStyleCnt="0"/>
      <dgm:spPr/>
    </dgm:pt>
    <dgm:pt modelId="{7BA6A4CA-F40E-4826-9E97-95062F5DD647}" type="pres">
      <dgm:prSet presAssocID="{D6922E7D-1806-4E3F-8FA5-876C5E53C8A8}" presName="Name37" presStyleLbl="parChTrans1D2" presStyleIdx="0" presStyleCnt="11"/>
      <dgm:spPr/>
    </dgm:pt>
    <dgm:pt modelId="{92667419-A898-4795-9C0E-361368D04859}" type="pres">
      <dgm:prSet presAssocID="{8D244D8F-C792-40BC-A511-7DE39E45E194}" presName="hierRoot2" presStyleCnt="0">
        <dgm:presLayoutVars>
          <dgm:hierBranch val="init"/>
        </dgm:presLayoutVars>
      </dgm:prSet>
      <dgm:spPr/>
    </dgm:pt>
    <dgm:pt modelId="{AAE10948-D9BD-4DD1-83D8-C8238129D30B}" type="pres">
      <dgm:prSet presAssocID="{8D244D8F-C792-40BC-A511-7DE39E45E194}" presName="rootComposite" presStyleCnt="0"/>
      <dgm:spPr/>
    </dgm:pt>
    <dgm:pt modelId="{4C9AEEA8-806B-4221-A8CF-497F84C39D63}" type="pres">
      <dgm:prSet presAssocID="{8D244D8F-C792-40BC-A511-7DE39E45E194}" presName="rootText" presStyleLbl="node2" presStyleIdx="0" presStyleCnt="11" custScaleX="76938" custLinFactNeighborX="-2261">
        <dgm:presLayoutVars>
          <dgm:chPref val="3"/>
        </dgm:presLayoutVars>
      </dgm:prSet>
      <dgm:spPr/>
    </dgm:pt>
    <dgm:pt modelId="{CFC31A14-C94F-4A30-A37D-372AB6BB600E}" type="pres">
      <dgm:prSet presAssocID="{8D244D8F-C792-40BC-A511-7DE39E45E194}" presName="rootConnector" presStyleLbl="node2" presStyleIdx="0" presStyleCnt="11"/>
      <dgm:spPr/>
    </dgm:pt>
    <dgm:pt modelId="{CFE7259F-6958-4278-B532-D5FC1DF0D989}" type="pres">
      <dgm:prSet presAssocID="{8D244D8F-C792-40BC-A511-7DE39E45E194}" presName="hierChild4" presStyleCnt="0"/>
      <dgm:spPr/>
    </dgm:pt>
    <dgm:pt modelId="{7BD786B8-780D-4619-A5E3-357F0EDAE2E4}" type="pres">
      <dgm:prSet presAssocID="{CB1CFF7C-42F1-4A09-8B31-0773BB970F24}" presName="Name37" presStyleLbl="parChTrans1D3" presStyleIdx="0" presStyleCnt="31"/>
      <dgm:spPr/>
    </dgm:pt>
    <dgm:pt modelId="{FF449168-822C-418C-9CA1-B101D096CF90}" type="pres">
      <dgm:prSet presAssocID="{939AE253-A7E2-4EBA-B997-5913C2301F5A}" presName="hierRoot2" presStyleCnt="0">
        <dgm:presLayoutVars>
          <dgm:hierBranch val="init"/>
        </dgm:presLayoutVars>
      </dgm:prSet>
      <dgm:spPr/>
    </dgm:pt>
    <dgm:pt modelId="{FDC422C0-CC05-449C-8033-C172FF181AD5}" type="pres">
      <dgm:prSet presAssocID="{939AE253-A7E2-4EBA-B997-5913C2301F5A}" presName="rootComposite" presStyleCnt="0"/>
      <dgm:spPr/>
    </dgm:pt>
    <dgm:pt modelId="{CF1CE0D6-2000-45B7-B412-882350AF6F25}" type="pres">
      <dgm:prSet presAssocID="{939AE253-A7E2-4EBA-B997-5913C2301F5A}" presName="rootText" presStyleLbl="node3" presStyleIdx="0" presStyleCnt="31">
        <dgm:presLayoutVars>
          <dgm:chPref val="3"/>
        </dgm:presLayoutVars>
      </dgm:prSet>
      <dgm:spPr/>
    </dgm:pt>
    <dgm:pt modelId="{E332D8F5-24D1-438A-A88D-967661A9895B}" type="pres">
      <dgm:prSet presAssocID="{939AE253-A7E2-4EBA-B997-5913C2301F5A}" presName="rootConnector" presStyleLbl="node3" presStyleIdx="0" presStyleCnt="31"/>
      <dgm:spPr/>
    </dgm:pt>
    <dgm:pt modelId="{0945C784-5EB4-4170-B227-C25054AACF2B}" type="pres">
      <dgm:prSet presAssocID="{939AE253-A7E2-4EBA-B997-5913C2301F5A}" presName="hierChild4" presStyleCnt="0"/>
      <dgm:spPr/>
    </dgm:pt>
    <dgm:pt modelId="{795D698A-1823-4D67-A0CE-2685E9EB05B4}" type="pres">
      <dgm:prSet presAssocID="{939AE253-A7E2-4EBA-B997-5913C2301F5A}" presName="hierChild5" presStyleCnt="0"/>
      <dgm:spPr/>
    </dgm:pt>
    <dgm:pt modelId="{CC49643F-5CAB-42AD-AC31-F5BF5BED7969}" type="pres">
      <dgm:prSet presAssocID="{4AB2621C-C1A1-4E6F-8BE4-44B029456772}" presName="Name37" presStyleLbl="parChTrans1D3" presStyleIdx="1" presStyleCnt="31"/>
      <dgm:spPr/>
    </dgm:pt>
    <dgm:pt modelId="{BDA40020-DBDC-4CD6-8E04-EBE0F623BC11}" type="pres">
      <dgm:prSet presAssocID="{38904395-7290-40C3-B247-4545D6A20AAB}" presName="hierRoot2" presStyleCnt="0">
        <dgm:presLayoutVars>
          <dgm:hierBranch val="init"/>
        </dgm:presLayoutVars>
      </dgm:prSet>
      <dgm:spPr/>
    </dgm:pt>
    <dgm:pt modelId="{0208C4F8-F890-49DE-9EB9-286AAE00E5E7}" type="pres">
      <dgm:prSet presAssocID="{38904395-7290-40C3-B247-4545D6A20AAB}" presName="rootComposite" presStyleCnt="0"/>
      <dgm:spPr/>
    </dgm:pt>
    <dgm:pt modelId="{F81015D0-3251-4752-8F0C-11AF1FC46F7B}" type="pres">
      <dgm:prSet presAssocID="{38904395-7290-40C3-B247-4545D6A20AAB}" presName="rootText" presStyleLbl="node3" presStyleIdx="1" presStyleCnt="31">
        <dgm:presLayoutVars>
          <dgm:chPref val="3"/>
        </dgm:presLayoutVars>
      </dgm:prSet>
      <dgm:spPr/>
    </dgm:pt>
    <dgm:pt modelId="{5B22F701-34AF-41A4-8968-46F2A042E566}" type="pres">
      <dgm:prSet presAssocID="{38904395-7290-40C3-B247-4545D6A20AAB}" presName="rootConnector" presStyleLbl="node3" presStyleIdx="1" presStyleCnt="31"/>
      <dgm:spPr/>
    </dgm:pt>
    <dgm:pt modelId="{97F27F8B-6117-48CA-A120-982BBD059FB5}" type="pres">
      <dgm:prSet presAssocID="{38904395-7290-40C3-B247-4545D6A20AAB}" presName="hierChild4" presStyleCnt="0"/>
      <dgm:spPr/>
    </dgm:pt>
    <dgm:pt modelId="{6E3A6800-BBF7-4823-B5D6-FE8C2B5DC434}" type="pres">
      <dgm:prSet presAssocID="{38904395-7290-40C3-B247-4545D6A20AAB}" presName="hierChild5" presStyleCnt="0"/>
      <dgm:spPr/>
    </dgm:pt>
    <dgm:pt modelId="{A210511E-8313-4F28-990A-429088BA3B3F}" type="pres">
      <dgm:prSet presAssocID="{D433E747-1E2C-41A0-B616-42B31870972F}" presName="Name37" presStyleLbl="parChTrans1D3" presStyleIdx="2" presStyleCnt="31"/>
      <dgm:spPr/>
    </dgm:pt>
    <dgm:pt modelId="{662A03C9-0D7D-4233-877E-650105F68909}" type="pres">
      <dgm:prSet presAssocID="{6ED531EE-0BC7-4118-B43F-7D8D436633A8}" presName="hierRoot2" presStyleCnt="0">
        <dgm:presLayoutVars>
          <dgm:hierBranch val="init"/>
        </dgm:presLayoutVars>
      </dgm:prSet>
      <dgm:spPr/>
    </dgm:pt>
    <dgm:pt modelId="{3F4608E4-44E4-4C09-98F7-7A5196AC4942}" type="pres">
      <dgm:prSet presAssocID="{6ED531EE-0BC7-4118-B43F-7D8D436633A8}" presName="rootComposite" presStyleCnt="0"/>
      <dgm:spPr/>
    </dgm:pt>
    <dgm:pt modelId="{422A5DCC-F310-4179-AC5C-3A5AA9AB3509}" type="pres">
      <dgm:prSet presAssocID="{6ED531EE-0BC7-4118-B43F-7D8D436633A8}" presName="rootText" presStyleLbl="node3" presStyleIdx="2" presStyleCnt="31">
        <dgm:presLayoutVars>
          <dgm:chPref val="3"/>
        </dgm:presLayoutVars>
      </dgm:prSet>
      <dgm:spPr/>
    </dgm:pt>
    <dgm:pt modelId="{D3BF38C4-1821-483A-AF26-C595ECE3E4B8}" type="pres">
      <dgm:prSet presAssocID="{6ED531EE-0BC7-4118-B43F-7D8D436633A8}" presName="rootConnector" presStyleLbl="node3" presStyleIdx="2" presStyleCnt="31"/>
      <dgm:spPr/>
    </dgm:pt>
    <dgm:pt modelId="{1A67025E-7A13-4535-954B-C51FC9C3959C}" type="pres">
      <dgm:prSet presAssocID="{6ED531EE-0BC7-4118-B43F-7D8D436633A8}" presName="hierChild4" presStyleCnt="0"/>
      <dgm:spPr/>
    </dgm:pt>
    <dgm:pt modelId="{F58C77E7-E7F0-45FB-BD57-CF2EA3EB7FD9}" type="pres">
      <dgm:prSet presAssocID="{6ED531EE-0BC7-4118-B43F-7D8D436633A8}" presName="hierChild5" presStyleCnt="0"/>
      <dgm:spPr/>
    </dgm:pt>
    <dgm:pt modelId="{7257938E-D889-44E8-903E-64F781AD5445}" type="pres">
      <dgm:prSet presAssocID="{940DC769-2DA7-478D-B2CE-100E607E0900}" presName="Name37" presStyleLbl="parChTrans1D3" presStyleIdx="3" presStyleCnt="31"/>
      <dgm:spPr/>
    </dgm:pt>
    <dgm:pt modelId="{6BC78485-EC53-4A3B-A085-C8CE3B5DDD0D}" type="pres">
      <dgm:prSet presAssocID="{4D2365D6-7383-4721-8E26-F4225A31DE27}" presName="hierRoot2" presStyleCnt="0">
        <dgm:presLayoutVars>
          <dgm:hierBranch val="init"/>
        </dgm:presLayoutVars>
      </dgm:prSet>
      <dgm:spPr/>
    </dgm:pt>
    <dgm:pt modelId="{80F2ED76-7E4E-40BC-8C32-61067686476B}" type="pres">
      <dgm:prSet presAssocID="{4D2365D6-7383-4721-8E26-F4225A31DE27}" presName="rootComposite" presStyleCnt="0"/>
      <dgm:spPr/>
    </dgm:pt>
    <dgm:pt modelId="{FAAD6170-1F04-4FDD-BBA1-0FC91815D8AB}" type="pres">
      <dgm:prSet presAssocID="{4D2365D6-7383-4721-8E26-F4225A31DE27}" presName="rootText" presStyleLbl="node3" presStyleIdx="3" presStyleCnt="31">
        <dgm:presLayoutVars>
          <dgm:chPref val="3"/>
        </dgm:presLayoutVars>
      </dgm:prSet>
      <dgm:spPr/>
    </dgm:pt>
    <dgm:pt modelId="{8A7B6137-BADB-40A0-83C7-5924600DB155}" type="pres">
      <dgm:prSet presAssocID="{4D2365D6-7383-4721-8E26-F4225A31DE27}" presName="rootConnector" presStyleLbl="node3" presStyleIdx="3" presStyleCnt="31"/>
      <dgm:spPr/>
    </dgm:pt>
    <dgm:pt modelId="{F00656D0-3746-4970-B100-4E0CFAAD1DCF}" type="pres">
      <dgm:prSet presAssocID="{4D2365D6-7383-4721-8E26-F4225A31DE27}" presName="hierChild4" presStyleCnt="0"/>
      <dgm:spPr/>
    </dgm:pt>
    <dgm:pt modelId="{A8A9A632-63BC-4C73-B1FD-9B3784C72187}" type="pres">
      <dgm:prSet presAssocID="{4D2365D6-7383-4721-8E26-F4225A31DE27}" presName="hierChild5" presStyleCnt="0"/>
      <dgm:spPr/>
    </dgm:pt>
    <dgm:pt modelId="{52430101-410F-429B-8A7E-9D395BDB29C2}" type="pres">
      <dgm:prSet presAssocID="{62BC5DAA-1270-4DE7-9F30-D69FE871551F}" presName="Name37" presStyleLbl="parChTrans1D3" presStyleIdx="4" presStyleCnt="31"/>
      <dgm:spPr/>
    </dgm:pt>
    <dgm:pt modelId="{94172555-A9C7-4966-A12A-37D75E16EE52}" type="pres">
      <dgm:prSet presAssocID="{6783568B-99BF-4E7F-9DB1-999456FB7611}" presName="hierRoot2" presStyleCnt="0">
        <dgm:presLayoutVars>
          <dgm:hierBranch val="init"/>
        </dgm:presLayoutVars>
      </dgm:prSet>
      <dgm:spPr/>
    </dgm:pt>
    <dgm:pt modelId="{42BF8E2B-F70F-44E9-A2BE-8DBA749331A0}" type="pres">
      <dgm:prSet presAssocID="{6783568B-99BF-4E7F-9DB1-999456FB7611}" presName="rootComposite" presStyleCnt="0"/>
      <dgm:spPr/>
    </dgm:pt>
    <dgm:pt modelId="{A0FFCFD9-314D-4AA7-8A74-9E28F81A2E49}" type="pres">
      <dgm:prSet presAssocID="{6783568B-99BF-4E7F-9DB1-999456FB7611}" presName="rootText" presStyleLbl="node3" presStyleIdx="4" presStyleCnt="31">
        <dgm:presLayoutVars>
          <dgm:chPref val="3"/>
        </dgm:presLayoutVars>
      </dgm:prSet>
      <dgm:spPr/>
    </dgm:pt>
    <dgm:pt modelId="{57FFE383-3836-4EDE-813B-E105B2A6D5A6}" type="pres">
      <dgm:prSet presAssocID="{6783568B-99BF-4E7F-9DB1-999456FB7611}" presName="rootConnector" presStyleLbl="node3" presStyleIdx="4" presStyleCnt="31"/>
      <dgm:spPr/>
    </dgm:pt>
    <dgm:pt modelId="{40218377-BCDE-4146-96CD-FC47CB6159A3}" type="pres">
      <dgm:prSet presAssocID="{6783568B-99BF-4E7F-9DB1-999456FB7611}" presName="hierChild4" presStyleCnt="0"/>
      <dgm:spPr/>
    </dgm:pt>
    <dgm:pt modelId="{246A010F-115E-4EDE-A156-3A471124A032}" type="pres">
      <dgm:prSet presAssocID="{6783568B-99BF-4E7F-9DB1-999456FB7611}" presName="hierChild5" presStyleCnt="0"/>
      <dgm:spPr/>
    </dgm:pt>
    <dgm:pt modelId="{529C72D2-9829-43B0-839C-5E27E8D16E0A}" type="pres">
      <dgm:prSet presAssocID="{8D244D8F-C792-40BC-A511-7DE39E45E194}" presName="hierChild5" presStyleCnt="0"/>
      <dgm:spPr/>
    </dgm:pt>
    <dgm:pt modelId="{3CD38DC8-3D55-42DE-AD09-72BD953ED7FB}" type="pres">
      <dgm:prSet presAssocID="{E2EA6942-20E6-4D51-99FA-C77C5E746936}" presName="Name37" presStyleLbl="parChTrans1D2" presStyleIdx="1" presStyleCnt="11"/>
      <dgm:spPr/>
    </dgm:pt>
    <dgm:pt modelId="{596C2A0E-FAAA-4C19-8F64-3F40373672C6}" type="pres">
      <dgm:prSet presAssocID="{809B22AA-EB2B-4C4F-82C3-E979FD4CF357}" presName="hierRoot2" presStyleCnt="0">
        <dgm:presLayoutVars>
          <dgm:hierBranch val="init"/>
        </dgm:presLayoutVars>
      </dgm:prSet>
      <dgm:spPr/>
    </dgm:pt>
    <dgm:pt modelId="{E1CC195C-D0F1-48C8-A703-25242680FC8E}" type="pres">
      <dgm:prSet presAssocID="{809B22AA-EB2B-4C4F-82C3-E979FD4CF357}" presName="rootComposite" presStyleCnt="0"/>
      <dgm:spPr/>
    </dgm:pt>
    <dgm:pt modelId="{D170E32D-A43F-4CAB-A215-C289F970862B}" type="pres">
      <dgm:prSet presAssocID="{809B22AA-EB2B-4C4F-82C3-E979FD4CF357}" presName="rootText" presStyleLbl="node2" presStyleIdx="1" presStyleCnt="11" custScaleX="100441" custLinFactNeighborY="-2145">
        <dgm:presLayoutVars>
          <dgm:chPref val="3"/>
        </dgm:presLayoutVars>
      </dgm:prSet>
      <dgm:spPr/>
    </dgm:pt>
    <dgm:pt modelId="{18E317F2-7CF2-4DFD-9CA0-4A1E8C4ACD68}" type="pres">
      <dgm:prSet presAssocID="{809B22AA-EB2B-4C4F-82C3-E979FD4CF357}" presName="rootConnector" presStyleLbl="node2" presStyleIdx="1" presStyleCnt="11"/>
      <dgm:spPr/>
    </dgm:pt>
    <dgm:pt modelId="{C4D3DF99-A745-4C02-9204-B9053A10435D}" type="pres">
      <dgm:prSet presAssocID="{809B22AA-EB2B-4C4F-82C3-E979FD4CF357}" presName="hierChild4" presStyleCnt="0"/>
      <dgm:spPr/>
    </dgm:pt>
    <dgm:pt modelId="{B935FBDA-E2AB-49CA-8CF4-754257839CD4}" type="pres">
      <dgm:prSet presAssocID="{9792CF75-292C-4BCA-A2CF-C2FA68F001BD}" presName="Name37" presStyleLbl="parChTrans1D3" presStyleIdx="5" presStyleCnt="31"/>
      <dgm:spPr/>
    </dgm:pt>
    <dgm:pt modelId="{7E32E146-A64A-4070-B7C5-30A5B73717C1}" type="pres">
      <dgm:prSet presAssocID="{97F38E1B-8B0A-4C1C-BB0E-8DC2824BBDEE}" presName="hierRoot2" presStyleCnt="0">
        <dgm:presLayoutVars>
          <dgm:hierBranch val="init"/>
        </dgm:presLayoutVars>
      </dgm:prSet>
      <dgm:spPr/>
    </dgm:pt>
    <dgm:pt modelId="{94CCBCF2-D29F-4CE4-9F38-9A0619F3E636}" type="pres">
      <dgm:prSet presAssocID="{97F38E1B-8B0A-4C1C-BB0E-8DC2824BBDEE}" presName="rootComposite" presStyleCnt="0"/>
      <dgm:spPr/>
    </dgm:pt>
    <dgm:pt modelId="{8D28DA9C-651E-493C-AEB4-8DE7C4670A76}" type="pres">
      <dgm:prSet presAssocID="{97F38E1B-8B0A-4C1C-BB0E-8DC2824BBDEE}" presName="rootText" presStyleLbl="node3" presStyleIdx="5" presStyleCnt="31">
        <dgm:presLayoutVars>
          <dgm:chPref val="3"/>
        </dgm:presLayoutVars>
      </dgm:prSet>
      <dgm:spPr/>
    </dgm:pt>
    <dgm:pt modelId="{CAC4091A-492F-459B-840C-5F8135FD499F}" type="pres">
      <dgm:prSet presAssocID="{97F38E1B-8B0A-4C1C-BB0E-8DC2824BBDEE}" presName="rootConnector" presStyleLbl="node3" presStyleIdx="5" presStyleCnt="31"/>
      <dgm:spPr/>
    </dgm:pt>
    <dgm:pt modelId="{3F86CAF0-921B-456C-9C30-B205CF6EDFAB}" type="pres">
      <dgm:prSet presAssocID="{97F38E1B-8B0A-4C1C-BB0E-8DC2824BBDEE}" presName="hierChild4" presStyleCnt="0"/>
      <dgm:spPr/>
    </dgm:pt>
    <dgm:pt modelId="{AAF5925E-A439-4734-BFA7-0209F1E034E0}" type="pres">
      <dgm:prSet presAssocID="{B7B3C6AE-DFBB-46A9-8CF1-A1BD803B9409}" presName="Name37" presStyleLbl="parChTrans1D4" presStyleIdx="0" presStyleCnt="18"/>
      <dgm:spPr/>
    </dgm:pt>
    <dgm:pt modelId="{E4ACDD6B-0637-4F25-B692-478DE4CD1E8A}" type="pres">
      <dgm:prSet presAssocID="{86AF350A-A785-4BDD-9C13-1E90196942B4}" presName="hierRoot2" presStyleCnt="0">
        <dgm:presLayoutVars>
          <dgm:hierBranch val="init"/>
        </dgm:presLayoutVars>
      </dgm:prSet>
      <dgm:spPr/>
    </dgm:pt>
    <dgm:pt modelId="{D26411F1-3269-4B53-8632-15971C6AADE7}" type="pres">
      <dgm:prSet presAssocID="{86AF350A-A785-4BDD-9C13-1E90196942B4}" presName="rootComposite" presStyleCnt="0"/>
      <dgm:spPr/>
    </dgm:pt>
    <dgm:pt modelId="{72AC346F-2F4E-444E-8C03-BD2A3B5A48DE}" type="pres">
      <dgm:prSet presAssocID="{86AF350A-A785-4BDD-9C13-1E90196942B4}" presName="rootText" presStyleLbl="node4" presStyleIdx="0" presStyleCnt="18" custLinFactNeighborX="9633" custLinFactNeighborY="0">
        <dgm:presLayoutVars>
          <dgm:chPref val="3"/>
        </dgm:presLayoutVars>
      </dgm:prSet>
      <dgm:spPr/>
    </dgm:pt>
    <dgm:pt modelId="{61BD3AC5-6CF6-4CA9-B7DA-7A4EF7D20243}" type="pres">
      <dgm:prSet presAssocID="{86AF350A-A785-4BDD-9C13-1E90196942B4}" presName="rootConnector" presStyleLbl="node4" presStyleIdx="0" presStyleCnt="18"/>
      <dgm:spPr/>
    </dgm:pt>
    <dgm:pt modelId="{417D4C16-6F47-45C2-BFA4-54B9F621B68C}" type="pres">
      <dgm:prSet presAssocID="{86AF350A-A785-4BDD-9C13-1E90196942B4}" presName="hierChild4" presStyleCnt="0"/>
      <dgm:spPr/>
    </dgm:pt>
    <dgm:pt modelId="{6E904246-481F-4578-AD91-764D29E6D564}" type="pres">
      <dgm:prSet presAssocID="{E0114C20-3A39-4242-9BD4-7E3A42C0079E}" presName="Name37" presStyleLbl="parChTrans1D4" presStyleIdx="1" presStyleCnt="18"/>
      <dgm:spPr/>
    </dgm:pt>
    <dgm:pt modelId="{3F7226FF-427D-42A9-8B80-A751CA140B09}" type="pres">
      <dgm:prSet presAssocID="{95643014-9364-4ED7-A23C-11FF87634454}" presName="hierRoot2" presStyleCnt="0">
        <dgm:presLayoutVars>
          <dgm:hierBranch val="init"/>
        </dgm:presLayoutVars>
      </dgm:prSet>
      <dgm:spPr/>
    </dgm:pt>
    <dgm:pt modelId="{0A246336-23C1-4668-9722-4DF692D3DE4E}" type="pres">
      <dgm:prSet presAssocID="{95643014-9364-4ED7-A23C-11FF87634454}" presName="rootComposite" presStyleCnt="0"/>
      <dgm:spPr/>
    </dgm:pt>
    <dgm:pt modelId="{3C105CD6-BA5F-4296-9ADF-C21FEB294665}" type="pres">
      <dgm:prSet presAssocID="{95643014-9364-4ED7-A23C-11FF87634454}" presName="rootText" presStyleLbl="node4" presStyleIdx="1" presStyleCnt="18">
        <dgm:presLayoutVars>
          <dgm:chPref val="3"/>
        </dgm:presLayoutVars>
      </dgm:prSet>
      <dgm:spPr/>
    </dgm:pt>
    <dgm:pt modelId="{385FC982-988E-4302-98BB-D7460D5505EC}" type="pres">
      <dgm:prSet presAssocID="{95643014-9364-4ED7-A23C-11FF87634454}" presName="rootConnector" presStyleLbl="node4" presStyleIdx="1" presStyleCnt="18"/>
      <dgm:spPr/>
    </dgm:pt>
    <dgm:pt modelId="{FDB3ABF0-E8E8-4CD0-853A-E48F1654371B}" type="pres">
      <dgm:prSet presAssocID="{95643014-9364-4ED7-A23C-11FF87634454}" presName="hierChild4" presStyleCnt="0"/>
      <dgm:spPr/>
    </dgm:pt>
    <dgm:pt modelId="{ECAD813E-F69E-4493-8464-0EFC6AD53AB3}" type="pres">
      <dgm:prSet presAssocID="{95643014-9364-4ED7-A23C-11FF87634454}" presName="hierChild5" presStyleCnt="0"/>
      <dgm:spPr/>
    </dgm:pt>
    <dgm:pt modelId="{2BE8EFB2-4965-4609-B1C2-1F507D9025F0}" type="pres">
      <dgm:prSet presAssocID="{4661214A-AF71-4F01-B5B7-3BAE62E034B1}" presName="Name37" presStyleLbl="parChTrans1D4" presStyleIdx="2" presStyleCnt="18"/>
      <dgm:spPr/>
    </dgm:pt>
    <dgm:pt modelId="{F775338A-84A5-49A8-AF6A-9BA8BA981152}" type="pres">
      <dgm:prSet presAssocID="{85C9611E-0EC3-4C90-8306-3D5D07DB36F8}" presName="hierRoot2" presStyleCnt="0">
        <dgm:presLayoutVars>
          <dgm:hierBranch val="init"/>
        </dgm:presLayoutVars>
      </dgm:prSet>
      <dgm:spPr/>
    </dgm:pt>
    <dgm:pt modelId="{A9AA2BB9-9808-4E50-B65D-A1D192D8B270}" type="pres">
      <dgm:prSet presAssocID="{85C9611E-0EC3-4C90-8306-3D5D07DB36F8}" presName="rootComposite" presStyleCnt="0"/>
      <dgm:spPr/>
    </dgm:pt>
    <dgm:pt modelId="{539C43EC-88FB-4101-BFC8-2FBEBDCB1CFF}" type="pres">
      <dgm:prSet presAssocID="{85C9611E-0EC3-4C90-8306-3D5D07DB36F8}" presName="rootText" presStyleLbl="node4" presStyleIdx="2" presStyleCnt="18">
        <dgm:presLayoutVars>
          <dgm:chPref val="3"/>
        </dgm:presLayoutVars>
      </dgm:prSet>
      <dgm:spPr/>
    </dgm:pt>
    <dgm:pt modelId="{37EBA9EA-1D7F-4485-92CD-286075E5D657}" type="pres">
      <dgm:prSet presAssocID="{85C9611E-0EC3-4C90-8306-3D5D07DB36F8}" presName="rootConnector" presStyleLbl="node4" presStyleIdx="2" presStyleCnt="18"/>
      <dgm:spPr/>
    </dgm:pt>
    <dgm:pt modelId="{57E2BC50-0927-4908-AF16-2DC1A7ABAA91}" type="pres">
      <dgm:prSet presAssocID="{85C9611E-0EC3-4C90-8306-3D5D07DB36F8}" presName="hierChild4" presStyleCnt="0"/>
      <dgm:spPr/>
    </dgm:pt>
    <dgm:pt modelId="{7122834D-968C-4F51-82BF-8F187CEE81CA}" type="pres">
      <dgm:prSet presAssocID="{85C9611E-0EC3-4C90-8306-3D5D07DB36F8}" presName="hierChild5" presStyleCnt="0"/>
      <dgm:spPr/>
    </dgm:pt>
    <dgm:pt modelId="{B03BF5AB-02EB-4D85-9282-46894415A7C4}" type="pres">
      <dgm:prSet presAssocID="{DCA270CC-2A75-49E7-89B8-4B3AC5996B9D}" presName="Name37" presStyleLbl="parChTrans1D4" presStyleIdx="3" presStyleCnt="18"/>
      <dgm:spPr/>
    </dgm:pt>
    <dgm:pt modelId="{4EA350DD-0CE0-4931-8C0F-DBE036A1099D}" type="pres">
      <dgm:prSet presAssocID="{C2EFE54E-DDBB-4937-AAAF-B8E47F74D697}" presName="hierRoot2" presStyleCnt="0">
        <dgm:presLayoutVars>
          <dgm:hierBranch val="init"/>
        </dgm:presLayoutVars>
      </dgm:prSet>
      <dgm:spPr/>
    </dgm:pt>
    <dgm:pt modelId="{CD2F0EF6-63DD-4908-8B36-685448BC48E8}" type="pres">
      <dgm:prSet presAssocID="{C2EFE54E-DDBB-4937-AAAF-B8E47F74D697}" presName="rootComposite" presStyleCnt="0"/>
      <dgm:spPr/>
    </dgm:pt>
    <dgm:pt modelId="{042C9D99-30E8-4921-9EB9-EBE3CC59CEFA}" type="pres">
      <dgm:prSet presAssocID="{C2EFE54E-DDBB-4937-AAAF-B8E47F74D697}" presName="rootText" presStyleLbl="node4" presStyleIdx="3" presStyleCnt="18">
        <dgm:presLayoutVars>
          <dgm:chPref val="3"/>
        </dgm:presLayoutVars>
      </dgm:prSet>
      <dgm:spPr/>
    </dgm:pt>
    <dgm:pt modelId="{3EDBFA9C-F817-479F-9192-D74217624230}" type="pres">
      <dgm:prSet presAssocID="{C2EFE54E-DDBB-4937-AAAF-B8E47F74D697}" presName="rootConnector" presStyleLbl="node4" presStyleIdx="3" presStyleCnt="18"/>
      <dgm:spPr/>
    </dgm:pt>
    <dgm:pt modelId="{B4F1833F-49EE-4B21-B613-A1E34BCE673C}" type="pres">
      <dgm:prSet presAssocID="{C2EFE54E-DDBB-4937-AAAF-B8E47F74D697}" presName="hierChild4" presStyleCnt="0"/>
      <dgm:spPr/>
    </dgm:pt>
    <dgm:pt modelId="{7B2A69D4-674A-4532-8C2D-F390A2FA9622}" type="pres">
      <dgm:prSet presAssocID="{C2EFE54E-DDBB-4937-AAAF-B8E47F74D697}" presName="hierChild5" presStyleCnt="0"/>
      <dgm:spPr/>
    </dgm:pt>
    <dgm:pt modelId="{B894DCF4-CFDB-4655-8C23-F6D06D7FB345}" type="pres">
      <dgm:prSet presAssocID="{2DEF8671-DD1F-49D2-9C9F-4553E51583D7}" presName="Name37" presStyleLbl="parChTrans1D4" presStyleIdx="4" presStyleCnt="18"/>
      <dgm:spPr/>
    </dgm:pt>
    <dgm:pt modelId="{BA7890AD-C28B-4184-A8D6-6EDBD113CB8A}" type="pres">
      <dgm:prSet presAssocID="{0B7A893D-34B0-412E-AAF0-3244FF37E62F}" presName="hierRoot2" presStyleCnt="0">
        <dgm:presLayoutVars>
          <dgm:hierBranch val="init"/>
        </dgm:presLayoutVars>
      </dgm:prSet>
      <dgm:spPr/>
    </dgm:pt>
    <dgm:pt modelId="{C7694567-091A-4EF9-A3C2-2AF6B9A0305A}" type="pres">
      <dgm:prSet presAssocID="{0B7A893D-34B0-412E-AAF0-3244FF37E62F}" presName="rootComposite" presStyleCnt="0"/>
      <dgm:spPr/>
    </dgm:pt>
    <dgm:pt modelId="{D7E2BE4B-D731-4C2D-BA0A-37C902784000}" type="pres">
      <dgm:prSet presAssocID="{0B7A893D-34B0-412E-AAF0-3244FF37E62F}" presName="rootText" presStyleLbl="node4" presStyleIdx="4" presStyleCnt="18">
        <dgm:presLayoutVars>
          <dgm:chPref val="3"/>
        </dgm:presLayoutVars>
      </dgm:prSet>
      <dgm:spPr/>
    </dgm:pt>
    <dgm:pt modelId="{9DEDF8A8-C04F-4AC1-8A19-9C5D980141EF}" type="pres">
      <dgm:prSet presAssocID="{0B7A893D-34B0-412E-AAF0-3244FF37E62F}" presName="rootConnector" presStyleLbl="node4" presStyleIdx="4" presStyleCnt="18"/>
      <dgm:spPr/>
    </dgm:pt>
    <dgm:pt modelId="{1DE648D8-AE03-4D1A-A2BC-9B57B681966C}" type="pres">
      <dgm:prSet presAssocID="{0B7A893D-34B0-412E-AAF0-3244FF37E62F}" presName="hierChild4" presStyleCnt="0"/>
      <dgm:spPr/>
    </dgm:pt>
    <dgm:pt modelId="{100DADC4-F030-4864-A9B4-A0917383493F}" type="pres">
      <dgm:prSet presAssocID="{0B7A893D-34B0-412E-AAF0-3244FF37E62F}" presName="hierChild5" presStyleCnt="0"/>
      <dgm:spPr/>
    </dgm:pt>
    <dgm:pt modelId="{8361F233-B12E-43F6-BC39-A98D94AE39A7}" type="pres">
      <dgm:prSet presAssocID="{DC6688E7-45CF-4D5C-9D56-6B7EDCF265A6}" presName="Name37" presStyleLbl="parChTrans1D4" presStyleIdx="5" presStyleCnt="18"/>
      <dgm:spPr/>
    </dgm:pt>
    <dgm:pt modelId="{DE9A41E4-3923-40A4-9CC8-1B1A5C09A77A}" type="pres">
      <dgm:prSet presAssocID="{EB3954B5-74F4-4D11-9DFF-EA78507987CB}" presName="hierRoot2" presStyleCnt="0">
        <dgm:presLayoutVars>
          <dgm:hierBranch val="init"/>
        </dgm:presLayoutVars>
      </dgm:prSet>
      <dgm:spPr/>
    </dgm:pt>
    <dgm:pt modelId="{B7719617-0E46-40B1-ADB6-32270E389581}" type="pres">
      <dgm:prSet presAssocID="{EB3954B5-74F4-4D11-9DFF-EA78507987CB}" presName="rootComposite" presStyleCnt="0"/>
      <dgm:spPr/>
    </dgm:pt>
    <dgm:pt modelId="{85AD923B-4E2C-411D-9E05-6D278E6E3C31}" type="pres">
      <dgm:prSet presAssocID="{EB3954B5-74F4-4D11-9DFF-EA78507987CB}" presName="rootText" presStyleLbl="node4" presStyleIdx="5" presStyleCnt="18">
        <dgm:presLayoutVars>
          <dgm:chPref val="3"/>
        </dgm:presLayoutVars>
      </dgm:prSet>
      <dgm:spPr/>
    </dgm:pt>
    <dgm:pt modelId="{C9DB3AA9-5EBE-4CDD-923A-16B2DED554F2}" type="pres">
      <dgm:prSet presAssocID="{EB3954B5-74F4-4D11-9DFF-EA78507987CB}" presName="rootConnector" presStyleLbl="node4" presStyleIdx="5" presStyleCnt="18"/>
      <dgm:spPr/>
    </dgm:pt>
    <dgm:pt modelId="{5B4607DF-B053-49BD-89A1-C23BB12F949D}" type="pres">
      <dgm:prSet presAssocID="{EB3954B5-74F4-4D11-9DFF-EA78507987CB}" presName="hierChild4" presStyleCnt="0"/>
      <dgm:spPr/>
    </dgm:pt>
    <dgm:pt modelId="{2D502DF0-43F9-4645-90C9-9E29C2A8A8BF}" type="pres">
      <dgm:prSet presAssocID="{EB3954B5-74F4-4D11-9DFF-EA78507987CB}" presName="hierChild5" presStyleCnt="0"/>
      <dgm:spPr/>
    </dgm:pt>
    <dgm:pt modelId="{A304A998-311C-42E3-BC67-14561F45BC79}" type="pres">
      <dgm:prSet presAssocID="{86AF350A-A785-4BDD-9C13-1E90196942B4}" presName="hierChild5" presStyleCnt="0"/>
      <dgm:spPr/>
    </dgm:pt>
    <dgm:pt modelId="{E6A192A7-97A5-4540-B81A-84E8F308CDFC}" type="pres">
      <dgm:prSet presAssocID="{B926E79E-B2AB-4C90-BFC9-A30EA3676EEA}" presName="Name37" presStyleLbl="parChTrans1D4" presStyleIdx="6" presStyleCnt="18"/>
      <dgm:spPr/>
    </dgm:pt>
    <dgm:pt modelId="{804BC36F-EACE-45C8-8E82-10B45CA83627}" type="pres">
      <dgm:prSet presAssocID="{C86FF9A0-D069-4D8F-B54B-6C17D808ADD9}" presName="hierRoot2" presStyleCnt="0">
        <dgm:presLayoutVars>
          <dgm:hierBranch val="init"/>
        </dgm:presLayoutVars>
      </dgm:prSet>
      <dgm:spPr/>
    </dgm:pt>
    <dgm:pt modelId="{A23D1BB5-4E4D-4B19-8CB4-400279B2627B}" type="pres">
      <dgm:prSet presAssocID="{C86FF9A0-D069-4D8F-B54B-6C17D808ADD9}" presName="rootComposite" presStyleCnt="0"/>
      <dgm:spPr/>
    </dgm:pt>
    <dgm:pt modelId="{6AF35474-32B5-434B-BA60-39ACB08BD7D8}" type="pres">
      <dgm:prSet presAssocID="{C86FF9A0-D069-4D8F-B54B-6C17D808ADD9}" presName="rootText" presStyleLbl="node4" presStyleIdx="6" presStyleCnt="18">
        <dgm:presLayoutVars>
          <dgm:chPref val="3"/>
        </dgm:presLayoutVars>
      </dgm:prSet>
      <dgm:spPr/>
    </dgm:pt>
    <dgm:pt modelId="{BE2FD68E-17D1-4865-A7B1-0401D4588AFE}" type="pres">
      <dgm:prSet presAssocID="{C86FF9A0-D069-4D8F-B54B-6C17D808ADD9}" presName="rootConnector" presStyleLbl="node4" presStyleIdx="6" presStyleCnt="18"/>
      <dgm:spPr/>
    </dgm:pt>
    <dgm:pt modelId="{C8A45B9A-5A0B-438C-9F24-DF01849A37C3}" type="pres">
      <dgm:prSet presAssocID="{C86FF9A0-D069-4D8F-B54B-6C17D808ADD9}" presName="hierChild4" presStyleCnt="0"/>
      <dgm:spPr/>
    </dgm:pt>
    <dgm:pt modelId="{E49F2DD3-8209-48D2-B39C-1D05BC28E27B}" type="pres">
      <dgm:prSet presAssocID="{C86FF9A0-D069-4D8F-B54B-6C17D808ADD9}" presName="hierChild5" presStyleCnt="0"/>
      <dgm:spPr/>
    </dgm:pt>
    <dgm:pt modelId="{45AC5175-69A5-4135-B79C-12AD4A58E1A7}" type="pres">
      <dgm:prSet presAssocID="{97F38E1B-8B0A-4C1C-BB0E-8DC2824BBDEE}" presName="hierChild5" presStyleCnt="0"/>
      <dgm:spPr/>
    </dgm:pt>
    <dgm:pt modelId="{8F47595E-1F20-4F5E-BE70-5CDDFE438157}" type="pres">
      <dgm:prSet presAssocID="{809B22AA-EB2B-4C4F-82C3-E979FD4CF357}" presName="hierChild5" presStyleCnt="0"/>
      <dgm:spPr/>
    </dgm:pt>
    <dgm:pt modelId="{146AE877-ED15-459B-B13B-AF077FBB1040}" type="pres">
      <dgm:prSet presAssocID="{DE3A69AF-6A99-44DF-9639-EBEE5AEFB1D1}" presName="Name37" presStyleLbl="parChTrans1D2" presStyleIdx="2" presStyleCnt="11"/>
      <dgm:spPr/>
    </dgm:pt>
    <dgm:pt modelId="{D8BE7065-D2EC-4787-8FFC-B61F79EEC39D}" type="pres">
      <dgm:prSet presAssocID="{4D29C077-1695-455C-9DAA-E15887E6F57B}" presName="hierRoot2" presStyleCnt="0">
        <dgm:presLayoutVars>
          <dgm:hierBranch val="init"/>
        </dgm:presLayoutVars>
      </dgm:prSet>
      <dgm:spPr/>
    </dgm:pt>
    <dgm:pt modelId="{71363FA2-6923-417F-B55E-201974467DF6}" type="pres">
      <dgm:prSet presAssocID="{4D29C077-1695-455C-9DAA-E15887E6F57B}" presName="rootComposite" presStyleCnt="0"/>
      <dgm:spPr/>
    </dgm:pt>
    <dgm:pt modelId="{5368EF9E-E26F-497A-B704-8C2CE5D835FD}" type="pres">
      <dgm:prSet presAssocID="{4D29C077-1695-455C-9DAA-E15887E6F57B}" presName="rootText" presStyleLbl="node2" presStyleIdx="2" presStyleCnt="11" custScaleX="122846" custLinFactNeighborY="-2145">
        <dgm:presLayoutVars>
          <dgm:chPref val="3"/>
        </dgm:presLayoutVars>
      </dgm:prSet>
      <dgm:spPr/>
    </dgm:pt>
    <dgm:pt modelId="{05AACB28-368C-4D12-A4D8-69764BDEC4D2}" type="pres">
      <dgm:prSet presAssocID="{4D29C077-1695-455C-9DAA-E15887E6F57B}" presName="rootConnector" presStyleLbl="node2" presStyleIdx="2" presStyleCnt="11"/>
      <dgm:spPr/>
    </dgm:pt>
    <dgm:pt modelId="{6EB25563-D21F-483B-A064-03B79922792B}" type="pres">
      <dgm:prSet presAssocID="{4D29C077-1695-455C-9DAA-E15887E6F57B}" presName="hierChild4" presStyleCnt="0"/>
      <dgm:spPr/>
    </dgm:pt>
    <dgm:pt modelId="{1BDCF5C3-4938-4F7B-B883-DFE0EA2513F2}" type="pres">
      <dgm:prSet presAssocID="{F488A61D-44A8-43AF-8D4D-9D3A28823A7B}" presName="Name37" presStyleLbl="parChTrans1D3" presStyleIdx="6" presStyleCnt="31"/>
      <dgm:spPr/>
    </dgm:pt>
    <dgm:pt modelId="{D51C4435-04F6-4D3A-8AC9-28DE1618776D}" type="pres">
      <dgm:prSet presAssocID="{4EDFDD96-7D03-4644-B893-2DE9B7516A86}" presName="hierRoot2" presStyleCnt="0">
        <dgm:presLayoutVars>
          <dgm:hierBranch val="init"/>
        </dgm:presLayoutVars>
      </dgm:prSet>
      <dgm:spPr/>
    </dgm:pt>
    <dgm:pt modelId="{C8C3FF62-3F59-4D84-9B88-D6D2C6D0965C}" type="pres">
      <dgm:prSet presAssocID="{4EDFDD96-7D03-4644-B893-2DE9B7516A86}" presName="rootComposite" presStyleCnt="0"/>
      <dgm:spPr/>
    </dgm:pt>
    <dgm:pt modelId="{3CB81659-FE3C-423B-9CBD-B42FC5FE3EA0}" type="pres">
      <dgm:prSet presAssocID="{4EDFDD96-7D03-4644-B893-2DE9B7516A86}" presName="rootText" presStyleLbl="node3" presStyleIdx="6" presStyleCnt="31">
        <dgm:presLayoutVars>
          <dgm:chPref val="3"/>
        </dgm:presLayoutVars>
      </dgm:prSet>
      <dgm:spPr/>
    </dgm:pt>
    <dgm:pt modelId="{77CF87DA-CCF2-4C68-A6A1-315D38F06E97}" type="pres">
      <dgm:prSet presAssocID="{4EDFDD96-7D03-4644-B893-2DE9B7516A86}" presName="rootConnector" presStyleLbl="node3" presStyleIdx="6" presStyleCnt="31"/>
      <dgm:spPr/>
    </dgm:pt>
    <dgm:pt modelId="{9A131EBF-4F2C-4F30-929D-6EE9E0F9BCAA}" type="pres">
      <dgm:prSet presAssocID="{4EDFDD96-7D03-4644-B893-2DE9B7516A86}" presName="hierChild4" presStyleCnt="0"/>
      <dgm:spPr/>
    </dgm:pt>
    <dgm:pt modelId="{551EDF52-9700-4415-9C5E-2D5BBD97710A}" type="pres">
      <dgm:prSet presAssocID="{B3501234-EF80-4869-A279-C89BC86861D2}" presName="Name37" presStyleLbl="parChTrans1D4" presStyleIdx="7" presStyleCnt="18"/>
      <dgm:spPr/>
    </dgm:pt>
    <dgm:pt modelId="{DD393105-A334-4EB7-8239-C3EC22ABC35C}" type="pres">
      <dgm:prSet presAssocID="{E2EC6A85-58E6-4744-B75D-3324C60D8EE8}" presName="hierRoot2" presStyleCnt="0">
        <dgm:presLayoutVars>
          <dgm:hierBranch val="init"/>
        </dgm:presLayoutVars>
      </dgm:prSet>
      <dgm:spPr/>
    </dgm:pt>
    <dgm:pt modelId="{34E0B7B8-A9FE-4637-BA33-0D34A4985CFE}" type="pres">
      <dgm:prSet presAssocID="{E2EC6A85-58E6-4744-B75D-3324C60D8EE8}" presName="rootComposite" presStyleCnt="0"/>
      <dgm:spPr/>
    </dgm:pt>
    <dgm:pt modelId="{07D3882F-C235-4ADF-85FA-E879C777A8BD}" type="pres">
      <dgm:prSet presAssocID="{E2EC6A85-58E6-4744-B75D-3324C60D8EE8}" presName="rootText" presStyleLbl="node4" presStyleIdx="7" presStyleCnt="18">
        <dgm:presLayoutVars>
          <dgm:chPref val="3"/>
        </dgm:presLayoutVars>
      </dgm:prSet>
      <dgm:spPr/>
    </dgm:pt>
    <dgm:pt modelId="{4AFAFC3D-D935-4174-82BF-8097E9CC3978}" type="pres">
      <dgm:prSet presAssocID="{E2EC6A85-58E6-4744-B75D-3324C60D8EE8}" presName="rootConnector" presStyleLbl="node4" presStyleIdx="7" presStyleCnt="18"/>
      <dgm:spPr/>
    </dgm:pt>
    <dgm:pt modelId="{32762620-2305-4932-8569-3643D2BD0F19}" type="pres">
      <dgm:prSet presAssocID="{E2EC6A85-58E6-4744-B75D-3324C60D8EE8}" presName="hierChild4" presStyleCnt="0"/>
      <dgm:spPr/>
    </dgm:pt>
    <dgm:pt modelId="{8BC1F9E8-51D5-4381-8499-A60AB874E0FD}" type="pres">
      <dgm:prSet presAssocID="{E2EC6A85-58E6-4744-B75D-3324C60D8EE8}" presName="hierChild5" presStyleCnt="0"/>
      <dgm:spPr/>
    </dgm:pt>
    <dgm:pt modelId="{FB2DB3A0-B135-43F4-88C1-E9985DD92C2D}" type="pres">
      <dgm:prSet presAssocID="{622DEC80-7D3B-489F-A688-386A3BD66E46}" presName="Name37" presStyleLbl="parChTrans1D4" presStyleIdx="8" presStyleCnt="18"/>
      <dgm:spPr/>
    </dgm:pt>
    <dgm:pt modelId="{B2D79C74-D841-47CF-928E-3D8F67BB6CF4}" type="pres">
      <dgm:prSet presAssocID="{69233474-9CCA-431F-ADB6-8A9AC33B9697}" presName="hierRoot2" presStyleCnt="0">
        <dgm:presLayoutVars>
          <dgm:hierBranch val="init"/>
        </dgm:presLayoutVars>
      </dgm:prSet>
      <dgm:spPr/>
    </dgm:pt>
    <dgm:pt modelId="{D530D8F6-4633-4E2B-9D7F-07FE13465AD0}" type="pres">
      <dgm:prSet presAssocID="{69233474-9CCA-431F-ADB6-8A9AC33B9697}" presName="rootComposite" presStyleCnt="0"/>
      <dgm:spPr/>
    </dgm:pt>
    <dgm:pt modelId="{D7DDDDF0-F44F-4B11-B08B-89295DEA0D9B}" type="pres">
      <dgm:prSet presAssocID="{69233474-9CCA-431F-ADB6-8A9AC33B9697}" presName="rootText" presStyleLbl="node4" presStyleIdx="8" presStyleCnt="18">
        <dgm:presLayoutVars>
          <dgm:chPref val="3"/>
        </dgm:presLayoutVars>
      </dgm:prSet>
      <dgm:spPr/>
    </dgm:pt>
    <dgm:pt modelId="{3957C82B-EF44-4844-A580-BC3F07AD1AAA}" type="pres">
      <dgm:prSet presAssocID="{69233474-9CCA-431F-ADB6-8A9AC33B9697}" presName="rootConnector" presStyleLbl="node4" presStyleIdx="8" presStyleCnt="18"/>
      <dgm:spPr/>
    </dgm:pt>
    <dgm:pt modelId="{0754D7EF-BC43-404C-B8A6-6E2B1C6A9AE2}" type="pres">
      <dgm:prSet presAssocID="{69233474-9CCA-431F-ADB6-8A9AC33B9697}" presName="hierChild4" presStyleCnt="0"/>
      <dgm:spPr/>
    </dgm:pt>
    <dgm:pt modelId="{72B790DC-CD82-4BA6-8E1B-4F531F1D61F0}" type="pres">
      <dgm:prSet presAssocID="{69233474-9CCA-431F-ADB6-8A9AC33B9697}" presName="hierChild5" presStyleCnt="0"/>
      <dgm:spPr/>
    </dgm:pt>
    <dgm:pt modelId="{A5AD6A0B-6137-45FE-AEC3-274EDB22E7BE}" type="pres">
      <dgm:prSet presAssocID="{4EDFDD96-7D03-4644-B893-2DE9B7516A86}" presName="hierChild5" presStyleCnt="0"/>
      <dgm:spPr/>
    </dgm:pt>
    <dgm:pt modelId="{4E82E1CF-9093-4966-8BDC-BA30B6523B53}" type="pres">
      <dgm:prSet presAssocID="{16CD9583-BD21-4156-92D6-71CDB340D1AD}" presName="Name37" presStyleLbl="parChTrans1D3" presStyleIdx="7" presStyleCnt="31"/>
      <dgm:spPr/>
    </dgm:pt>
    <dgm:pt modelId="{6D4684D6-3049-41BE-9C43-0701009F3CD0}" type="pres">
      <dgm:prSet presAssocID="{141B889D-94F1-45C1-B73E-13B1197CCCF8}" presName="hierRoot2" presStyleCnt="0">
        <dgm:presLayoutVars>
          <dgm:hierBranch val="init"/>
        </dgm:presLayoutVars>
      </dgm:prSet>
      <dgm:spPr/>
    </dgm:pt>
    <dgm:pt modelId="{D575E6F6-8868-49B4-8B9A-094F6C77B41D}" type="pres">
      <dgm:prSet presAssocID="{141B889D-94F1-45C1-B73E-13B1197CCCF8}" presName="rootComposite" presStyleCnt="0"/>
      <dgm:spPr/>
    </dgm:pt>
    <dgm:pt modelId="{12FDCBF9-3BED-482D-906E-5A09DB8EAF1F}" type="pres">
      <dgm:prSet presAssocID="{141B889D-94F1-45C1-B73E-13B1197CCCF8}" presName="rootText" presStyleLbl="node3" presStyleIdx="7" presStyleCnt="31">
        <dgm:presLayoutVars>
          <dgm:chPref val="3"/>
        </dgm:presLayoutVars>
      </dgm:prSet>
      <dgm:spPr/>
    </dgm:pt>
    <dgm:pt modelId="{FC89D3C7-0538-47F7-AF35-0B577D30F034}" type="pres">
      <dgm:prSet presAssocID="{141B889D-94F1-45C1-B73E-13B1197CCCF8}" presName="rootConnector" presStyleLbl="node3" presStyleIdx="7" presStyleCnt="31"/>
      <dgm:spPr/>
    </dgm:pt>
    <dgm:pt modelId="{40C287F3-39F2-4A58-9655-CD0EF0D06F7B}" type="pres">
      <dgm:prSet presAssocID="{141B889D-94F1-45C1-B73E-13B1197CCCF8}" presName="hierChild4" presStyleCnt="0"/>
      <dgm:spPr/>
    </dgm:pt>
    <dgm:pt modelId="{169005B3-517D-446B-8623-5C28558CA7A7}" type="pres">
      <dgm:prSet presAssocID="{3D8434B0-DEC5-4689-B419-C2351767EFE8}" presName="Name37" presStyleLbl="parChTrans1D4" presStyleIdx="9" presStyleCnt="18"/>
      <dgm:spPr/>
    </dgm:pt>
    <dgm:pt modelId="{FA2189D4-0609-4BBD-B1A4-F50349B76580}" type="pres">
      <dgm:prSet presAssocID="{0AE7F9E1-765F-489C-8C16-C7BC49A797D9}" presName="hierRoot2" presStyleCnt="0">
        <dgm:presLayoutVars>
          <dgm:hierBranch val="init"/>
        </dgm:presLayoutVars>
      </dgm:prSet>
      <dgm:spPr/>
    </dgm:pt>
    <dgm:pt modelId="{95C8BA52-0A25-4B1B-9C1C-6FAD6F87853F}" type="pres">
      <dgm:prSet presAssocID="{0AE7F9E1-765F-489C-8C16-C7BC49A797D9}" presName="rootComposite" presStyleCnt="0"/>
      <dgm:spPr/>
    </dgm:pt>
    <dgm:pt modelId="{1E535ECD-9FA0-4E48-A66D-29FFB2AB3B70}" type="pres">
      <dgm:prSet presAssocID="{0AE7F9E1-765F-489C-8C16-C7BC49A797D9}" presName="rootText" presStyleLbl="node4" presStyleIdx="9" presStyleCnt="18">
        <dgm:presLayoutVars>
          <dgm:chPref val="3"/>
        </dgm:presLayoutVars>
      </dgm:prSet>
      <dgm:spPr/>
    </dgm:pt>
    <dgm:pt modelId="{A2F7DB0A-CD49-4EDD-B25D-FF7E00E87D85}" type="pres">
      <dgm:prSet presAssocID="{0AE7F9E1-765F-489C-8C16-C7BC49A797D9}" presName="rootConnector" presStyleLbl="node4" presStyleIdx="9" presStyleCnt="18"/>
      <dgm:spPr/>
    </dgm:pt>
    <dgm:pt modelId="{55C12E5E-D71A-41AF-B0EE-8DEB10EABF6C}" type="pres">
      <dgm:prSet presAssocID="{0AE7F9E1-765F-489C-8C16-C7BC49A797D9}" presName="hierChild4" presStyleCnt="0"/>
      <dgm:spPr/>
    </dgm:pt>
    <dgm:pt modelId="{E2A7F598-2A90-4FBC-9CCC-46032457887C}" type="pres">
      <dgm:prSet presAssocID="{0AE7F9E1-765F-489C-8C16-C7BC49A797D9}" presName="hierChild5" presStyleCnt="0"/>
      <dgm:spPr/>
    </dgm:pt>
    <dgm:pt modelId="{B1F44040-471C-47E1-AA4C-3975425FBF91}" type="pres">
      <dgm:prSet presAssocID="{88490267-DE7E-43ED-9BD4-B69E754A61AF}" presName="Name37" presStyleLbl="parChTrans1D4" presStyleIdx="10" presStyleCnt="18"/>
      <dgm:spPr/>
    </dgm:pt>
    <dgm:pt modelId="{C2D84DC7-5EF4-4BC8-9576-DED11C3A7DFD}" type="pres">
      <dgm:prSet presAssocID="{1FA32465-79CA-43E4-925C-FD9E6E9DB5C8}" presName="hierRoot2" presStyleCnt="0">
        <dgm:presLayoutVars>
          <dgm:hierBranch val="init"/>
        </dgm:presLayoutVars>
      </dgm:prSet>
      <dgm:spPr/>
    </dgm:pt>
    <dgm:pt modelId="{A5EFAD50-F422-4DD0-B7DB-428FBE8FC6A2}" type="pres">
      <dgm:prSet presAssocID="{1FA32465-79CA-43E4-925C-FD9E6E9DB5C8}" presName="rootComposite" presStyleCnt="0"/>
      <dgm:spPr/>
    </dgm:pt>
    <dgm:pt modelId="{0A7F2A46-750F-45A2-923B-D1292802EFDC}" type="pres">
      <dgm:prSet presAssocID="{1FA32465-79CA-43E4-925C-FD9E6E9DB5C8}" presName="rootText" presStyleLbl="node4" presStyleIdx="10" presStyleCnt="18">
        <dgm:presLayoutVars>
          <dgm:chPref val="3"/>
        </dgm:presLayoutVars>
      </dgm:prSet>
      <dgm:spPr/>
    </dgm:pt>
    <dgm:pt modelId="{5517D03E-AE9E-4827-A3FB-E1CF8BC3E098}" type="pres">
      <dgm:prSet presAssocID="{1FA32465-79CA-43E4-925C-FD9E6E9DB5C8}" presName="rootConnector" presStyleLbl="node4" presStyleIdx="10" presStyleCnt="18"/>
      <dgm:spPr/>
    </dgm:pt>
    <dgm:pt modelId="{C84665DD-42F1-4826-AAB6-D8630126BC8B}" type="pres">
      <dgm:prSet presAssocID="{1FA32465-79CA-43E4-925C-FD9E6E9DB5C8}" presName="hierChild4" presStyleCnt="0"/>
      <dgm:spPr/>
    </dgm:pt>
    <dgm:pt modelId="{D8899574-0656-4F1B-8027-B715745A0824}" type="pres">
      <dgm:prSet presAssocID="{1FA32465-79CA-43E4-925C-FD9E6E9DB5C8}" presName="hierChild5" presStyleCnt="0"/>
      <dgm:spPr/>
    </dgm:pt>
    <dgm:pt modelId="{4FF2B127-3DD1-49B2-A994-6E2D85102CCF}" type="pres">
      <dgm:prSet presAssocID="{141B889D-94F1-45C1-B73E-13B1197CCCF8}" presName="hierChild5" presStyleCnt="0"/>
      <dgm:spPr/>
    </dgm:pt>
    <dgm:pt modelId="{BC2296E3-678E-497E-9639-ED3DB6D9EADC}" type="pres">
      <dgm:prSet presAssocID="{4D29C077-1695-455C-9DAA-E15887E6F57B}" presName="hierChild5" presStyleCnt="0"/>
      <dgm:spPr/>
    </dgm:pt>
    <dgm:pt modelId="{86920179-6629-4A58-BB26-F9023C6AB676}" type="pres">
      <dgm:prSet presAssocID="{C025D0B3-3453-4AB2-8C0D-9A93251A872D}" presName="Name37" presStyleLbl="parChTrans1D2" presStyleIdx="3" presStyleCnt="11"/>
      <dgm:spPr/>
    </dgm:pt>
    <dgm:pt modelId="{385AF64B-4878-49AF-BB34-3F012067394B}" type="pres">
      <dgm:prSet presAssocID="{0E0D5914-9733-4438-B53B-E54AED87BD25}" presName="hierRoot2" presStyleCnt="0">
        <dgm:presLayoutVars>
          <dgm:hierBranch val="init"/>
        </dgm:presLayoutVars>
      </dgm:prSet>
      <dgm:spPr/>
    </dgm:pt>
    <dgm:pt modelId="{068FD7B9-8011-48D2-A182-EBFC5AA118E2}" type="pres">
      <dgm:prSet presAssocID="{0E0D5914-9733-4438-B53B-E54AED87BD25}" presName="rootComposite" presStyleCnt="0"/>
      <dgm:spPr/>
    </dgm:pt>
    <dgm:pt modelId="{34D49AA9-33AD-4664-ADD5-58DB46EB9889}" type="pres">
      <dgm:prSet presAssocID="{0E0D5914-9733-4438-B53B-E54AED87BD25}" presName="rootText" presStyleLbl="node2" presStyleIdx="3" presStyleCnt="11" custScaleX="142429" custLinFactNeighborY="-2145">
        <dgm:presLayoutVars>
          <dgm:chPref val="3"/>
        </dgm:presLayoutVars>
      </dgm:prSet>
      <dgm:spPr/>
    </dgm:pt>
    <dgm:pt modelId="{FA21B6A8-6AD6-40C5-B832-097165E0AE14}" type="pres">
      <dgm:prSet presAssocID="{0E0D5914-9733-4438-B53B-E54AED87BD25}" presName="rootConnector" presStyleLbl="node2" presStyleIdx="3" presStyleCnt="11"/>
      <dgm:spPr/>
    </dgm:pt>
    <dgm:pt modelId="{7A9C32C9-16BF-4D3E-BDD1-44D79FD1AB24}" type="pres">
      <dgm:prSet presAssocID="{0E0D5914-9733-4438-B53B-E54AED87BD25}" presName="hierChild4" presStyleCnt="0"/>
      <dgm:spPr/>
    </dgm:pt>
    <dgm:pt modelId="{6AC18233-7434-428C-A2CE-9E3AFE243EA4}" type="pres">
      <dgm:prSet presAssocID="{8069AF01-BDAC-4439-9E0A-EA0793CC3F91}" presName="Name37" presStyleLbl="parChTrans1D3" presStyleIdx="8" presStyleCnt="31"/>
      <dgm:spPr/>
    </dgm:pt>
    <dgm:pt modelId="{EB24A0CA-CF3C-48F9-925F-67D055FC3E19}" type="pres">
      <dgm:prSet presAssocID="{D9DCBD92-CF2D-4FA3-9650-A94983E94475}" presName="hierRoot2" presStyleCnt="0">
        <dgm:presLayoutVars>
          <dgm:hierBranch val="init"/>
        </dgm:presLayoutVars>
      </dgm:prSet>
      <dgm:spPr/>
    </dgm:pt>
    <dgm:pt modelId="{4D6B7E68-7345-431E-88BB-893362ADA909}" type="pres">
      <dgm:prSet presAssocID="{D9DCBD92-CF2D-4FA3-9650-A94983E94475}" presName="rootComposite" presStyleCnt="0"/>
      <dgm:spPr/>
    </dgm:pt>
    <dgm:pt modelId="{DA2E93DC-BB1D-4564-889B-BA004AC786E0}" type="pres">
      <dgm:prSet presAssocID="{D9DCBD92-CF2D-4FA3-9650-A94983E94475}" presName="rootText" presStyleLbl="node3" presStyleIdx="8" presStyleCnt="31">
        <dgm:presLayoutVars>
          <dgm:chPref val="3"/>
        </dgm:presLayoutVars>
      </dgm:prSet>
      <dgm:spPr/>
    </dgm:pt>
    <dgm:pt modelId="{99E07EF1-2718-49C0-B549-73DEE2F71416}" type="pres">
      <dgm:prSet presAssocID="{D9DCBD92-CF2D-4FA3-9650-A94983E94475}" presName="rootConnector" presStyleLbl="node3" presStyleIdx="8" presStyleCnt="31"/>
      <dgm:spPr/>
    </dgm:pt>
    <dgm:pt modelId="{7B0E1761-D15E-4320-AA6E-52EBF3F2E66D}" type="pres">
      <dgm:prSet presAssocID="{D9DCBD92-CF2D-4FA3-9650-A94983E94475}" presName="hierChild4" presStyleCnt="0"/>
      <dgm:spPr/>
    </dgm:pt>
    <dgm:pt modelId="{D7968CA6-A26B-43C5-9036-51384CB0A177}" type="pres">
      <dgm:prSet presAssocID="{F26A6E32-5FBB-4CEF-BDB1-A0E805534581}" presName="Name37" presStyleLbl="parChTrans1D4" presStyleIdx="11" presStyleCnt="18"/>
      <dgm:spPr/>
    </dgm:pt>
    <dgm:pt modelId="{5E1D58CE-2EAC-4297-BEA4-14F9FB70B9DC}" type="pres">
      <dgm:prSet presAssocID="{DBA8929B-46BA-404E-A3FA-7CF913B88C72}" presName="hierRoot2" presStyleCnt="0">
        <dgm:presLayoutVars>
          <dgm:hierBranch val="init"/>
        </dgm:presLayoutVars>
      </dgm:prSet>
      <dgm:spPr/>
    </dgm:pt>
    <dgm:pt modelId="{F8FCB22D-B5A4-4DFA-B1D0-C9BC424E0291}" type="pres">
      <dgm:prSet presAssocID="{DBA8929B-46BA-404E-A3FA-7CF913B88C72}" presName="rootComposite" presStyleCnt="0"/>
      <dgm:spPr/>
    </dgm:pt>
    <dgm:pt modelId="{47D7B08E-C006-4337-AFA5-B2B6AB5330E7}" type="pres">
      <dgm:prSet presAssocID="{DBA8929B-46BA-404E-A3FA-7CF913B88C72}" presName="rootText" presStyleLbl="node4" presStyleIdx="11" presStyleCnt="18">
        <dgm:presLayoutVars>
          <dgm:chPref val="3"/>
        </dgm:presLayoutVars>
      </dgm:prSet>
      <dgm:spPr/>
    </dgm:pt>
    <dgm:pt modelId="{30BF917B-30C7-4244-BCF5-B6609692DE4D}" type="pres">
      <dgm:prSet presAssocID="{DBA8929B-46BA-404E-A3FA-7CF913B88C72}" presName="rootConnector" presStyleLbl="node4" presStyleIdx="11" presStyleCnt="18"/>
      <dgm:spPr/>
    </dgm:pt>
    <dgm:pt modelId="{CA706695-D83D-4307-9D43-2078468493DA}" type="pres">
      <dgm:prSet presAssocID="{DBA8929B-46BA-404E-A3FA-7CF913B88C72}" presName="hierChild4" presStyleCnt="0"/>
      <dgm:spPr/>
    </dgm:pt>
    <dgm:pt modelId="{B34B29DD-FFDA-4380-8BFE-760AF2CEBD42}" type="pres">
      <dgm:prSet presAssocID="{DBA8929B-46BA-404E-A3FA-7CF913B88C72}" presName="hierChild5" presStyleCnt="0"/>
      <dgm:spPr/>
    </dgm:pt>
    <dgm:pt modelId="{0E0991F3-3934-47BB-929B-D5CDA7641990}" type="pres">
      <dgm:prSet presAssocID="{304499FC-178F-457B-9D5B-07C633CC1703}" presName="Name37" presStyleLbl="parChTrans1D4" presStyleIdx="12" presStyleCnt="18"/>
      <dgm:spPr/>
    </dgm:pt>
    <dgm:pt modelId="{329A036F-A499-429D-A48A-A92561947667}" type="pres">
      <dgm:prSet presAssocID="{C2E9E08C-C520-4750-9A46-099873830BC9}" presName="hierRoot2" presStyleCnt="0">
        <dgm:presLayoutVars>
          <dgm:hierBranch val="init"/>
        </dgm:presLayoutVars>
      </dgm:prSet>
      <dgm:spPr/>
    </dgm:pt>
    <dgm:pt modelId="{AE82D68E-D9B7-46FF-85E9-8B70C6683B55}" type="pres">
      <dgm:prSet presAssocID="{C2E9E08C-C520-4750-9A46-099873830BC9}" presName="rootComposite" presStyleCnt="0"/>
      <dgm:spPr/>
    </dgm:pt>
    <dgm:pt modelId="{43E1BAD0-C612-479E-A76D-9ADDAE663A0D}" type="pres">
      <dgm:prSet presAssocID="{C2E9E08C-C520-4750-9A46-099873830BC9}" presName="rootText" presStyleLbl="node4" presStyleIdx="12" presStyleCnt="18">
        <dgm:presLayoutVars>
          <dgm:chPref val="3"/>
        </dgm:presLayoutVars>
      </dgm:prSet>
      <dgm:spPr/>
    </dgm:pt>
    <dgm:pt modelId="{C3AE13EC-AD65-415B-91FB-22FE48785A3E}" type="pres">
      <dgm:prSet presAssocID="{C2E9E08C-C520-4750-9A46-099873830BC9}" presName="rootConnector" presStyleLbl="node4" presStyleIdx="12" presStyleCnt="18"/>
      <dgm:spPr/>
    </dgm:pt>
    <dgm:pt modelId="{2C38C1EE-8865-4C5D-A418-8541DB06CDA8}" type="pres">
      <dgm:prSet presAssocID="{C2E9E08C-C520-4750-9A46-099873830BC9}" presName="hierChild4" presStyleCnt="0"/>
      <dgm:spPr/>
    </dgm:pt>
    <dgm:pt modelId="{8FB92146-00F4-4711-B047-DF4AF7DA2428}" type="pres">
      <dgm:prSet presAssocID="{C2E9E08C-C520-4750-9A46-099873830BC9}" presName="hierChild5" presStyleCnt="0"/>
      <dgm:spPr/>
    </dgm:pt>
    <dgm:pt modelId="{75E9DCE7-BF69-4738-9940-25697E75186B}" type="pres">
      <dgm:prSet presAssocID="{3081B60C-E0C6-4F93-AEC8-9ADDE71E84C6}" presName="Name37" presStyleLbl="parChTrans1D4" presStyleIdx="13" presStyleCnt="18"/>
      <dgm:spPr/>
    </dgm:pt>
    <dgm:pt modelId="{BD00315B-33DC-400B-BE1D-C3AF56988985}" type="pres">
      <dgm:prSet presAssocID="{CE2A3EF5-315E-4A47-8675-C5092FBEAE78}" presName="hierRoot2" presStyleCnt="0">
        <dgm:presLayoutVars>
          <dgm:hierBranch val="init"/>
        </dgm:presLayoutVars>
      </dgm:prSet>
      <dgm:spPr/>
    </dgm:pt>
    <dgm:pt modelId="{BB5DEC02-7935-45D7-960E-BB1EBACD7BA3}" type="pres">
      <dgm:prSet presAssocID="{CE2A3EF5-315E-4A47-8675-C5092FBEAE78}" presName="rootComposite" presStyleCnt="0"/>
      <dgm:spPr/>
    </dgm:pt>
    <dgm:pt modelId="{2729BD24-0107-4858-9AA3-412C3646129B}" type="pres">
      <dgm:prSet presAssocID="{CE2A3EF5-315E-4A47-8675-C5092FBEAE78}" presName="rootText" presStyleLbl="node4" presStyleIdx="13" presStyleCnt="18">
        <dgm:presLayoutVars>
          <dgm:chPref val="3"/>
        </dgm:presLayoutVars>
      </dgm:prSet>
      <dgm:spPr/>
    </dgm:pt>
    <dgm:pt modelId="{73B79BE7-B499-4466-A25C-20D4D18A5B41}" type="pres">
      <dgm:prSet presAssocID="{CE2A3EF5-315E-4A47-8675-C5092FBEAE78}" presName="rootConnector" presStyleLbl="node4" presStyleIdx="13" presStyleCnt="18"/>
      <dgm:spPr/>
    </dgm:pt>
    <dgm:pt modelId="{9713CF54-EEE2-4E29-86CD-104FD311F54C}" type="pres">
      <dgm:prSet presAssocID="{CE2A3EF5-315E-4A47-8675-C5092FBEAE78}" presName="hierChild4" presStyleCnt="0"/>
      <dgm:spPr/>
    </dgm:pt>
    <dgm:pt modelId="{BF4D3BE8-327F-474D-8D2E-79F1C6DA71E2}" type="pres">
      <dgm:prSet presAssocID="{CE2A3EF5-315E-4A47-8675-C5092FBEAE78}" presName="hierChild5" presStyleCnt="0"/>
      <dgm:spPr/>
    </dgm:pt>
    <dgm:pt modelId="{61A6C384-661D-4488-AD5D-768B4A947FBD}" type="pres">
      <dgm:prSet presAssocID="{D9DCBD92-CF2D-4FA3-9650-A94983E94475}" presName="hierChild5" presStyleCnt="0"/>
      <dgm:spPr/>
    </dgm:pt>
    <dgm:pt modelId="{3A9512E9-E1C5-4380-BA7C-8E54B5E137DF}" type="pres">
      <dgm:prSet presAssocID="{1182CA2F-4565-428E-AE54-DA4AC822DEC1}" presName="Name37" presStyleLbl="parChTrans1D3" presStyleIdx="9" presStyleCnt="31"/>
      <dgm:spPr/>
    </dgm:pt>
    <dgm:pt modelId="{075A8305-3775-48CC-A7D3-4320ADDF26A5}" type="pres">
      <dgm:prSet presAssocID="{D5E38E4B-FED5-4A0A-B8AA-8728BED387A3}" presName="hierRoot2" presStyleCnt="0">
        <dgm:presLayoutVars>
          <dgm:hierBranch val="init"/>
        </dgm:presLayoutVars>
      </dgm:prSet>
      <dgm:spPr/>
    </dgm:pt>
    <dgm:pt modelId="{914A0770-4145-43FC-8249-A757D3507335}" type="pres">
      <dgm:prSet presAssocID="{D5E38E4B-FED5-4A0A-B8AA-8728BED387A3}" presName="rootComposite" presStyleCnt="0"/>
      <dgm:spPr/>
    </dgm:pt>
    <dgm:pt modelId="{4CB3CC10-420D-4678-B4A5-F650FAA65CFC}" type="pres">
      <dgm:prSet presAssocID="{D5E38E4B-FED5-4A0A-B8AA-8728BED387A3}" presName="rootText" presStyleLbl="node3" presStyleIdx="9" presStyleCnt="31">
        <dgm:presLayoutVars>
          <dgm:chPref val="3"/>
        </dgm:presLayoutVars>
      </dgm:prSet>
      <dgm:spPr/>
    </dgm:pt>
    <dgm:pt modelId="{E962E456-3173-4AC8-9388-5565756FFDF6}" type="pres">
      <dgm:prSet presAssocID="{D5E38E4B-FED5-4A0A-B8AA-8728BED387A3}" presName="rootConnector" presStyleLbl="node3" presStyleIdx="9" presStyleCnt="31"/>
      <dgm:spPr/>
    </dgm:pt>
    <dgm:pt modelId="{7E0C7BB9-5BB2-4E5A-B8D7-6F7CFC60ED3A}" type="pres">
      <dgm:prSet presAssocID="{D5E38E4B-FED5-4A0A-B8AA-8728BED387A3}" presName="hierChild4" presStyleCnt="0"/>
      <dgm:spPr/>
    </dgm:pt>
    <dgm:pt modelId="{C53932D4-51E7-41F5-AE16-C6CBB114DFEA}" type="pres">
      <dgm:prSet presAssocID="{E5DFCF2D-8524-4D8E-AB8B-E3229044C96F}" presName="Name37" presStyleLbl="parChTrans1D4" presStyleIdx="14" presStyleCnt="18"/>
      <dgm:spPr/>
    </dgm:pt>
    <dgm:pt modelId="{79CB2B5B-3697-4993-BCA7-F0EA057118BB}" type="pres">
      <dgm:prSet presAssocID="{B3F45023-E1E3-43C0-B67F-AD1E7AC51078}" presName="hierRoot2" presStyleCnt="0">
        <dgm:presLayoutVars>
          <dgm:hierBranch val="init"/>
        </dgm:presLayoutVars>
      </dgm:prSet>
      <dgm:spPr/>
    </dgm:pt>
    <dgm:pt modelId="{72A685EF-7D18-4EA0-BAEB-26A2161DFE0B}" type="pres">
      <dgm:prSet presAssocID="{B3F45023-E1E3-43C0-B67F-AD1E7AC51078}" presName="rootComposite" presStyleCnt="0"/>
      <dgm:spPr/>
    </dgm:pt>
    <dgm:pt modelId="{4AD3C1C4-D9EA-4B51-B2F8-F5F336E1219A}" type="pres">
      <dgm:prSet presAssocID="{B3F45023-E1E3-43C0-B67F-AD1E7AC51078}" presName="rootText" presStyleLbl="node4" presStyleIdx="14" presStyleCnt="18">
        <dgm:presLayoutVars>
          <dgm:chPref val="3"/>
        </dgm:presLayoutVars>
      </dgm:prSet>
      <dgm:spPr/>
    </dgm:pt>
    <dgm:pt modelId="{4FD3DBF8-676D-4E03-B8F9-806C982C4A66}" type="pres">
      <dgm:prSet presAssocID="{B3F45023-E1E3-43C0-B67F-AD1E7AC51078}" presName="rootConnector" presStyleLbl="node4" presStyleIdx="14" presStyleCnt="18"/>
      <dgm:spPr/>
    </dgm:pt>
    <dgm:pt modelId="{2E82E7AF-352D-4745-8180-60B75AAE4DAE}" type="pres">
      <dgm:prSet presAssocID="{B3F45023-E1E3-43C0-B67F-AD1E7AC51078}" presName="hierChild4" presStyleCnt="0"/>
      <dgm:spPr/>
    </dgm:pt>
    <dgm:pt modelId="{FB51DC32-34A1-4F42-91BE-E05D99339116}" type="pres">
      <dgm:prSet presAssocID="{B3F45023-E1E3-43C0-B67F-AD1E7AC51078}" presName="hierChild5" presStyleCnt="0"/>
      <dgm:spPr/>
    </dgm:pt>
    <dgm:pt modelId="{C3FAA0F3-7CCC-449C-A82C-F68F70EE100B}" type="pres">
      <dgm:prSet presAssocID="{C550F39E-3BA4-4EAC-9784-E4F9E4C6F36F}" presName="Name37" presStyleLbl="parChTrans1D4" presStyleIdx="15" presStyleCnt="18"/>
      <dgm:spPr/>
    </dgm:pt>
    <dgm:pt modelId="{092F2FFF-9E60-49E0-9D67-A2B2110FF0CC}" type="pres">
      <dgm:prSet presAssocID="{971055BB-A4A3-40DF-B506-54605DDFB45E}" presName="hierRoot2" presStyleCnt="0">
        <dgm:presLayoutVars>
          <dgm:hierBranch val="init"/>
        </dgm:presLayoutVars>
      </dgm:prSet>
      <dgm:spPr/>
    </dgm:pt>
    <dgm:pt modelId="{82F8FC69-1226-4888-89BA-50A29818B23D}" type="pres">
      <dgm:prSet presAssocID="{971055BB-A4A3-40DF-B506-54605DDFB45E}" presName="rootComposite" presStyleCnt="0"/>
      <dgm:spPr/>
    </dgm:pt>
    <dgm:pt modelId="{8106893D-3A89-48AC-99BF-9C6C7C662C1D}" type="pres">
      <dgm:prSet presAssocID="{971055BB-A4A3-40DF-B506-54605DDFB45E}" presName="rootText" presStyleLbl="node4" presStyleIdx="15" presStyleCnt="18">
        <dgm:presLayoutVars>
          <dgm:chPref val="3"/>
        </dgm:presLayoutVars>
      </dgm:prSet>
      <dgm:spPr/>
    </dgm:pt>
    <dgm:pt modelId="{89AC791A-EBF2-49B2-B781-7B106A580939}" type="pres">
      <dgm:prSet presAssocID="{971055BB-A4A3-40DF-B506-54605DDFB45E}" presName="rootConnector" presStyleLbl="node4" presStyleIdx="15" presStyleCnt="18"/>
      <dgm:spPr/>
    </dgm:pt>
    <dgm:pt modelId="{73B52ECB-0E42-4B08-9326-A249EF79B2BA}" type="pres">
      <dgm:prSet presAssocID="{971055BB-A4A3-40DF-B506-54605DDFB45E}" presName="hierChild4" presStyleCnt="0"/>
      <dgm:spPr/>
    </dgm:pt>
    <dgm:pt modelId="{D5915785-2B2B-4B31-8D2C-A650A8284AD3}" type="pres">
      <dgm:prSet presAssocID="{971055BB-A4A3-40DF-B506-54605DDFB45E}" presName="hierChild5" presStyleCnt="0"/>
      <dgm:spPr/>
    </dgm:pt>
    <dgm:pt modelId="{2B3AD1B7-C2FA-429C-81C3-2B93654B4988}" type="pres">
      <dgm:prSet presAssocID="{4AC91895-1328-47B6-95A4-257A3E94D935}" presName="Name37" presStyleLbl="parChTrans1D4" presStyleIdx="16" presStyleCnt="18"/>
      <dgm:spPr/>
    </dgm:pt>
    <dgm:pt modelId="{445AF9CA-CD42-4D3D-8CFA-51656FDB01E9}" type="pres">
      <dgm:prSet presAssocID="{9C1E4FCB-B7F4-4214-A13D-EB34EE3750D7}" presName="hierRoot2" presStyleCnt="0">
        <dgm:presLayoutVars>
          <dgm:hierBranch val="init"/>
        </dgm:presLayoutVars>
      </dgm:prSet>
      <dgm:spPr/>
    </dgm:pt>
    <dgm:pt modelId="{6C252BFD-1478-428B-8780-23289727B889}" type="pres">
      <dgm:prSet presAssocID="{9C1E4FCB-B7F4-4214-A13D-EB34EE3750D7}" presName="rootComposite" presStyleCnt="0"/>
      <dgm:spPr/>
    </dgm:pt>
    <dgm:pt modelId="{36897410-9752-4558-8045-59EAE8009D91}" type="pres">
      <dgm:prSet presAssocID="{9C1E4FCB-B7F4-4214-A13D-EB34EE3750D7}" presName="rootText" presStyleLbl="node4" presStyleIdx="16" presStyleCnt="18">
        <dgm:presLayoutVars>
          <dgm:chPref val="3"/>
        </dgm:presLayoutVars>
      </dgm:prSet>
      <dgm:spPr/>
    </dgm:pt>
    <dgm:pt modelId="{BAF266AB-76B9-4EC2-80FA-1B6E8EF15352}" type="pres">
      <dgm:prSet presAssocID="{9C1E4FCB-B7F4-4214-A13D-EB34EE3750D7}" presName="rootConnector" presStyleLbl="node4" presStyleIdx="16" presStyleCnt="18"/>
      <dgm:spPr/>
    </dgm:pt>
    <dgm:pt modelId="{D3589C40-4D8A-48C6-B356-6F2498FC0665}" type="pres">
      <dgm:prSet presAssocID="{9C1E4FCB-B7F4-4214-A13D-EB34EE3750D7}" presName="hierChild4" presStyleCnt="0"/>
      <dgm:spPr/>
    </dgm:pt>
    <dgm:pt modelId="{AADBE957-7524-42FC-95B1-050B989B54D7}" type="pres">
      <dgm:prSet presAssocID="{9C1E4FCB-B7F4-4214-A13D-EB34EE3750D7}" presName="hierChild5" presStyleCnt="0"/>
      <dgm:spPr/>
    </dgm:pt>
    <dgm:pt modelId="{DE31F5CA-37EC-464B-A0E1-9AB790904E0E}" type="pres">
      <dgm:prSet presAssocID="{6B85388F-71E1-413F-BC49-7FE13C99924D}" presName="Name37" presStyleLbl="parChTrans1D4" presStyleIdx="17" presStyleCnt="18"/>
      <dgm:spPr/>
    </dgm:pt>
    <dgm:pt modelId="{D467E7B8-8553-4750-9481-240B144A140A}" type="pres">
      <dgm:prSet presAssocID="{B71ED880-875D-465D-A2D5-7EFCE170B8F3}" presName="hierRoot2" presStyleCnt="0">
        <dgm:presLayoutVars>
          <dgm:hierBranch val="init"/>
        </dgm:presLayoutVars>
      </dgm:prSet>
      <dgm:spPr/>
    </dgm:pt>
    <dgm:pt modelId="{9020D338-B3A5-4F47-AA57-A04CF4F69450}" type="pres">
      <dgm:prSet presAssocID="{B71ED880-875D-465D-A2D5-7EFCE170B8F3}" presName="rootComposite" presStyleCnt="0"/>
      <dgm:spPr/>
    </dgm:pt>
    <dgm:pt modelId="{A197E7E5-E989-4B2D-830A-0E09071FB3E2}" type="pres">
      <dgm:prSet presAssocID="{B71ED880-875D-465D-A2D5-7EFCE170B8F3}" presName="rootText" presStyleLbl="node4" presStyleIdx="17" presStyleCnt="18">
        <dgm:presLayoutVars>
          <dgm:chPref val="3"/>
        </dgm:presLayoutVars>
      </dgm:prSet>
      <dgm:spPr/>
    </dgm:pt>
    <dgm:pt modelId="{1E232AB8-93DE-4845-B58C-D44BE96A7024}" type="pres">
      <dgm:prSet presAssocID="{B71ED880-875D-465D-A2D5-7EFCE170B8F3}" presName="rootConnector" presStyleLbl="node4" presStyleIdx="17" presStyleCnt="18"/>
      <dgm:spPr/>
    </dgm:pt>
    <dgm:pt modelId="{338CCFC0-5726-4721-B4E9-EF0DACB834A8}" type="pres">
      <dgm:prSet presAssocID="{B71ED880-875D-465D-A2D5-7EFCE170B8F3}" presName="hierChild4" presStyleCnt="0"/>
      <dgm:spPr/>
    </dgm:pt>
    <dgm:pt modelId="{62BFC6B3-6425-493A-83F9-96A151286232}" type="pres">
      <dgm:prSet presAssocID="{B71ED880-875D-465D-A2D5-7EFCE170B8F3}" presName="hierChild5" presStyleCnt="0"/>
      <dgm:spPr/>
    </dgm:pt>
    <dgm:pt modelId="{8CDCB8B8-B9F5-4D9F-938A-73D933864FEF}" type="pres">
      <dgm:prSet presAssocID="{D5E38E4B-FED5-4A0A-B8AA-8728BED387A3}" presName="hierChild5" presStyleCnt="0"/>
      <dgm:spPr/>
    </dgm:pt>
    <dgm:pt modelId="{03864CF9-7B53-4B08-8E2A-D1D6CFCD74A7}" type="pres">
      <dgm:prSet presAssocID="{0E0D5914-9733-4438-B53B-E54AED87BD25}" presName="hierChild5" presStyleCnt="0"/>
      <dgm:spPr/>
    </dgm:pt>
    <dgm:pt modelId="{58BDADBE-4402-4E6F-AB6F-E215C5F98D3B}" type="pres">
      <dgm:prSet presAssocID="{E9CCBF3B-F7D4-491B-83ED-166AFDD5DD30}" presName="Name37" presStyleLbl="parChTrans1D2" presStyleIdx="4" presStyleCnt="11"/>
      <dgm:spPr/>
    </dgm:pt>
    <dgm:pt modelId="{CAC55414-926B-4025-9709-C51A1C0F1BA3}" type="pres">
      <dgm:prSet presAssocID="{025397C8-278A-4FB7-A986-A1B487EA1563}" presName="hierRoot2" presStyleCnt="0">
        <dgm:presLayoutVars>
          <dgm:hierBranch val="init"/>
        </dgm:presLayoutVars>
      </dgm:prSet>
      <dgm:spPr/>
    </dgm:pt>
    <dgm:pt modelId="{84CEA5E3-2733-4C8E-82C3-8E65E6AC6A4F}" type="pres">
      <dgm:prSet presAssocID="{025397C8-278A-4FB7-A986-A1B487EA1563}" presName="rootComposite" presStyleCnt="0"/>
      <dgm:spPr/>
    </dgm:pt>
    <dgm:pt modelId="{0BF99F41-2B36-4860-856E-9B912562371F}" type="pres">
      <dgm:prSet presAssocID="{025397C8-278A-4FB7-A986-A1B487EA1563}" presName="rootText" presStyleLbl="node2" presStyleIdx="4" presStyleCnt="11" custScaleX="111662" custLinFactNeighborY="-2145">
        <dgm:presLayoutVars>
          <dgm:chPref val="3"/>
        </dgm:presLayoutVars>
      </dgm:prSet>
      <dgm:spPr/>
    </dgm:pt>
    <dgm:pt modelId="{9BBA3CDE-9578-436B-BF71-4165D5256392}" type="pres">
      <dgm:prSet presAssocID="{025397C8-278A-4FB7-A986-A1B487EA1563}" presName="rootConnector" presStyleLbl="node2" presStyleIdx="4" presStyleCnt="11"/>
      <dgm:spPr/>
    </dgm:pt>
    <dgm:pt modelId="{30CBF445-3176-4871-AE74-8842DAE8EA77}" type="pres">
      <dgm:prSet presAssocID="{025397C8-278A-4FB7-A986-A1B487EA1563}" presName="hierChild4" presStyleCnt="0"/>
      <dgm:spPr/>
    </dgm:pt>
    <dgm:pt modelId="{56484EBF-27DD-4386-A0D0-1C14F44B1EE2}" type="pres">
      <dgm:prSet presAssocID="{F9922145-9B07-49CE-9FA6-B33C82D2B167}" presName="Name37" presStyleLbl="parChTrans1D3" presStyleIdx="10" presStyleCnt="31"/>
      <dgm:spPr/>
    </dgm:pt>
    <dgm:pt modelId="{E63EB971-3061-4937-AAFE-A9B15516E3B4}" type="pres">
      <dgm:prSet presAssocID="{E2157045-4CE0-40CE-9C58-F4043DF91E33}" presName="hierRoot2" presStyleCnt="0">
        <dgm:presLayoutVars>
          <dgm:hierBranch val="init"/>
        </dgm:presLayoutVars>
      </dgm:prSet>
      <dgm:spPr/>
    </dgm:pt>
    <dgm:pt modelId="{2036F450-66E3-430B-8CF0-2641100EEDE6}" type="pres">
      <dgm:prSet presAssocID="{E2157045-4CE0-40CE-9C58-F4043DF91E33}" presName="rootComposite" presStyleCnt="0"/>
      <dgm:spPr/>
    </dgm:pt>
    <dgm:pt modelId="{1B7F2636-2E39-4D22-BF8C-4574EEF2DA91}" type="pres">
      <dgm:prSet presAssocID="{E2157045-4CE0-40CE-9C58-F4043DF91E33}" presName="rootText" presStyleLbl="node3" presStyleIdx="10" presStyleCnt="31">
        <dgm:presLayoutVars>
          <dgm:chPref val="3"/>
        </dgm:presLayoutVars>
      </dgm:prSet>
      <dgm:spPr/>
    </dgm:pt>
    <dgm:pt modelId="{BE7BA4D1-2AE1-4EE2-9EB8-A1B10CF23D87}" type="pres">
      <dgm:prSet presAssocID="{E2157045-4CE0-40CE-9C58-F4043DF91E33}" presName="rootConnector" presStyleLbl="node3" presStyleIdx="10" presStyleCnt="31"/>
      <dgm:spPr/>
    </dgm:pt>
    <dgm:pt modelId="{FA9B1E33-E44D-439C-B94A-A4ACF77A3ABE}" type="pres">
      <dgm:prSet presAssocID="{E2157045-4CE0-40CE-9C58-F4043DF91E33}" presName="hierChild4" presStyleCnt="0"/>
      <dgm:spPr/>
    </dgm:pt>
    <dgm:pt modelId="{0D769C54-31F6-4E75-A1E5-34D1BB6F5B29}" type="pres">
      <dgm:prSet presAssocID="{E2157045-4CE0-40CE-9C58-F4043DF91E33}" presName="hierChild5" presStyleCnt="0"/>
      <dgm:spPr/>
    </dgm:pt>
    <dgm:pt modelId="{47A21D83-0961-4F83-B6CA-9111DF4BFE52}" type="pres">
      <dgm:prSet presAssocID="{7B0E8674-AF5F-4D43-BDCB-E4D39514593E}" presName="Name37" presStyleLbl="parChTrans1D3" presStyleIdx="11" presStyleCnt="31"/>
      <dgm:spPr/>
    </dgm:pt>
    <dgm:pt modelId="{27C8648E-06C7-41E1-AB85-24ADACB06DA0}" type="pres">
      <dgm:prSet presAssocID="{602FD50F-130C-4E3A-A16E-AF79EACA12AD}" presName="hierRoot2" presStyleCnt="0">
        <dgm:presLayoutVars>
          <dgm:hierBranch val="init"/>
        </dgm:presLayoutVars>
      </dgm:prSet>
      <dgm:spPr/>
    </dgm:pt>
    <dgm:pt modelId="{7FF5428D-C306-457D-B0CD-DBEC8B50A11D}" type="pres">
      <dgm:prSet presAssocID="{602FD50F-130C-4E3A-A16E-AF79EACA12AD}" presName="rootComposite" presStyleCnt="0"/>
      <dgm:spPr/>
    </dgm:pt>
    <dgm:pt modelId="{D2B32FE8-B300-4E27-B7E2-297F3F999D4E}" type="pres">
      <dgm:prSet presAssocID="{602FD50F-130C-4E3A-A16E-AF79EACA12AD}" presName="rootText" presStyleLbl="node3" presStyleIdx="11" presStyleCnt="31">
        <dgm:presLayoutVars>
          <dgm:chPref val="3"/>
        </dgm:presLayoutVars>
      </dgm:prSet>
      <dgm:spPr/>
    </dgm:pt>
    <dgm:pt modelId="{9F318731-EE01-4314-B79B-B28E42749C00}" type="pres">
      <dgm:prSet presAssocID="{602FD50F-130C-4E3A-A16E-AF79EACA12AD}" presName="rootConnector" presStyleLbl="node3" presStyleIdx="11" presStyleCnt="31"/>
      <dgm:spPr/>
    </dgm:pt>
    <dgm:pt modelId="{81979E69-6B05-4EC7-AA2F-C9F76EBB2E89}" type="pres">
      <dgm:prSet presAssocID="{602FD50F-130C-4E3A-A16E-AF79EACA12AD}" presName="hierChild4" presStyleCnt="0"/>
      <dgm:spPr/>
    </dgm:pt>
    <dgm:pt modelId="{5C6B34E6-E6BA-4C7A-BDB3-963037826DD2}" type="pres">
      <dgm:prSet presAssocID="{602FD50F-130C-4E3A-A16E-AF79EACA12AD}" presName="hierChild5" presStyleCnt="0"/>
      <dgm:spPr/>
    </dgm:pt>
    <dgm:pt modelId="{807FA1CB-C069-4A68-9F5B-ACB3D4C2C7E0}" type="pres">
      <dgm:prSet presAssocID="{6EAA41E0-1525-42E3-A200-48C0FE921E72}" presName="Name37" presStyleLbl="parChTrans1D3" presStyleIdx="12" presStyleCnt="31"/>
      <dgm:spPr/>
    </dgm:pt>
    <dgm:pt modelId="{D5654D94-4063-4907-90AD-D557FD0FC7D8}" type="pres">
      <dgm:prSet presAssocID="{E5E9916D-2D7F-4C7A-A808-9D88F35BEC5A}" presName="hierRoot2" presStyleCnt="0">
        <dgm:presLayoutVars>
          <dgm:hierBranch val="init"/>
        </dgm:presLayoutVars>
      </dgm:prSet>
      <dgm:spPr/>
    </dgm:pt>
    <dgm:pt modelId="{3B29332E-B997-4913-82FD-7ADE58B37E18}" type="pres">
      <dgm:prSet presAssocID="{E5E9916D-2D7F-4C7A-A808-9D88F35BEC5A}" presName="rootComposite" presStyleCnt="0"/>
      <dgm:spPr/>
    </dgm:pt>
    <dgm:pt modelId="{0B77889B-AAC5-42E4-AC09-1DCA681BCE85}" type="pres">
      <dgm:prSet presAssocID="{E5E9916D-2D7F-4C7A-A808-9D88F35BEC5A}" presName="rootText" presStyleLbl="node3" presStyleIdx="12" presStyleCnt="31">
        <dgm:presLayoutVars>
          <dgm:chPref val="3"/>
        </dgm:presLayoutVars>
      </dgm:prSet>
      <dgm:spPr/>
    </dgm:pt>
    <dgm:pt modelId="{45F7E176-19D1-4464-8B8E-5DA14B89B110}" type="pres">
      <dgm:prSet presAssocID="{E5E9916D-2D7F-4C7A-A808-9D88F35BEC5A}" presName="rootConnector" presStyleLbl="node3" presStyleIdx="12" presStyleCnt="31"/>
      <dgm:spPr/>
    </dgm:pt>
    <dgm:pt modelId="{B4601DB9-3547-46B7-BCB9-99185FEAFD54}" type="pres">
      <dgm:prSet presAssocID="{E5E9916D-2D7F-4C7A-A808-9D88F35BEC5A}" presName="hierChild4" presStyleCnt="0"/>
      <dgm:spPr/>
    </dgm:pt>
    <dgm:pt modelId="{A7A4D252-5741-44E4-B403-B75C460BBA4E}" type="pres">
      <dgm:prSet presAssocID="{E5E9916D-2D7F-4C7A-A808-9D88F35BEC5A}" presName="hierChild5" presStyleCnt="0"/>
      <dgm:spPr/>
    </dgm:pt>
    <dgm:pt modelId="{06364E07-E5A5-47C1-8783-78E7393DD3C8}" type="pres">
      <dgm:prSet presAssocID="{025397C8-278A-4FB7-A986-A1B487EA1563}" presName="hierChild5" presStyleCnt="0"/>
      <dgm:spPr/>
    </dgm:pt>
    <dgm:pt modelId="{1CAB3E94-5855-4109-A43C-7105AD6B26D0}" type="pres">
      <dgm:prSet presAssocID="{3F1B0426-4EA2-44D9-B786-B19B57D5CDEA}" presName="Name37" presStyleLbl="parChTrans1D2" presStyleIdx="5" presStyleCnt="11"/>
      <dgm:spPr/>
    </dgm:pt>
    <dgm:pt modelId="{F9117AA4-539E-4EE3-B164-8174B0B40EC0}" type="pres">
      <dgm:prSet presAssocID="{8BB75C25-BB24-48E5-95A1-BDDD2AD67385}" presName="hierRoot2" presStyleCnt="0">
        <dgm:presLayoutVars>
          <dgm:hierBranch val="init"/>
        </dgm:presLayoutVars>
      </dgm:prSet>
      <dgm:spPr/>
    </dgm:pt>
    <dgm:pt modelId="{EAF88972-4E53-4659-94BD-910A092B9148}" type="pres">
      <dgm:prSet presAssocID="{8BB75C25-BB24-48E5-95A1-BDDD2AD67385}" presName="rootComposite" presStyleCnt="0"/>
      <dgm:spPr/>
    </dgm:pt>
    <dgm:pt modelId="{3A2A1C1F-CABC-4C98-B728-F262323AA994}" type="pres">
      <dgm:prSet presAssocID="{8BB75C25-BB24-48E5-95A1-BDDD2AD67385}" presName="rootText" presStyleLbl="node2" presStyleIdx="5" presStyleCnt="11" custScaleX="108132" custLinFactNeighborY="-2145">
        <dgm:presLayoutVars>
          <dgm:chPref val="3"/>
        </dgm:presLayoutVars>
      </dgm:prSet>
      <dgm:spPr/>
    </dgm:pt>
    <dgm:pt modelId="{0393B6C4-B4FB-4B6B-8DB5-37B9B19AABA4}" type="pres">
      <dgm:prSet presAssocID="{8BB75C25-BB24-48E5-95A1-BDDD2AD67385}" presName="rootConnector" presStyleLbl="node2" presStyleIdx="5" presStyleCnt="11"/>
      <dgm:spPr/>
    </dgm:pt>
    <dgm:pt modelId="{977D3813-5412-42A7-8B4D-5447A06AC163}" type="pres">
      <dgm:prSet presAssocID="{8BB75C25-BB24-48E5-95A1-BDDD2AD67385}" presName="hierChild4" presStyleCnt="0"/>
      <dgm:spPr/>
    </dgm:pt>
    <dgm:pt modelId="{78FA309A-083A-4C64-9477-7A3C69B2784C}" type="pres">
      <dgm:prSet presAssocID="{50F4CB47-0DB9-4B1E-9C75-49682DAC2BF7}" presName="Name37" presStyleLbl="parChTrans1D3" presStyleIdx="13" presStyleCnt="31"/>
      <dgm:spPr/>
    </dgm:pt>
    <dgm:pt modelId="{FEB3D90E-42D2-4AC7-9CB5-35870C299752}" type="pres">
      <dgm:prSet presAssocID="{D6F5CD79-D3E1-4B19-9C25-479267A00537}" presName="hierRoot2" presStyleCnt="0">
        <dgm:presLayoutVars>
          <dgm:hierBranch val="init"/>
        </dgm:presLayoutVars>
      </dgm:prSet>
      <dgm:spPr/>
    </dgm:pt>
    <dgm:pt modelId="{05080593-A2ED-4379-91EC-55846B4CD50F}" type="pres">
      <dgm:prSet presAssocID="{D6F5CD79-D3E1-4B19-9C25-479267A00537}" presName="rootComposite" presStyleCnt="0"/>
      <dgm:spPr/>
    </dgm:pt>
    <dgm:pt modelId="{6BAFA004-7462-4BB3-8CF7-8F0FAE532698}" type="pres">
      <dgm:prSet presAssocID="{D6F5CD79-D3E1-4B19-9C25-479267A00537}" presName="rootText" presStyleLbl="node3" presStyleIdx="13" presStyleCnt="31">
        <dgm:presLayoutVars>
          <dgm:chPref val="3"/>
        </dgm:presLayoutVars>
      </dgm:prSet>
      <dgm:spPr/>
    </dgm:pt>
    <dgm:pt modelId="{C0FC47CA-1988-459D-A473-7CA219823B7E}" type="pres">
      <dgm:prSet presAssocID="{D6F5CD79-D3E1-4B19-9C25-479267A00537}" presName="rootConnector" presStyleLbl="node3" presStyleIdx="13" presStyleCnt="31"/>
      <dgm:spPr/>
    </dgm:pt>
    <dgm:pt modelId="{7C2A8F67-B35D-46B9-8CDC-F1C514C733F2}" type="pres">
      <dgm:prSet presAssocID="{D6F5CD79-D3E1-4B19-9C25-479267A00537}" presName="hierChild4" presStyleCnt="0"/>
      <dgm:spPr/>
    </dgm:pt>
    <dgm:pt modelId="{0D223CD7-96A9-487A-A2F6-A9D48710FA30}" type="pres">
      <dgm:prSet presAssocID="{D6F5CD79-D3E1-4B19-9C25-479267A00537}" presName="hierChild5" presStyleCnt="0"/>
      <dgm:spPr/>
    </dgm:pt>
    <dgm:pt modelId="{679EAA6C-B7F9-45B1-B314-064B1497E450}" type="pres">
      <dgm:prSet presAssocID="{699FA3BB-5DDB-4810-8B78-2E6BCAFDC511}" presName="Name37" presStyleLbl="parChTrans1D3" presStyleIdx="14" presStyleCnt="31"/>
      <dgm:spPr/>
    </dgm:pt>
    <dgm:pt modelId="{A65D9E2F-0DF0-4606-978F-4875BE6D73B0}" type="pres">
      <dgm:prSet presAssocID="{9AC19E5E-60C4-4CCF-A20E-E4814BC2FE9B}" presName="hierRoot2" presStyleCnt="0">
        <dgm:presLayoutVars>
          <dgm:hierBranch val="init"/>
        </dgm:presLayoutVars>
      </dgm:prSet>
      <dgm:spPr/>
    </dgm:pt>
    <dgm:pt modelId="{6AF48B43-38E1-44C8-962D-77020524A35A}" type="pres">
      <dgm:prSet presAssocID="{9AC19E5E-60C4-4CCF-A20E-E4814BC2FE9B}" presName="rootComposite" presStyleCnt="0"/>
      <dgm:spPr/>
    </dgm:pt>
    <dgm:pt modelId="{8214640F-5D66-49B2-997F-5F320E255B10}" type="pres">
      <dgm:prSet presAssocID="{9AC19E5E-60C4-4CCF-A20E-E4814BC2FE9B}" presName="rootText" presStyleLbl="node3" presStyleIdx="14" presStyleCnt="31">
        <dgm:presLayoutVars>
          <dgm:chPref val="3"/>
        </dgm:presLayoutVars>
      </dgm:prSet>
      <dgm:spPr/>
    </dgm:pt>
    <dgm:pt modelId="{2B3E1A31-C7DC-446D-8815-E4813D3B56B4}" type="pres">
      <dgm:prSet presAssocID="{9AC19E5E-60C4-4CCF-A20E-E4814BC2FE9B}" presName="rootConnector" presStyleLbl="node3" presStyleIdx="14" presStyleCnt="31"/>
      <dgm:spPr/>
    </dgm:pt>
    <dgm:pt modelId="{360721A3-6E7E-4BAF-9E41-ACAEBFCAE7AE}" type="pres">
      <dgm:prSet presAssocID="{9AC19E5E-60C4-4CCF-A20E-E4814BC2FE9B}" presName="hierChild4" presStyleCnt="0"/>
      <dgm:spPr/>
    </dgm:pt>
    <dgm:pt modelId="{5DADC705-AA0C-45D6-969F-EB7762223FA5}" type="pres">
      <dgm:prSet presAssocID="{9AC19E5E-60C4-4CCF-A20E-E4814BC2FE9B}" presName="hierChild5" presStyleCnt="0"/>
      <dgm:spPr/>
    </dgm:pt>
    <dgm:pt modelId="{52777498-AA74-4FC2-849F-C626B27A45B4}" type="pres">
      <dgm:prSet presAssocID="{FDDB7EEE-AB02-47E4-B007-CB2A762CB7F9}" presName="Name37" presStyleLbl="parChTrans1D3" presStyleIdx="15" presStyleCnt="31"/>
      <dgm:spPr/>
    </dgm:pt>
    <dgm:pt modelId="{9ED8E56C-C0DA-4771-B928-9B8BF0AE6D47}" type="pres">
      <dgm:prSet presAssocID="{03DF699C-3176-485E-B584-5BC85EC703ED}" presName="hierRoot2" presStyleCnt="0">
        <dgm:presLayoutVars>
          <dgm:hierBranch val="init"/>
        </dgm:presLayoutVars>
      </dgm:prSet>
      <dgm:spPr/>
    </dgm:pt>
    <dgm:pt modelId="{866E3ED8-98DF-4099-A051-59DBAC27FD71}" type="pres">
      <dgm:prSet presAssocID="{03DF699C-3176-485E-B584-5BC85EC703ED}" presName="rootComposite" presStyleCnt="0"/>
      <dgm:spPr/>
    </dgm:pt>
    <dgm:pt modelId="{0CE7C8B4-F8E6-429D-8C4A-73E9D60DCB81}" type="pres">
      <dgm:prSet presAssocID="{03DF699C-3176-485E-B584-5BC85EC703ED}" presName="rootText" presStyleLbl="node3" presStyleIdx="15" presStyleCnt="31">
        <dgm:presLayoutVars>
          <dgm:chPref val="3"/>
        </dgm:presLayoutVars>
      </dgm:prSet>
      <dgm:spPr/>
    </dgm:pt>
    <dgm:pt modelId="{7568918C-FAD7-4B9E-9AFD-52C33DE56813}" type="pres">
      <dgm:prSet presAssocID="{03DF699C-3176-485E-B584-5BC85EC703ED}" presName="rootConnector" presStyleLbl="node3" presStyleIdx="15" presStyleCnt="31"/>
      <dgm:spPr/>
    </dgm:pt>
    <dgm:pt modelId="{E194985F-1898-4344-BB7D-4D437304ED4A}" type="pres">
      <dgm:prSet presAssocID="{03DF699C-3176-485E-B584-5BC85EC703ED}" presName="hierChild4" presStyleCnt="0"/>
      <dgm:spPr/>
    </dgm:pt>
    <dgm:pt modelId="{39195D1C-2951-43BA-8692-AC232BEFBB80}" type="pres">
      <dgm:prSet presAssocID="{03DF699C-3176-485E-B584-5BC85EC703ED}" presName="hierChild5" presStyleCnt="0"/>
      <dgm:spPr/>
    </dgm:pt>
    <dgm:pt modelId="{C8F70C14-7D89-44D7-BB48-3CFE36D1427B}" type="pres">
      <dgm:prSet presAssocID="{8BB75C25-BB24-48E5-95A1-BDDD2AD67385}" presName="hierChild5" presStyleCnt="0"/>
      <dgm:spPr/>
    </dgm:pt>
    <dgm:pt modelId="{82E60BB5-7FD2-4219-AE7C-29971BDCB4BB}" type="pres">
      <dgm:prSet presAssocID="{EBA54DFC-7FC3-4D85-9BDE-4CD347E65E6C}" presName="Name37" presStyleLbl="parChTrans1D2" presStyleIdx="6" presStyleCnt="11"/>
      <dgm:spPr/>
    </dgm:pt>
    <dgm:pt modelId="{A7850FBB-26BD-4AD2-A515-BD8832D8474B}" type="pres">
      <dgm:prSet presAssocID="{424E63FB-7A5E-47ED-BA8E-381C8BEA7B4D}" presName="hierRoot2" presStyleCnt="0">
        <dgm:presLayoutVars>
          <dgm:hierBranch val="init"/>
        </dgm:presLayoutVars>
      </dgm:prSet>
      <dgm:spPr/>
    </dgm:pt>
    <dgm:pt modelId="{4B54CD39-71A9-47B6-B354-9E2E224A5749}" type="pres">
      <dgm:prSet presAssocID="{424E63FB-7A5E-47ED-BA8E-381C8BEA7B4D}" presName="rootComposite" presStyleCnt="0"/>
      <dgm:spPr/>
    </dgm:pt>
    <dgm:pt modelId="{9A681887-5350-4EBE-BD43-C7E4297AB1BB}" type="pres">
      <dgm:prSet presAssocID="{424E63FB-7A5E-47ED-BA8E-381C8BEA7B4D}" presName="rootText" presStyleLbl="node2" presStyleIdx="6" presStyleCnt="11" custLinFactNeighborY="-2145">
        <dgm:presLayoutVars>
          <dgm:chPref val="3"/>
        </dgm:presLayoutVars>
      </dgm:prSet>
      <dgm:spPr/>
    </dgm:pt>
    <dgm:pt modelId="{14354306-A96D-4F9B-B8CB-A1923889D20A}" type="pres">
      <dgm:prSet presAssocID="{424E63FB-7A5E-47ED-BA8E-381C8BEA7B4D}" presName="rootConnector" presStyleLbl="node2" presStyleIdx="6" presStyleCnt="11"/>
      <dgm:spPr/>
    </dgm:pt>
    <dgm:pt modelId="{60EE685C-BCD2-4AF8-9900-DC7BE1C8761E}" type="pres">
      <dgm:prSet presAssocID="{424E63FB-7A5E-47ED-BA8E-381C8BEA7B4D}" presName="hierChild4" presStyleCnt="0"/>
      <dgm:spPr/>
    </dgm:pt>
    <dgm:pt modelId="{6185FE85-F6F3-47C8-BC28-BFB1B081D47E}" type="pres">
      <dgm:prSet presAssocID="{2EA6147A-4097-4648-9D83-1C15EC3F6E1C}" presName="Name37" presStyleLbl="parChTrans1D3" presStyleIdx="16" presStyleCnt="31"/>
      <dgm:spPr/>
    </dgm:pt>
    <dgm:pt modelId="{8116A3A0-2E0B-4D77-B5A2-B6CBCF7ADB15}" type="pres">
      <dgm:prSet presAssocID="{92338313-9670-40FB-8040-D372407E9060}" presName="hierRoot2" presStyleCnt="0">
        <dgm:presLayoutVars>
          <dgm:hierBranch val="init"/>
        </dgm:presLayoutVars>
      </dgm:prSet>
      <dgm:spPr/>
    </dgm:pt>
    <dgm:pt modelId="{81199921-AF0E-4033-957C-9C1B01D1C91B}" type="pres">
      <dgm:prSet presAssocID="{92338313-9670-40FB-8040-D372407E9060}" presName="rootComposite" presStyleCnt="0"/>
      <dgm:spPr/>
    </dgm:pt>
    <dgm:pt modelId="{A4073290-40FA-4447-A63D-A2A271E69369}" type="pres">
      <dgm:prSet presAssocID="{92338313-9670-40FB-8040-D372407E9060}" presName="rootText" presStyleLbl="node3" presStyleIdx="16" presStyleCnt="31">
        <dgm:presLayoutVars>
          <dgm:chPref val="3"/>
        </dgm:presLayoutVars>
      </dgm:prSet>
      <dgm:spPr/>
    </dgm:pt>
    <dgm:pt modelId="{8DE7EDC3-030C-4699-90B7-316F8F127CEA}" type="pres">
      <dgm:prSet presAssocID="{92338313-9670-40FB-8040-D372407E9060}" presName="rootConnector" presStyleLbl="node3" presStyleIdx="16" presStyleCnt="31"/>
      <dgm:spPr/>
    </dgm:pt>
    <dgm:pt modelId="{8EE53B03-8214-420C-9321-FEE828B4616A}" type="pres">
      <dgm:prSet presAssocID="{92338313-9670-40FB-8040-D372407E9060}" presName="hierChild4" presStyleCnt="0"/>
      <dgm:spPr/>
    </dgm:pt>
    <dgm:pt modelId="{CAF7050B-39E0-4667-AEBF-9E47F60B4B83}" type="pres">
      <dgm:prSet presAssocID="{92338313-9670-40FB-8040-D372407E9060}" presName="hierChild5" presStyleCnt="0"/>
      <dgm:spPr/>
    </dgm:pt>
    <dgm:pt modelId="{BA5F9E80-3D5F-4248-9517-86F91EE0B8E9}" type="pres">
      <dgm:prSet presAssocID="{D39B8DD9-864C-4EB7-9F89-A2AD12438034}" presName="Name37" presStyleLbl="parChTrans1D3" presStyleIdx="17" presStyleCnt="31"/>
      <dgm:spPr/>
    </dgm:pt>
    <dgm:pt modelId="{352CBE99-8B60-4598-A01C-4B9A74376B3F}" type="pres">
      <dgm:prSet presAssocID="{8AB7F64B-E4EA-46A3-93C5-530B1FAAB3A0}" presName="hierRoot2" presStyleCnt="0">
        <dgm:presLayoutVars>
          <dgm:hierBranch val="init"/>
        </dgm:presLayoutVars>
      </dgm:prSet>
      <dgm:spPr/>
    </dgm:pt>
    <dgm:pt modelId="{DC9B8021-D8A5-43E4-AC56-C6AE77A81C33}" type="pres">
      <dgm:prSet presAssocID="{8AB7F64B-E4EA-46A3-93C5-530B1FAAB3A0}" presName="rootComposite" presStyleCnt="0"/>
      <dgm:spPr/>
    </dgm:pt>
    <dgm:pt modelId="{CC7BE9CC-9E44-4B05-9B0E-850124C3547A}" type="pres">
      <dgm:prSet presAssocID="{8AB7F64B-E4EA-46A3-93C5-530B1FAAB3A0}" presName="rootText" presStyleLbl="node3" presStyleIdx="17" presStyleCnt="31">
        <dgm:presLayoutVars>
          <dgm:chPref val="3"/>
        </dgm:presLayoutVars>
      </dgm:prSet>
      <dgm:spPr/>
    </dgm:pt>
    <dgm:pt modelId="{521FEAC1-E658-4130-BFDF-12AE10471782}" type="pres">
      <dgm:prSet presAssocID="{8AB7F64B-E4EA-46A3-93C5-530B1FAAB3A0}" presName="rootConnector" presStyleLbl="node3" presStyleIdx="17" presStyleCnt="31"/>
      <dgm:spPr/>
    </dgm:pt>
    <dgm:pt modelId="{2E10A84D-28AC-4389-B262-EEC5AC14DF6E}" type="pres">
      <dgm:prSet presAssocID="{8AB7F64B-E4EA-46A3-93C5-530B1FAAB3A0}" presName="hierChild4" presStyleCnt="0"/>
      <dgm:spPr/>
    </dgm:pt>
    <dgm:pt modelId="{96841731-AA54-4777-9CA5-E03DBB960C6B}" type="pres">
      <dgm:prSet presAssocID="{8AB7F64B-E4EA-46A3-93C5-530B1FAAB3A0}" presName="hierChild5" presStyleCnt="0"/>
      <dgm:spPr/>
    </dgm:pt>
    <dgm:pt modelId="{86E8989D-6C94-463D-9588-B288E8BD09F3}" type="pres">
      <dgm:prSet presAssocID="{3C430132-43C1-47EF-A156-1D4161537981}" presName="Name37" presStyleLbl="parChTrans1D3" presStyleIdx="18" presStyleCnt="31"/>
      <dgm:spPr/>
    </dgm:pt>
    <dgm:pt modelId="{897D0B9E-933E-4446-B30B-688525330F47}" type="pres">
      <dgm:prSet presAssocID="{F02C7DD0-38B5-42D3-B052-77C4D943365F}" presName="hierRoot2" presStyleCnt="0">
        <dgm:presLayoutVars>
          <dgm:hierBranch val="init"/>
        </dgm:presLayoutVars>
      </dgm:prSet>
      <dgm:spPr/>
    </dgm:pt>
    <dgm:pt modelId="{70461A7E-F756-462D-8D14-C27FED726120}" type="pres">
      <dgm:prSet presAssocID="{F02C7DD0-38B5-42D3-B052-77C4D943365F}" presName="rootComposite" presStyleCnt="0"/>
      <dgm:spPr/>
    </dgm:pt>
    <dgm:pt modelId="{55EC4157-21BA-4613-8860-42E031585862}" type="pres">
      <dgm:prSet presAssocID="{F02C7DD0-38B5-42D3-B052-77C4D943365F}" presName="rootText" presStyleLbl="node3" presStyleIdx="18" presStyleCnt="31">
        <dgm:presLayoutVars>
          <dgm:chPref val="3"/>
        </dgm:presLayoutVars>
      </dgm:prSet>
      <dgm:spPr/>
    </dgm:pt>
    <dgm:pt modelId="{ABCA2F01-C14C-4548-BBBB-84ED0283C97F}" type="pres">
      <dgm:prSet presAssocID="{F02C7DD0-38B5-42D3-B052-77C4D943365F}" presName="rootConnector" presStyleLbl="node3" presStyleIdx="18" presStyleCnt="31"/>
      <dgm:spPr/>
    </dgm:pt>
    <dgm:pt modelId="{E67A4277-2D09-4FAD-9002-FF01C2B652C7}" type="pres">
      <dgm:prSet presAssocID="{F02C7DD0-38B5-42D3-B052-77C4D943365F}" presName="hierChild4" presStyleCnt="0"/>
      <dgm:spPr/>
    </dgm:pt>
    <dgm:pt modelId="{6BF51E8D-76E3-4BD5-82A3-F693AB920637}" type="pres">
      <dgm:prSet presAssocID="{F02C7DD0-38B5-42D3-B052-77C4D943365F}" presName="hierChild5" presStyleCnt="0"/>
      <dgm:spPr/>
    </dgm:pt>
    <dgm:pt modelId="{77E6A972-0C83-4850-8B51-4CF832FCB47F}" type="pres">
      <dgm:prSet presAssocID="{424E63FB-7A5E-47ED-BA8E-381C8BEA7B4D}" presName="hierChild5" presStyleCnt="0"/>
      <dgm:spPr/>
    </dgm:pt>
    <dgm:pt modelId="{70257897-199B-45F9-8E97-4C591BBE7B3F}" type="pres">
      <dgm:prSet presAssocID="{3AAD358E-6C2A-45F6-8AEA-D2444BC59F19}" presName="Name37" presStyleLbl="parChTrans1D2" presStyleIdx="7" presStyleCnt="11"/>
      <dgm:spPr/>
    </dgm:pt>
    <dgm:pt modelId="{1A481C3A-726B-47D4-9D7B-FCF69649D262}" type="pres">
      <dgm:prSet presAssocID="{5901CCA6-EF9E-4F05-B532-AFA0A830E4D5}" presName="hierRoot2" presStyleCnt="0">
        <dgm:presLayoutVars>
          <dgm:hierBranch val="init"/>
        </dgm:presLayoutVars>
      </dgm:prSet>
      <dgm:spPr/>
    </dgm:pt>
    <dgm:pt modelId="{45347127-FB9E-44B6-B492-91D4020B1E35}" type="pres">
      <dgm:prSet presAssocID="{5901CCA6-EF9E-4F05-B532-AFA0A830E4D5}" presName="rootComposite" presStyleCnt="0"/>
      <dgm:spPr/>
    </dgm:pt>
    <dgm:pt modelId="{36F65EB3-A93B-4BDE-AD59-D991F66D50DB}" type="pres">
      <dgm:prSet presAssocID="{5901CCA6-EF9E-4F05-B532-AFA0A830E4D5}" presName="rootText" presStyleLbl="node2" presStyleIdx="7" presStyleCnt="11" custLinFactNeighborY="-2145">
        <dgm:presLayoutVars>
          <dgm:chPref val="3"/>
        </dgm:presLayoutVars>
      </dgm:prSet>
      <dgm:spPr/>
    </dgm:pt>
    <dgm:pt modelId="{826A7F83-80B8-45B1-B66F-D6D09AC2C066}" type="pres">
      <dgm:prSet presAssocID="{5901CCA6-EF9E-4F05-B532-AFA0A830E4D5}" presName="rootConnector" presStyleLbl="node2" presStyleIdx="7" presStyleCnt="11"/>
      <dgm:spPr/>
    </dgm:pt>
    <dgm:pt modelId="{A3EF5188-FB3C-4934-BB09-246D4D5078CE}" type="pres">
      <dgm:prSet presAssocID="{5901CCA6-EF9E-4F05-B532-AFA0A830E4D5}" presName="hierChild4" presStyleCnt="0"/>
      <dgm:spPr/>
    </dgm:pt>
    <dgm:pt modelId="{3CB9AA48-4DCA-4619-BFC8-64D366B147BD}" type="pres">
      <dgm:prSet presAssocID="{E9B60A7F-1B58-4875-83A0-42F3D1E4F7F2}" presName="Name37" presStyleLbl="parChTrans1D3" presStyleIdx="19" presStyleCnt="31"/>
      <dgm:spPr/>
    </dgm:pt>
    <dgm:pt modelId="{2EDBCA8B-07DE-4449-A088-AACE44912C64}" type="pres">
      <dgm:prSet presAssocID="{23A96D7A-299B-4FA1-93D0-41E5DC2BDB0F}" presName="hierRoot2" presStyleCnt="0">
        <dgm:presLayoutVars>
          <dgm:hierBranch val="init"/>
        </dgm:presLayoutVars>
      </dgm:prSet>
      <dgm:spPr/>
    </dgm:pt>
    <dgm:pt modelId="{958B1EFD-E2EF-4221-AB92-43FC5E2D2409}" type="pres">
      <dgm:prSet presAssocID="{23A96D7A-299B-4FA1-93D0-41E5DC2BDB0F}" presName="rootComposite" presStyleCnt="0"/>
      <dgm:spPr/>
    </dgm:pt>
    <dgm:pt modelId="{26279B3F-32AE-429E-8F6A-E74283514EA0}" type="pres">
      <dgm:prSet presAssocID="{23A96D7A-299B-4FA1-93D0-41E5DC2BDB0F}" presName="rootText" presStyleLbl="node3" presStyleIdx="19" presStyleCnt="31">
        <dgm:presLayoutVars>
          <dgm:chPref val="3"/>
        </dgm:presLayoutVars>
      </dgm:prSet>
      <dgm:spPr/>
    </dgm:pt>
    <dgm:pt modelId="{3E384659-83D8-423C-BB17-F82A4F217F6D}" type="pres">
      <dgm:prSet presAssocID="{23A96D7A-299B-4FA1-93D0-41E5DC2BDB0F}" presName="rootConnector" presStyleLbl="node3" presStyleIdx="19" presStyleCnt="31"/>
      <dgm:spPr/>
    </dgm:pt>
    <dgm:pt modelId="{377B847C-99F1-4BC5-8FFF-7E1F4C0431B2}" type="pres">
      <dgm:prSet presAssocID="{23A96D7A-299B-4FA1-93D0-41E5DC2BDB0F}" presName="hierChild4" presStyleCnt="0"/>
      <dgm:spPr/>
    </dgm:pt>
    <dgm:pt modelId="{B1DB0582-F24F-4CD8-90DF-8BAD77F3785D}" type="pres">
      <dgm:prSet presAssocID="{23A96D7A-299B-4FA1-93D0-41E5DC2BDB0F}" presName="hierChild5" presStyleCnt="0"/>
      <dgm:spPr/>
    </dgm:pt>
    <dgm:pt modelId="{BFBC2126-85D5-4905-9E09-CD7F082453CB}" type="pres">
      <dgm:prSet presAssocID="{E1527C33-CFAA-4D8C-96C4-EE6231657CF0}" presName="Name37" presStyleLbl="parChTrans1D3" presStyleIdx="20" presStyleCnt="31"/>
      <dgm:spPr/>
    </dgm:pt>
    <dgm:pt modelId="{6D1751FF-08CF-4C8A-9130-AB710414D12A}" type="pres">
      <dgm:prSet presAssocID="{EC6FE534-DC93-4BE9-B221-533498D9AED2}" presName="hierRoot2" presStyleCnt="0">
        <dgm:presLayoutVars>
          <dgm:hierBranch val="init"/>
        </dgm:presLayoutVars>
      </dgm:prSet>
      <dgm:spPr/>
    </dgm:pt>
    <dgm:pt modelId="{CC07FEE9-35FB-4014-9CEC-B70F58552A9B}" type="pres">
      <dgm:prSet presAssocID="{EC6FE534-DC93-4BE9-B221-533498D9AED2}" presName="rootComposite" presStyleCnt="0"/>
      <dgm:spPr/>
    </dgm:pt>
    <dgm:pt modelId="{463E7EE2-DBFC-4EC0-BC5D-9271F221CF32}" type="pres">
      <dgm:prSet presAssocID="{EC6FE534-DC93-4BE9-B221-533498D9AED2}" presName="rootText" presStyleLbl="node3" presStyleIdx="20" presStyleCnt="31">
        <dgm:presLayoutVars>
          <dgm:chPref val="3"/>
        </dgm:presLayoutVars>
      </dgm:prSet>
      <dgm:spPr/>
    </dgm:pt>
    <dgm:pt modelId="{F6623B5E-28CD-4799-A9B4-EF636C566661}" type="pres">
      <dgm:prSet presAssocID="{EC6FE534-DC93-4BE9-B221-533498D9AED2}" presName="rootConnector" presStyleLbl="node3" presStyleIdx="20" presStyleCnt="31"/>
      <dgm:spPr/>
    </dgm:pt>
    <dgm:pt modelId="{7A0BD660-4546-460D-9E6B-F3F854B7DC92}" type="pres">
      <dgm:prSet presAssocID="{EC6FE534-DC93-4BE9-B221-533498D9AED2}" presName="hierChild4" presStyleCnt="0"/>
      <dgm:spPr/>
    </dgm:pt>
    <dgm:pt modelId="{59812310-0E22-4722-86D4-BDD21C2AA230}" type="pres">
      <dgm:prSet presAssocID="{EC6FE534-DC93-4BE9-B221-533498D9AED2}" presName="hierChild5" presStyleCnt="0"/>
      <dgm:spPr/>
    </dgm:pt>
    <dgm:pt modelId="{2E30FFB8-D40D-42E9-AC77-18EF4B8DF612}" type="pres">
      <dgm:prSet presAssocID="{902A754E-4E4A-4847-B0A2-573B94308BBA}" presName="Name37" presStyleLbl="parChTrans1D3" presStyleIdx="21" presStyleCnt="31"/>
      <dgm:spPr/>
    </dgm:pt>
    <dgm:pt modelId="{B68FF941-43D8-4872-9387-7FE17CC00603}" type="pres">
      <dgm:prSet presAssocID="{0995A2E3-0901-4DB1-B970-376B2E4006D1}" presName="hierRoot2" presStyleCnt="0">
        <dgm:presLayoutVars>
          <dgm:hierBranch val="init"/>
        </dgm:presLayoutVars>
      </dgm:prSet>
      <dgm:spPr/>
    </dgm:pt>
    <dgm:pt modelId="{11FD2BA7-1C29-4BC1-B624-210B5F266C15}" type="pres">
      <dgm:prSet presAssocID="{0995A2E3-0901-4DB1-B970-376B2E4006D1}" presName="rootComposite" presStyleCnt="0"/>
      <dgm:spPr/>
    </dgm:pt>
    <dgm:pt modelId="{133F1FC1-C5F4-4978-BE80-4F349F36D878}" type="pres">
      <dgm:prSet presAssocID="{0995A2E3-0901-4DB1-B970-376B2E4006D1}" presName="rootText" presStyleLbl="node3" presStyleIdx="21" presStyleCnt="31">
        <dgm:presLayoutVars>
          <dgm:chPref val="3"/>
        </dgm:presLayoutVars>
      </dgm:prSet>
      <dgm:spPr/>
    </dgm:pt>
    <dgm:pt modelId="{5A747205-C3F6-4D4A-B739-6135E3BDFDEF}" type="pres">
      <dgm:prSet presAssocID="{0995A2E3-0901-4DB1-B970-376B2E4006D1}" presName="rootConnector" presStyleLbl="node3" presStyleIdx="21" presStyleCnt="31"/>
      <dgm:spPr/>
    </dgm:pt>
    <dgm:pt modelId="{4688A203-31C8-4F6D-8E07-CBF05F576CB7}" type="pres">
      <dgm:prSet presAssocID="{0995A2E3-0901-4DB1-B970-376B2E4006D1}" presName="hierChild4" presStyleCnt="0"/>
      <dgm:spPr/>
    </dgm:pt>
    <dgm:pt modelId="{013542E4-FA51-4362-BEF1-28DA7C204773}" type="pres">
      <dgm:prSet presAssocID="{0995A2E3-0901-4DB1-B970-376B2E4006D1}" presName="hierChild5" presStyleCnt="0"/>
      <dgm:spPr/>
    </dgm:pt>
    <dgm:pt modelId="{44626B8E-D9CC-4D64-A0A9-A870DD812824}" type="pres">
      <dgm:prSet presAssocID="{5901CCA6-EF9E-4F05-B532-AFA0A830E4D5}" presName="hierChild5" presStyleCnt="0"/>
      <dgm:spPr/>
    </dgm:pt>
    <dgm:pt modelId="{95E2F74E-F847-4663-BDD7-0A5BE67FBABA}" type="pres">
      <dgm:prSet presAssocID="{05FE1BD5-3C3C-4969-A364-2530D63BDBD5}" presName="Name37" presStyleLbl="parChTrans1D2" presStyleIdx="8" presStyleCnt="11"/>
      <dgm:spPr/>
    </dgm:pt>
    <dgm:pt modelId="{58CA9A7A-FBFD-42DB-B4A3-D56704AA6977}" type="pres">
      <dgm:prSet presAssocID="{95040E2D-3B14-4838-BEEC-F567F54E210A}" presName="hierRoot2" presStyleCnt="0">
        <dgm:presLayoutVars>
          <dgm:hierBranch val="init"/>
        </dgm:presLayoutVars>
      </dgm:prSet>
      <dgm:spPr/>
    </dgm:pt>
    <dgm:pt modelId="{039843FC-32B3-4C06-BF76-AD0E8557F518}" type="pres">
      <dgm:prSet presAssocID="{95040E2D-3B14-4838-BEEC-F567F54E210A}" presName="rootComposite" presStyleCnt="0"/>
      <dgm:spPr/>
    </dgm:pt>
    <dgm:pt modelId="{66215115-E87F-416B-87DA-9B997A3EC349}" type="pres">
      <dgm:prSet presAssocID="{95040E2D-3B14-4838-BEEC-F567F54E210A}" presName="rootText" presStyleLbl="node2" presStyleIdx="8" presStyleCnt="11" custLinFactNeighborX="-2822" custLinFactNeighborY="-2145">
        <dgm:presLayoutVars>
          <dgm:chPref val="3"/>
        </dgm:presLayoutVars>
      </dgm:prSet>
      <dgm:spPr/>
    </dgm:pt>
    <dgm:pt modelId="{09DDE27A-7945-43B7-A1B3-41101585F0CD}" type="pres">
      <dgm:prSet presAssocID="{95040E2D-3B14-4838-BEEC-F567F54E210A}" presName="rootConnector" presStyleLbl="node2" presStyleIdx="8" presStyleCnt="11"/>
      <dgm:spPr/>
    </dgm:pt>
    <dgm:pt modelId="{2A9EE20B-950C-4346-8C81-41F64B0AED1C}" type="pres">
      <dgm:prSet presAssocID="{95040E2D-3B14-4838-BEEC-F567F54E210A}" presName="hierChild4" presStyleCnt="0"/>
      <dgm:spPr/>
    </dgm:pt>
    <dgm:pt modelId="{3C4B0898-FEC4-425E-A62E-7F6211895D7C}" type="pres">
      <dgm:prSet presAssocID="{90B63618-9D9F-4204-8A72-1DEDB9B6A698}" presName="Name37" presStyleLbl="parChTrans1D3" presStyleIdx="22" presStyleCnt="31"/>
      <dgm:spPr/>
    </dgm:pt>
    <dgm:pt modelId="{6D8BE0E7-C739-48D4-94CD-B3A729367ADF}" type="pres">
      <dgm:prSet presAssocID="{EEBC546B-B559-4568-BA01-5B4728E41645}" presName="hierRoot2" presStyleCnt="0">
        <dgm:presLayoutVars>
          <dgm:hierBranch val="init"/>
        </dgm:presLayoutVars>
      </dgm:prSet>
      <dgm:spPr/>
    </dgm:pt>
    <dgm:pt modelId="{BF6A829C-3E52-4A79-858E-4B245123D10B}" type="pres">
      <dgm:prSet presAssocID="{EEBC546B-B559-4568-BA01-5B4728E41645}" presName="rootComposite" presStyleCnt="0"/>
      <dgm:spPr/>
    </dgm:pt>
    <dgm:pt modelId="{526919F3-C1E6-4952-AA9E-1BBFD8E73B82}" type="pres">
      <dgm:prSet presAssocID="{EEBC546B-B559-4568-BA01-5B4728E41645}" presName="rootText" presStyleLbl="node3" presStyleIdx="22" presStyleCnt="31">
        <dgm:presLayoutVars>
          <dgm:chPref val="3"/>
        </dgm:presLayoutVars>
      </dgm:prSet>
      <dgm:spPr/>
    </dgm:pt>
    <dgm:pt modelId="{37D81D16-9FA0-4B40-B026-416F10041A47}" type="pres">
      <dgm:prSet presAssocID="{EEBC546B-B559-4568-BA01-5B4728E41645}" presName="rootConnector" presStyleLbl="node3" presStyleIdx="22" presStyleCnt="31"/>
      <dgm:spPr/>
    </dgm:pt>
    <dgm:pt modelId="{E3A87363-8253-4DFD-B5DA-1375CF1BE0E3}" type="pres">
      <dgm:prSet presAssocID="{EEBC546B-B559-4568-BA01-5B4728E41645}" presName="hierChild4" presStyleCnt="0"/>
      <dgm:spPr/>
    </dgm:pt>
    <dgm:pt modelId="{A68BCB51-F41E-4D84-B0EA-CA82DA6E0B69}" type="pres">
      <dgm:prSet presAssocID="{EEBC546B-B559-4568-BA01-5B4728E41645}" presName="hierChild5" presStyleCnt="0"/>
      <dgm:spPr/>
    </dgm:pt>
    <dgm:pt modelId="{0F5DED51-8461-4FB1-B14E-D45B6BB35082}" type="pres">
      <dgm:prSet presAssocID="{0BCFA6B9-4E38-4DF4-9665-C5288F643973}" presName="Name37" presStyleLbl="parChTrans1D3" presStyleIdx="23" presStyleCnt="31"/>
      <dgm:spPr/>
    </dgm:pt>
    <dgm:pt modelId="{555A9E2F-CBF6-45C9-9C64-61FB46C9D944}" type="pres">
      <dgm:prSet presAssocID="{6D7A7801-BB63-47F6-9F80-2013CE3C8DDF}" presName="hierRoot2" presStyleCnt="0">
        <dgm:presLayoutVars>
          <dgm:hierBranch val="init"/>
        </dgm:presLayoutVars>
      </dgm:prSet>
      <dgm:spPr/>
    </dgm:pt>
    <dgm:pt modelId="{AB771391-DF63-4BD7-9D22-9BD806234214}" type="pres">
      <dgm:prSet presAssocID="{6D7A7801-BB63-47F6-9F80-2013CE3C8DDF}" presName="rootComposite" presStyleCnt="0"/>
      <dgm:spPr/>
    </dgm:pt>
    <dgm:pt modelId="{ECADA643-1779-4DA2-8AA6-C1EAF32B0C15}" type="pres">
      <dgm:prSet presAssocID="{6D7A7801-BB63-47F6-9F80-2013CE3C8DDF}" presName="rootText" presStyleLbl="node3" presStyleIdx="23" presStyleCnt="31">
        <dgm:presLayoutVars>
          <dgm:chPref val="3"/>
        </dgm:presLayoutVars>
      </dgm:prSet>
      <dgm:spPr/>
    </dgm:pt>
    <dgm:pt modelId="{F770A9C2-2252-4D51-A331-8617B1485A2E}" type="pres">
      <dgm:prSet presAssocID="{6D7A7801-BB63-47F6-9F80-2013CE3C8DDF}" presName="rootConnector" presStyleLbl="node3" presStyleIdx="23" presStyleCnt="31"/>
      <dgm:spPr/>
    </dgm:pt>
    <dgm:pt modelId="{75D89AAE-808D-4720-9DDC-7EDBA7447EF7}" type="pres">
      <dgm:prSet presAssocID="{6D7A7801-BB63-47F6-9F80-2013CE3C8DDF}" presName="hierChild4" presStyleCnt="0"/>
      <dgm:spPr/>
    </dgm:pt>
    <dgm:pt modelId="{676BBFF2-9E97-4095-9520-F80CAF882694}" type="pres">
      <dgm:prSet presAssocID="{6D7A7801-BB63-47F6-9F80-2013CE3C8DDF}" presName="hierChild5" presStyleCnt="0"/>
      <dgm:spPr/>
    </dgm:pt>
    <dgm:pt modelId="{9B6FEAED-F609-4ABD-9830-664C2D6F7BC4}" type="pres">
      <dgm:prSet presAssocID="{7D1D39C0-3B18-4635-B1B3-C21C05B51E72}" presName="Name37" presStyleLbl="parChTrans1D3" presStyleIdx="24" presStyleCnt="31"/>
      <dgm:spPr/>
    </dgm:pt>
    <dgm:pt modelId="{D8DEFD14-83E4-4BB6-8FE0-D4EA6BAA21BB}" type="pres">
      <dgm:prSet presAssocID="{8C33E48E-334E-4A5A-8828-C0B9BC12F4DA}" presName="hierRoot2" presStyleCnt="0">
        <dgm:presLayoutVars>
          <dgm:hierBranch val="init"/>
        </dgm:presLayoutVars>
      </dgm:prSet>
      <dgm:spPr/>
    </dgm:pt>
    <dgm:pt modelId="{551A77EE-2883-4BF6-8447-54DA232B9A0F}" type="pres">
      <dgm:prSet presAssocID="{8C33E48E-334E-4A5A-8828-C0B9BC12F4DA}" presName="rootComposite" presStyleCnt="0"/>
      <dgm:spPr/>
    </dgm:pt>
    <dgm:pt modelId="{77F7510F-B277-4906-B909-89B1197C6DDE}" type="pres">
      <dgm:prSet presAssocID="{8C33E48E-334E-4A5A-8828-C0B9BC12F4DA}" presName="rootText" presStyleLbl="node3" presStyleIdx="24" presStyleCnt="31">
        <dgm:presLayoutVars>
          <dgm:chPref val="3"/>
        </dgm:presLayoutVars>
      </dgm:prSet>
      <dgm:spPr/>
    </dgm:pt>
    <dgm:pt modelId="{58BCE5B8-AC2E-43FA-B884-A8172ED4A1EB}" type="pres">
      <dgm:prSet presAssocID="{8C33E48E-334E-4A5A-8828-C0B9BC12F4DA}" presName="rootConnector" presStyleLbl="node3" presStyleIdx="24" presStyleCnt="31"/>
      <dgm:spPr/>
    </dgm:pt>
    <dgm:pt modelId="{372C23E0-3C22-4331-A3CB-CA9B4A603276}" type="pres">
      <dgm:prSet presAssocID="{8C33E48E-334E-4A5A-8828-C0B9BC12F4DA}" presName="hierChild4" presStyleCnt="0"/>
      <dgm:spPr/>
    </dgm:pt>
    <dgm:pt modelId="{A9F5020C-DCC7-4A5D-A3FC-09601CD9B78A}" type="pres">
      <dgm:prSet presAssocID="{8C33E48E-334E-4A5A-8828-C0B9BC12F4DA}" presName="hierChild5" presStyleCnt="0"/>
      <dgm:spPr/>
    </dgm:pt>
    <dgm:pt modelId="{3833F1C6-A6B1-46E6-8A15-F930B1F8D329}" type="pres">
      <dgm:prSet presAssocID="{95040E2D-3B14-4838-BEEC-F567F54E210A}" presName="hierChild5" presStyleCnt="0"/>
      <dgm:spPr/>
    </dgm:pt>
    <dgm:pt modelId="{6859BE2E-B830-41FF-B86E-79A6F3BD7732}" type="pres">
      <dgm:prSet presAssocID="{C0EE7375-36E6-4281-9237-5F5EEB6505C0}" presName="Name37" presStyleLbl="parChTrans1D2" presStyleIdx="9" presStyleCnt="11"/>
      <dgm:spPr/>
    </dgm:pt>
    <dgm:pt modelId="{8D866DCF-59CC-4DD5-B28E-62F3EE38D392}" type="pres">
      <dgm:prSet presAssocID="{905ED552-0ABB-46DE-A60F-9DB1B7EBD348}" presName="hierRoot2" presStyleCnt="0">
        <dgm:presLayoutVars>
          <dgm:hierBranch val="init"/>
        </dgm:presLayoutVars>
      </dgm:prSet>
      <dgm:spPr/>
    </dgm:pt>
    <dgm:pt modelId="{8AA59441-871E-4CB9-974F-BBB2590582D3}" type="pres">
      <dgm:prSet presAssocID="{905ED552-0ABB-46DE-A60F-9DB1B7EBD348}" presName="rootComposite" presStyleCnt="0"/>
      <dgm:spPr/>
    </dgm:pt>
    <dgm:pt modelId="{9A7C5AEB-3E05-469A-95FE-22BE39540AE1}" type="pres">
      <dgm:prSet presAssocID="{905ED552-0ABB-46DE-A60F-9DB1B7EBD348}" presName="rootText" presStyleLbl="node2" presStyleIdx="9" presStyleCnt="11" custScaleX="117525" custLinFactNeighborX="-2822" custLinFactNeighborY="-2145">
        <dgm:presLayoutVars>
          <dgm:chPref val="3"/>
        </dgm:presLayoutVars>
      </dgm:prSet>
      <dgm:spPr/>
    </dgm:pt>
    <dgm:pt modelId="{43608A5B-3808-436B-B5E2-C7A7C19E947A}" type="pres">
      <dgm:prSet presAssocID="{905ED552-0ABB-46DE-A60F-9DB1B7EBD348}" presName="rootConnector" presStyleLbl="node2" presStyleIdx="9" presStyleCnt="11"/>
      <dgm:spPr/>
    </dgm:pt>
    <dgm:pt modelId="{07619283-906A-4B7F-A688-B948772364C0}" type="pres">
      <dgm:prSet presAssocID="{905ED552-0ABB-46DE-A60F-9DB1B7EBD348}" presName="hierChild4" presStyleCnt="0"/>
      <dgm:spPr/>
    </dgm:pt>
    <dgm:pt modelId="{6B9387C3-2537-4FE2-8085-C859547936ED}" type="pres">
      <dgm:prSet presAssocID="{164BE56B-4369-439C-BDA1-AC866650347E}" presName="Name37" presStyleLbl="parChTrans1D3" presStyleIdx="25" presStyleCnt="31"/>
      <dgm:spPr/>
    </dgm:pt>
    <dgm:pt modelId="{19521A41-1468-43CA-8648-B0DAEE5747D7}" type="pres">
      <dgm:prSet presAssocID="{FA075ABC-5CA4-4216-8E88-E8C82245409F}" presName="hierRoot2" presStyleCnt="0">
        <dgm:presLayoutVars>
          <dgm:hierBranch val="init"/>
        </dgm:presLayoutVars>
      </dgm:prSet>
      <dgm:spPr/>
    </dgm:pt>
    <dgm:pt modelId="{AC83BF55-15E5-4CA9-8603-040C1C724931}" type="pres">
      <dgm:prSet presAssocID="{FA075ABC-5CA4-4216-8E88-E8C82245409F}" presName="rootComposite" presStyleCnt="0"/>
      <dgm:spPr/>
    </dgm:pt>
    <dgm:pt modelId="{250F3822-B3AA-4407-90AE-B2B8D5EF00A9}" type="pres">
      <dgm:prSet presAssocID="{FA075ABC-5CA4-4216-8E88-E8C82245409F}" presName="rootText" presStyleLbl="node3" presStyleIdx="25" presStyleCnt="31">
        <dgm:presLayoutVars>
          <dgm:chPref val="3"/>
        </dgm:presLayoutVars>
      </dgm:prSet>
      <dgm:spPr/>
    </dgm:pt>
    <dgm:pt modelId="{3D5DCA66-EC03-4D13-94BA-59130EF8F053}" type="pres">
      <dgm:prSet presAssocID="{FA075ABC-5CA4-4216-8E88-E8C82245409F}" presName="rootConnector" presStyleLbl="node3" presStyleIdx="25" presStyleCnt="31"/>
      <dgm:spPr/>
    </dgm:pt>
    <dgm:pt modelId="{DC06BBD4-9CFE-43AB-B5BD-BC44CD6E3076}" type="pres">
      <dgm:prSet presAssocID="{FA075ABC-5CA4-4216-8E88-E8C82245409F}" presName="hierChild4" presStyleCnt="0"/>
      <dgm:spPr/>
    </dgm:pt>
    <dgm:pt modelId="{4976DE3A-1E73-4C99-A568-953ACA700A8A}" type="pres">
      <dgm:prSet presAssocID="{FA075ABC-5CA4-4216-8E88-E8C82245409F}" presName="hierChild5" presStyleCnt="0"/>
      <dgm:spPr/>
    </dgm:pt>
    <dgm:pt modelId="{89695C53-1190-42FF-86CC-6209DC216241}" type="pres">
      <dgm:prSet presAssocID="{3BEC5FAA-E4C7-4310-8BF8-FD6D6CD14D5D}" presName="Name37" presStyleLbl="parChTrans1D3" presStyleIdx="26" presStyleCnt="31"/>
      <dgm:spPr/>
    </dgm:pt>
    <dgm:pt modelId="{2091A16D-1C0D-4F82-A103-83C5761C684D}" type="pres">
      <dgm:prSet presAssocID="{52322AC1-C0CA-41C2-AF77-D47B568609DC}" presName="hierRoot2" presStyleCnt="0">
        <dgm:presLayoutVars>
          <dgm:hierBranch val="init"/>
        </dgm:presLayoutVars>
      </dgm:prSet>
      <dgm:spPr/>
    </dgm:pt>
    <dgm:pt modelId="{EED680E5-5D13-4D31-96F1-F5C06ADCAF46}" type="pres">
      <dgm:prSet presAssocID="{52322AC1-C0CA-41C2-AF77-D47B568609DC}" presName="rootComposite" presStyleCnt="0"/>
      <dgm:spPr/>
    </dgm:pt>
    <dgm:pt modelId="{9BEC86F9-D6A7-4983-86A8-08577B7FE900}" type="pres">
      <dgm:prSet presAssocID="{52322AC1-C0CA-41C2-AF77-D47B568609DC}" presName="rootText" presStyleLbl="node3" presStyleIdx="26" presStyleCnt="31">
        <dgm:presLayoutVars>
          <dgm:chPref val="3"/>
        </dgm:presLayoutVars>
      </dgm:prSet>
      <dgm:spPr/>
    </dgm:pt>
    <dgm:pt modelId="{BAE3A63D-44E0-41CC-9D09-F10B1732475A}" type="pres">
      <dgm:prSet presAssocID="{52322AC1-C0CA-41C2-AF77-D47B568609DC}" presName="rootConnector" presStyleLbl="node3" presStyleIdx="26" presStyleCnt="31"/>
      <dgm:spPr/>
    </dgm:pt>
    <dgm:pt modelId="{E48E0602-2F06-48C0-8919-CE0533050729}" type="pres">
      <dgm:prSet presAssocID="{52322AC1-C0CA-41C2-AF77-D47B568609DC}" presName="hierChild4" presStyleCnt="0"/>
      <dgm:spPr/>
    </dgm:pt>
    <dgm:pt modelId="{EB7A1FFC-E249-429A-A32C-B391C7308432}" type="pres">
      <dgm:prSet presAssocID="{52322AC1-C0CA-41C2-AF77-D47B568609DC}" presName="hierChild5" presStyleCnt="0"/>
      <dgm:spPr/>
    </dgm:pt>
    <dgm:pt modelId="{F7AFC83A-F643-4B31-A648-492A9D843CA2}" type="pres">
      <dgm:prSet presAssocID="{D010ED04-6422-41B1-9B13-F8A5DEAE4019}" presName="Name37" presStyleLbl="parChTrans1D3" presStyleIdx="27" presStyleCnt="31"/>
      <dgm:spPr/>
    </dgm:pt>
    <dgm:pt modelId="{835ADFDF-C842-46B1-B54A-B1FA59F9D79F}" type="pres">
      <dgm:prSet presAssocID="{B0D67059-EF7D-43CE-8506-8E9B5868DB0C}" presName="hierRoot2" presStyleCnt="0">
        <dgm:presLayoutVars>
          <dgm:hierBranch val="init"/>
        </dgm:presLayoutVars>
      </dgm:prSet>
      <dgm:spPr/>
    </dgm:pt>
    <dgm:pt modelId="{5BAB1841-5EAE-4680-B0F4-7AF885288287}" type="pres">
      <dgm:prSet presAssocID="{B0D67059-EF7D-43CE-8506-8E9B5868DB0C}" presName="rootComposite" presStyleCnt="0"/>
      <dgm:spPr/>
    </dgm:pt>
    <dgm:pt modelId="{68D73AD6-74BD-4C2E-A75E-08E466B13B32}" type="pres">
      <dgm:prSet presAssocID="{B0D67059-EF7D-43CE-8506-8E9B5868DB0C}" presName="rootText" presStyleLbl="node3" presStyleIdx="27" presStyleCnt="31">
        <dgm:presLayoutVars>
          <dgm:chPref val="3"/>
        </dgm:presLayoutVars>
      </dgm:prSet>
      <dgm:spPr/>
    </dgm:pt>
    <dgm:pt modelId="{4DEEC77A-A0DC-4AFB-B445-C99CA3365BBD}" type="pres">
      <dgm:prSet presAssocID="{B0D67059-EF7D-43CE-8506-8E9B5868DB0C}" presName="rootConnector" presStyleLbl="node3" presStyleIdx="27" presStyleCnt="31"/>
      <dgm:spPr/>
    </dgm:pt>
    <dgm:pt modelId="{B4291639-8210-4D83-99F7-E61BAB130FDE}" type="pres">
      <dgm:prSet presAssocID="{B0D67059-EF7D-43CE-8506-8E9B5868DB0C}" presName="hierChild4" presStyleCnt="0"/>
      <dgm:spPr/>
    </dgm:pt>
    <dgm:pt modelId="{84752CA9-C509-44F7-AB05-F333616F1CFD}" type="pres">
      <dgm:prSet presAssocID="{B0D67059-EF7D-43CE-8506-8E9B5868DB0C}" presName="hierChild5" presStyleCnt="0"/>
      <dgm:spPr/>
    </dgm:pt>
    <dgm:pt modelId="{836B10AC-82D9-4DB4-A773-693582BDB9D0}" type="pres">
      <dgm:prSet presAssocID="{905ED552-0ABB-46DE-A60F-9DB1B7EBD348}" presName="hierChild5" presStyleCnt="0"/>
      <dgm:spPr/>
    </dgm:pt>
    <dgm:pt modelId="{7009101D-659E-4AC4-B6A0-8312127BD0D5}" type="pres">
      <dgm:prSet presAssocID="{EC92CB9E-5DFE-4287-A9E0-4954C06F656B}" presName="Name37" presStyleLbl="parChTrans1D2" presStyleIdx="10" presStyleCnt="11"/>
      <dgm:spPr/>
    </dgm:pt>
    <dgm:pt modelId="{5AD6FC9D-6064-445F-8A06-CCA400DB3B08}" type="pres">
      <dgm:prSet presAssocID="{14FC8420-D447-4CEA-A3B7-61E9B3749D8E}" presName="hierRoot2" presStyleCnt="0">
        <dgm:presLayoutVars>
          <dgm:hierBranch val="init"/>
        </dgm:presLayoutVars>
      </dgm:prSet>
      <dgm:spPr/>
    </dgm:pt>
    <dgm:pt modelId="{15F16340-459A-4A27-A204-D236E8C20740}" type="pres">
      <dgm:prSet presAssocID="{14FC8420-D447-4CEA-A3B7-61E9B3749D8E}" presName="rootComposite" presStyleCnt="0"/>
      <dgm:spPr/>
    </dgm:pt>
    <dgm:pt modelId="{F5C5F184-CBCA-49BB-BB7E-3A0146C211EB}" type="pres">
      <dgm:prSet presAssocID="{14FC8420-D447-4CEA-A3B7-61E9B3749D8E}" presName="rootText" presStyleLbl="node2" presStyleIdx="10" presStyleCnt="11" custScaleX="73898" custLinFactNeighborX="-2822">
        <dgm:presLayoutVars>
          <dgm:chPref val="3"/>
        </dgm:presLayoutVars>
      </dgm:prSet>
      <dgm:spPr/>
    </dgm:pt>
    <dgm:pt modelId="{7E0A6FE1-6E00-44A1-81D8-0EA2A6CD2AF3}" type="pres">
      <dgm:prSet presAssocID="{14FC8420-D447-4CEA-A3B7-61E9B3749D8E}" presName="rootConnector" presStyleLbl="node2" presStyleIdx="10" presStyleCnt="11"/>
      <dgm:spPr/>
    </dgm:pt>
    <dgm:pt modelId="{5ACBC9EB-3255-4183-99C6-36BFA4DB898A}" type="pres">
      <dgm:prSet presAssocID="{14FC8420-D447-4CEA-A3B7-61E9B3749D8E}" presName="hierChild4" presStyleCnt="0"/>
      <dgm:spPr/>
    </dgm:pt>
    <dgm:pt modelId="{D6F69DBC-B0FC-4A08-AC6B-4A6F9030A7BD}" type="pres">
      <dgm:prSet presAssocID="{D1202378-9FC3-4AC3-BEDF-808E27AD479B}" presName="Name37" presStyleLbl="parChTrans1D3" presStyleIdx="28" presStyleCnt="31"/>
      <dgm:spPr/>
    </dgm:pt>
    <dgm:pt modelId="{F66A1E48-16A7-4FB5-8156-CD2E1045FFBE}" type="pres">
      <dgm:prSet presAssocID="{BA15DC88-B838-4D5F-9BAB-AEC02AE52521}" presName="hierRoot2" presStyleCnt="0">
        <dgm:presLayoutVars>
          <dgm:hierBranch val="init"/>
        </dgm:presLayoutVars>
      </dgm:prSet>
      <dgm:spPr/>
    </dgm:pt>
    <dgm:pt modelId="{3F7CDCDE-6C8D-4873-91F7-40BD160249CE}" type="pres">
      <dgm:prSet presAssocID="{BA15DC88-B838-4D5F-9BAB-AEC02AE52521}" presName="rootComposite" presStyleCnt="0"/>
      <dgm:spPr/>
    </dgm:pt>
    <dgm:pt modelId="{3E37B074-43F2-410D-A821-9E917734EEF5}" type="pres">
      <dgm:prSet presAssocID="{BA15DC88-B838-4D5F-9BAB-AEC02AE52521}" presName="rootText" presStyleLbl="node3" presStyleIdx="28" presStyleCnt="31">
        <dgm:presLayoutVars>
          <dgm:chPref val="3"/>
        </dgm:presLayoutVars>
      </dgm:prSet>
      <dgm:spPr/>
    </dgm:pt>
    <dgm:pt modelId="{18956CBC-7222-4318-87FC-278CA4BA3768}" type="pres">
      <dgm:prSet presAssocID="{BA15DC88-B838-4D5F-9BAB-AEC02AE52521}" presName="rootConnector" presStyleLbl="node3" presStyleIdx="28" presStyleCnt="31"/>
      <dgm:spPr/>
    </dgm:pt>
    <dgm:pt modelId="{D1A1BB6E-75BB-4B08-90C4-382CBCE3ACAC}" type="pres">
      <dgm:prSet presAssocID="{BA15DC88-B838-4D5F-9BAB-AEC02AE52521}" presName="hierChild4" presStyleCnt="0"/>
      <dgm:spPr/>
    </dgm:pt>
    <dgm:pt modelId="{8D5B18A0-80A4-4C22-87BC-EEB3E6785EB2}" type="pres">
      <dgm:prSet presAssocID="{BA15DC88-B838-4D5F-9BAB-AEC02AE52521}" presName="hierChild5" presStyleCnt="0"/>
      <dgm:spPr/>
    </dgm:pt>
    <dgm:pt modelId="{1F22369C-0260-40DE-A3B5-80071F47CFCB}" type="pres">
      <dgm:prSet presAssocID="{900F9B5B-B201-41E8-9F84-B4A949821D1D}" presName="Name37" presStyleLbl="parChTrans1D3" presStyleIdx="29" presStyleCnt="31"/>
      <dgm:spPr/>
    </dgm:pt>
    <dgm:pt modelId="{751DE3A9-98AD-4BB8-9614-99AE6394060E}" type="pres">
      <dgm:prSet presAssocID="{85451313-C917-4F47-86D0-45E28E549CBF}" presName="hierRoot2" presStyleCnt="0">
        <dgm:presLayoutVars>
          <dgm:hierBranch val="init"/>
        </dgm:presLayoutVars>
      </dgm:prSet>
      <dgm:spPr/>
    </dgm:pt>
    <dgm:pt modelId="{C7124B80-AFC6-4098-8F7C-B68AC9998F53}" type="pres">
      <dgm:prSet presAssocID="{85451313-C917-4F47-86D0-45E28E549CBF}" presName="rootComposite" presStyleCnt="0"/>
      <dgm:spPr/>
    </dgm:pt>
    <dgm:pt modelId="{E1649481-31C2-4E1C-A6F3-BCDF01D59BD2}" type="pres">
      <dgm:prSet presAssocID="{85451313-C917-4F47-86D0-45E28E549CBF}" presName="rootText" presStyleLbl="node3" presStyleIdx="29" presStyleCnt="31">
        <dgm:presLayoutVars>
          <dgm:chPref val="3"/>
        </dgm:presLayoutVars>
      </dgm:prSet>
      <dgm:spPr/>
    </dgm:pt>
    <dgm:pt modelId="{F7BA7A01-E042-4673-AEEA-303514636AFE}" type="pres">
      <dgm:prSet presAssocID="{85451313-C917-4F47-86D0-45E28E549CBF}" presName="rootConnector" presStyleLbl="node3" presStyleIdx="29" presStyleCnt="31"/>
      <dgm:spPr/>
    </dgm:pt>
    <dgm:pt modelId="{B9732F4F-BE78-4B49-9091-821A719A5806}" type="pres">
      <dgm:prSet presAssocID="{85451313-C917-4F47-86D0-45E28E549CBF}" presName="hierChild4" presStyleCnt="0"/>
      <dgm:spPr/>
    </dgm:pt>
    <dgm:pt modelId="{02D762C6-91EC-4FE8-8DD5-7C4C3BF95BC3}" type="pres">
      <dgm:prSet presAssocID="{85451313-C917-4F47-86D0-45E28E549CBF}" presName="hierChild5" presStyleCnt="0"/>
      <dgm:spPr/>
    </dgm:pt>
    <dgm:pt modelId="{9A5CF57C-EB3E-499E-8222-998FF1F3959E}" type="pres">
      <dgm:prSet presAssocID="{23233B68-EF36-4A02-9B22-884F03B3E17D}" presName="Name37" presStyleLbl="parChTrans1D3" presStyleIdx="30" presStyleCnt="31"/>
      <dgm:spPr/>
    </dgm:pt>
    <dgm:pt modelId="{5704E418-CC6E-4FAE-B4C3-1F565F11B0A5}" type="pres">
      <dgm:prSet presAssocID="{F9F2A175-3F9B-492A-AD89-F9ADF1AA7A09}" presName="hierRoot2" presStyleCnt="0">
        <dgm:presLayoutVars>
          <dgm:hierBranch val="init"/>
        </dgm:presLayoutVars>
      </dgm:prSet>
      <dgm:spPr/>
    </dgm:pt>
    <dgm:pt modelId="{6457224C-B2A9-4E68-93C7-6A30D187AD21}" type="pres">
      <dgm:prSet presAssocID="{F9F2A175-3F9B-492A-AD89-F9ADF1AA7A09}" presName="rootComposite" presStyleCnt="0"/>
      <dgm:spPr/>
    </dgm:pt>
    <dgm:pt modelId="{5D899EB1-B601-4B33-9059-E0DEFEEE5318}" type="pres">
      <dgm:prSet presAssocID="{F9F2A175-3F9B-492A-AD89-F9ADF1AA7A09}" presName="rootText" presStyleLbl="node3" presStyleIdx="30" presStyleCnt="31">
        <dgm:presLayoutVars>
          <dgm:chPref val="3"/>
        </dgm:presLayoutVars>
      </dgm:prSet>
      <dgm:spPr/>
    </dgm:pt>
    <dgm:pt modelId="{8BDE05C9-053F-4C88-B814-2D8F4E34080D}" type="pres">
      <dgm:prSet presAssocID="{F9F2A175-3F9B-492A-AD89-F9ADF1AA7A09}" presName="rootConnector" presStyleLbl="node3" presStyleIdx="30" presStyleCnt="31"/>
      <dgm:spPr/>
    </dgm:pt>
    <dgm:pt modelId="{EBBFD4E0-68FF-4B5E-9CC1-134C676AC247}" type="pres">
      <dgm:prSet presAssocID="{F9F2A175-3F9B-492A-AD89-F9ADF1AA7A09}" presName="hierChild4" presStyleCnt="0"/>
      <dgm:spPr/>
    </dgm:pt>
    <dgm:pt modelId="{1511A876-7870-4D0C-96F8-5E48CF5B2D4C}" type="pres">
      <dgm:prSet presAssocID="{F9F2A175-3F9B-492A-AD89-F9ADF1AA7A09}" presName="hierChild5" presStyleCnt="0"/>
      <dgm:spPr/>
    </dgm:pt>
    <dgm:pt modelId="{75BBA576-24A0-4355-8678-C16C1DF84B6E}" type="pres">
      <dgm:prSet presAssocID="{14FC8420-D447-4CEA-A3B7-61E9B3749D8E}" presName="hierChild5" presStyleCnt="0"/>
      <dgm:spPr/>
    </dgm:pt>
    <dgm:pt modelId="{3B9D5E95-1320-46BA-A01E-BC0D01F0FFE2}" type="pres">
      <dgm:prSet presAssocID="{0102E4FE-20A8-44CB-9044-37DB2019EEF7}" presName="hierChild3" presStyleCnt="0"/>
      <dgm:spPr/>
    </dgm:pt>
  </dgm:ptLst>
  <dgm:cxnLst>
    <dgm:cxn modelId="{67BB3300-C2FA-459C-B575-8F0C2C761D2B}" type="presOf" srcId="{EC92CB9E-5DFE-4287-A9E0-4954C06F656B}" destId="{7009101D-659E-4AC4-B6A0-8312127BD0D5}" srcOrd="0" destOrd="0" presId="urn:microsoft.com/office/officeart/2005/8/layout/orgChart1"/>
    <dgm:cxn modelId="{E55DB602-DC2A-4A90-AEBC-D3FA9C19E981}" srcId="{0102E4FE-20A8-44CB-9044-37DB2019EEF7}" destId="{5901CCA6-EF9E-4F05-B532-AFA0A830E4D5}" srcOrd="7" destOrd="0" parTransId="{3AAD358E-6C2A-45F6-8AEA-D2444BC59F19}" sibTransId="{DA81767C-EE83-44C2-9E22-3E8E99D8403B}"/>
    <dgm:cxn modelId="{C6C9EF02-DF56-4946-A6A9-7C42874135E2}" type="presOf" srcId="{902A754E-4E4A-4847-B0A2-573B94308BBA}" destId="{2E30FFB8-D40D-42E9-AC77-18EF4B8DF612}" srcOrd="0" destOrd="0" presId="urn:microsoft.com/office/officeart/2005/8/layout/orgChart1"/>
    <dgm:cxn modelId="{53B63F03-0985-48A4-80C2-706BB670BA50}" type="presOf" srcId="{97F38E1B-8B0A-4C1C-BB0E-8DC2824BBDEE}" destId="{8D28DA9C-651E-493C-AEB4-8DE7C4670A76}" srcOrd="0" destOrd="0" presId="urn:microsoft.com/office/officeart/2005/8/layout/orgChart1"/>
    <dgm:cxn modelId="{A4EF8B03-7981-42B5-9814-55B7955BF762}" type="presOf" srcId="{6D7A7801-BB63-47F6-9F80-2013CE3C8DDF}" destId="{ECADA643-1779-4DA2-8AA6-C1EAF32B0C15}" srcOrd="0" destOrd="0" presId="urn:microsoft.com/office/officeart/2005/8/layout/orgChart1"/>
    <dgm:cxn modelId="{258BD403-F044-4087-92A7-7D87F527D8AD}" type="presOf" srcId="{5901CCA6-EF9E-4F05-B532-AFA0A830E4D5}" destId="{36F65EB3-A93B-4BDE-AD59-D991F66D50DB}" srcOrd="0" destOrd="0" presId="urn:microsoft.com/office/officeart/2005/8/layout/orgChart1"/>
    <dgm:cxn modelId="{57C60E04-9D08-40AA-871F-0F233A96B5CF}" type="presOf" srcId="{52322AC1-C0CA-41C2-AF77-D47B568609DC}" destId="{BAE3A63D-44E0-41CC-9D09-F10B1732475A}" srcOrd="1" destOrd="0" presId="urn:microsoft.com/office/officeart/2005/8/layout/orgChart1"/>
    <dgm:cxn modelId="{58E55D04-61C8-44DE-826A-ACD29830636B}" type="presOf" srcId="{CE2A3EF5-315E-4A47-8675-C5092FBEAE78}" destId="{73B79BE7-B499-4466-A25C-20D4D18A5B41}" srcOrd="1" destOrd="0" presId="urn:microsoft.com/office/officeart/2005/8/layout/orgChart1"/>
    <dgm:cxn modelId="{A5330B05-7EC3-45E4-97C4-56A82E6A9D47}" type="presOf" srcId="{6D7A7801-BB63-47F6-9F80-2013CE3C8DDF}" destId="{F770A9C2-2252-4D51-A331-8617B1485A2E}" srcOrd="1" destOrd="0" presId="urn:microsoft.com/office/officeart/2005/8/layout/orgChart1"/>
    <dgm:cxn modelId="{C61D6205-143E-41D8-A0F1-49795BA8113E}" type="presOf" srcId="{4AB2621C-C1A1-4E6F-8BE4-44B029456772}" destId="{CC49643F-5CAB-42AD-AC31-F5BF5BED7969}" srcOrd="0" destOrd="0" presId="urn:microsoft.com/office/officeart/2005/8/layout/orgChart1"/>
    <dgm:cxn modelId="{90B2A606-603C-48C0-90B2-E882CC121CF4}" type="presOf" srcId="{9AC19E5E-60C4-4CCF-A20E-E4814BC2FE9B}" destId="{8214640F-5D66-49B2-997F-5F320E255B10}" srcOrd="0" destOrd="0" presId="urn:microsoft.com/office/officeart/2005/8/layout/orgChart1"/>
    <dgm:cxn modelId="{F28D2A09-27DD-4A0C-BC01-7D87ED14C5EF}" srcId="{809B22AA-EB2B-4C4F-82C3-E979FD4CF357}" destId="{97F38E1B-8B0A-4C1C-BB0E-8DC2824BBDEE}" srcOrd="0" destOrd="0" parTransId="{9792CF75-292C-4BCA-A2CF-C2FA68F001BD}" sibTransId="{2D6198F2-32BE-47EB-A094-B34B1ED30EA3}"/>
    <dgm:cxn modelId="{EE0F630A-CDD2-46E7-9BE9-EFADA195906C}" type="presOf" srcId="{8D244D8F-C792-40BC-A511-7DE39E45E194}" destId="{4C9AEEA8-806B-4221-A8CF-497F84C39D63}" srcOrd="0" destOrd="0" presId="urn:microsoft.com/office/officeart/2005/8/layout/orgChart1"/>
    <dgm:cxn modelId="{84D1810A-10ED-4FC4-BC59-65178ADF26FD}" type="presOf" srcId="{50F4CB47-0DB9-4B1E-9C75-49682DAC2BF7}" destId="{78FA309A-083A-4C64-9477-7A3C69B2784C}" srcOrd="0" destOrd="0" presId="urn:microsoft.com/office/officeart/2005/8/layout/orgChart1"/>
    <dgm:cxn modelId="{9EB1AC0A-6E95-4C0F-A5CC-95B8F5B430E1}" type="presOf" srcId="{95040E2D-3B14-4838-BEEC-F567F54E210A}" destId="{66215115-E87F-416B-87DA-9B997A3EC349}" srcOrd="0" destOrd="0" presId="urn:microsoft.com/office/officeart/2005/8/layout/orgChart1"/>
    <dgm:cxn modelId="{4037E30B-0A1B-49BA-A9AD-10794462B0D1}" type="presOf" srcId="{809B22AA-EB2B-4C4F-82C3-E979FD4CF357}" destId="{18E317F2-7CF2-4DFD-9CA0-4A1E8C4ACD68}" srcOrd="1" destOrd="0" presId="urn:microsoft.com/office/officeart/2005/8/layout/orgChart1"/>
    <dgm:cxn modelId="{52D5160C-EC02-47A7-A355-92F9A8F9822C}" type="presOf" srcId="{C2EFE54E-DDBB-4937-AAAF-B8E47F74D697}" destId="{3EDBFA9C-F817-479F-9192-D74217624230}" srcOrd="1" destOrd="0" presId="urn:microsoft.com/office/officeart/2005/8/layout/orgChart1"/>
    <dgm:cxn modelId="{19621F0C-F61A-4B9A-B233-8971CD21224D}" type="presOf" srcId="{5901CCA6-EF9E-4F05-B532-AFA0A830E4D5}" destId="{826A7F83-80B8-45B1-B66F-D6D09AC2C066}" srcOrd="1" destOrd="0" presId="urn:microsoft.com/office/officeart/2005/8/layout/orgChart1"/>
    <dgm:cxn modelId="{F7AAB10C-8CE7-44F7-B3FA-36F5A75E2381}" type="presOf" srcId="{B3501234-EF80-4869-A279-C89BC86861D2}" destId="{551EDF52-9700-4415-9C5E-2D5BBD97710A}" srcOrd="0" destOrd="0" presId="urn:microsoft.com/office/officeart/2005/8/layout/orgChart1"/>
    <dgm:cxn modelId="{B6E8350D-073B-4398-AB39-54D9747CCAF2}" srcId="{905ED552-0ABB-46DE-A60F-9DB1B7EBD348}" destId="{B0D67059-EF7D-43CE-8506-8E9B5868DB0C}" srcOrd="2" destOrd="0" parTransId="{D010ED04-6422-41B1-9B13-F8A5DEAE4019}" sibTransId="{EA6F9236-2F0E-4B77-84C3-BC211A6AAA2F}"/>
    <dgm:cxn modelId="{35D49F0D-8247-48D4-BFCC-E8F9E668BBF5}" type="presOf" srcId="{EBA54DFC-7FC3-4D85-9BDE-4CD347E65E6C}" destId="{82E60BB5-7FD2-4219-AE7C-29971BDCB4BB}" srcOrd="0" destOrd="0" presId="urn:microsoft.com/office/officeart/2005/8/layout/orgChart1"/>
    <dgm:cxn modelId="{9AC3CF0D-7979-411D-8A88-89E40EEDCDFF}" type="presOf" srcId="{E5DFCF2D-8524-4D8E-AB8B-E3229044C96F}" destId="{C53932D4-51E7-41F5-AE16-C6CBB114DFEA}" srcOrd="0" destOrd="0" presId="urn:microsoft.com/office/officeart/2005/8/layout/orgChart1"/>
    <dgm:cxn modelId="{D67ABC0E-CCA2-4667-8E15-19D1BAB23443}" type="presOf" srcId="{0AE7F9E1-765F-489C-8C16-C7BC49A797D9}" destId="{A2F7DB0A-CD49-4EDD-B25D-FF7E00E87D85}" srcOrd="1" destOrd="0" presId="urn:microsoft.com/office/officeart/2005/8/layout/orgChart1"/>
    <dgm:cxn modelId="{27C00910-C226-4303-8866-345AE734DB89}" srcId="{0102E4FE-20A8-44CB-9044-37DB2019EEF7}" destId="{4D29C077-1695-455C-9DAA-E15887E6F57B}" srcOrd="2" destOrd="0" parTransId="{DE3A69AF-6A99-44DF-9639-EBEE5AEFB1D1}" sibTransId="{E6AEEF36-DE94-4725-A972-AA3652B3FD65}"/>
    <dgm:cxn modelId="{D8CE0311-810E-4B18-B001-18D52486399A}" type="presOf" srcId="{0102E4FE-20A8-44CB-9044-37DB2019EEF7}" destId="{9E54A725-AB28-4B64-8844-9F2951F2F7A0}" srcOrd="1" destOrd="0" presId="urn:microsoft.com/office/officeart/2005/8/layout/orgChart1"/>
    <dgm:cxn modelId="{5E66B611-0682-4B57-9CD3-E4519C960ED6}" type="presOf" srcId="{9C1E4FCB-B7F4-4214-A13D-EB34EE3750D7}" destId="{BAF266AB-76B9-4EC2-80FA-1B6E8EF15352}" srcOrd="1" destOrd="0" presId="urn:microsoft.com/office/officeart/2005/8/layout/orgChart1"/>
    <dgm:cxn modelId="{77D66912-441F-40FD-A160-B28ACE4255EA}" type="presOf" srcId="{DBA8929B-46BA-404E-A3FA-7CF913B88C72}" destId="{47D7B08E-C006-4337-AFA5-B2B6AB5330E7}" srcOrd="0" destOrd="0" presId="urn:microsoft.com/office/officeart/2005/8/layout/orgChart1"/>
    <dgm:cxn modelId="{B5820215-1567-4A5F-A859-132FF7BA307C}" type="presOf" srcId="{939AE253-A7E2-4EBA-B997-5913C2301F5A}" destId="{CF1CE0D6-2000-45B7-B412-882350AF6F25}" srcOrd="0" destOrd="0" presId="urn:microsoft.com/office/officeart/2005/8/layout/orgChart1"/>
    <dgm:cxn modelId="{F9C41C16-8CB2-44A9-B477-C6A114FFF48D}" type="presOf" srcId="{F02C7DD0-38B5-42D3-B052-77C4D943365F}" destId="{ABCA2F01-C14C-4548-BBBB-84ED0283C97F}" srcOrd="1" destOrd="0" presId="urn:microsoft.com/office/officeart/2005/8/layout/orgChart1"/>
    <dgm:cxn modelId="{BB39EB16-3298-47B4-8048-98E6FF5FF77A}" type="presOf" srcId="{C550F39E-3BA4-4EAC-9784-E4F9E4C6F36F}" destId="{C3FAA0F3-7CCC-449C-A82C-F68F70EE100B}" srcOrd="0" destOrd="0" presId="urn:microsoft.com/office/officeart/2005/8/layout/orgChart1"/>
    <dgm:cxn modelId="{9E1D9017-A0C8-4ADF-8A67-EDB758A534D5}" type="presOf" srcId="{939AE253-A7E2-4EBA-B997-5913C2301F5A}" destId="{E332D8F5-24D1-438A-A88D-967661A9895B}" srcOrd="1" destOrd="0" presId="urn:microsoft.com/office/officeart/2005/8/layout/orgChart1"/>
    <dgm:cxn modelId="{34FEC418-FAB9-446C-A86E-E257D476C34B}" type="presOf" srcId="{971055BB-A4A3-40DF-B506-54605DDFB45E}" destId="{89AC791A-EBF2-49B2-B781-7B106A580939}" srcOrd="1" destOrd="0" presId="urn:microsoft.com/office/officeart/2005/8/layout/orgChart1"/>
    <dgm:cxn modelId="{4D8F5819-2882-4F83-87FD-7F102DAD0EEA}" type="presOf" srcId="{C2E9E08C-C520-4750-9A46-099873830BC9}" destId="{43E1BAD0-C612-479E-A76D-9ADDAE663A0D}" srcOrd="0" destOrd="0" presId="urn:microsoft.com/office/officeart/2005/8/layout/orgChart1"/>
    <dgm:cxn modelId="{4FD88319-ABC9-4E6E-B1B4-378762F4E84A}" type="presOf" srcId="{0CFB7DD9-0DA5-4E4C-8DA3-9F1B6119F4C6}" destId="{90431E3C-4F42-4628-B684-A96161BFF430}" srcOrd="0" destOrd="0" presId="urn:microsoft.com/office/officeart/2005/8/layout/orgChart1"/>
    <dgm:cxn modelId="{8708181B-B604-4599-80E2-27518C633DFC}" type="presOf" srcId="{E9B60A7F-1B58-4875-83A0-42F3D1E4F7F2}" destId="{3CB9AA48-4DCA-4619-BFC8-64D366B147BD}" srcOrd="0" destOrd="0" presId="urn:microsoft.com/office/officeart/2005/8/layout/orgChart1"/>
    <dgm:cxn modelId="{D159FA1E-BB71-4147-952D-44241033ED3E}" type="presOf" srcId="{B0D67059-EF7D-43CE-8506-8E9B5868DB0C}" destId="{68D73AD6-74BD-4C2E-A75E-08E466B13B32}" srcOrd="0" destOrd="0" presId="urn:microsoft.com/office/officeart/2005/8/layout/orgChart1"/>
    <dgm:cxn modelId="{55751626-EAE9-4362-9E38-B30FADC5E16F}" type="presOf" srcId="{D433E747-1E2C-41A0-B616-42B31870972F}" destId="{A210511E-8313-4F28-990A-429088BA3B3F}" srcOrd="0" destOrd="0" presId="urn:microsoft.com/office/officeart/2005/8/layout/orgChart1"/>
    <dgm:cxn modelId="{2B29AB29-CDFE-4379-932E-51EA8D056B9B}" type="presOf" srcId="{D39B8DD9-864C-4EB7-9F89-A2AD12438034}" destId="{BA5F9E80-3D5F-4248-9517-86F91EE0B8E9}" srcOrd="0" destOrd="0" presId="urn:microsoft.com/office/officeart/2005/8/layout/orgChart1"/>
    <dgm:cxn modelId="{46257D2A-F1FC-4E0F-B646-275AD0E8439F}" type="presOf" srcId="{CE2A3EF5-315E-4A47-8675-C5092FBEAE78}" destId="{2729BD24-0107-4858-9AA3-412C3646129B}" srcOrd="0" destOrd="0" presId="urn:microsoft.com/office/officeart/2005/8/layout/orgChart1"/>
    <dgm:cxn modelId="{82A8412D-96E4-4EEF-BDD6-42BE89E6C128}" type="presOf" srcId="{8069AF01-BDAC-4439-9E0A-EA0793CC3F91}" destId="{6AC18233-7434-428C-A2CE-9E3AFE243EA4}" srcOrd="0" destOrd="0" presId="urn:microsoft.com/office/officeart/2005/8/layout/orgChart1"/>
    <dgm:cxn modelId="{808BB22D-F7AA-4E1C-9724-20E634247A8C}" type="presOf" srcId="{0995A2E3-0901-4DB1-B970-376B2E4006D1}" destId="{5A747205-C3F6-4D4A-B739-6135E3BDFDEF}" srcOrd="1" destOrd="0" presId="urn:microsoft.com/office/officeart/2005/8/layout/orgChart1"/>
    <dgm:cxn modelId="{808D7C2E-E77B-4DDD-BDAD-BCF2A56028F3}" type="presOf" srcId="{4EDFDD96-7D03-4644-B893-2DE9B7516A86}" destId="{3CB81659-FE3C-423B-9CBD-B42FC5FE3EA0}" srcOrd="0" destOrd="0" presId="urn:microsoft.com/office/officeart/2005/8/layout/orgChart1"/>
    <dgm:cxn modelId="{B92B522F-B1AC-4084-8435-05E3C9E7FBC1}" srcId="{4D29C077-1695-455C-9DAA-E15887E6F57B}" destId="{141B889D-94F1-45C1-B73E-13B1197CCCF8}" srcOrd="1" destOrd="0" parTransId="{16CD9583-BD21-4156-92D6-71CDB340D1AD}" sibTransId="{FD784D90-C615-46FC-910F-FBF76A3078C0}"/>
    <dgm:cxn modelId="{38870130-B653-4CB4-AA6B-8C2DE7DF901D}" type="presOf" srcId="{164BE56B-4369-439C-BDA1-AC866650347E}" destId="{6B9387C3-2537-4FE2-8085-C859547936ED}" srcOrd="0" destOrd="0" presId="urn:microsoft.com/office/officeart/2005/8/layout/orgChart1"/>
    <dgm:cxn modelId="{C89D3030-2EF7-4F25-B16E-6703010CC254}" type="presOf" srcId="{E2157045-4CE0-40CE-9C58-F4043DF91E33}" destId="{1B7F2636-2E39-4D22-BF8C-4574EEF2DA91}" srcOrd="0" destOrd="0" presId="urn:microsoft.com/office/officeart/2005/8/layout/orgChart1"/>
    <dgm:cxn modelId="{A1473330-2A6E-4D6E-A30F-F95BFCC5A8A1}" type="presOf" srcId="{FA075ABC-5CA4-4216-8E88-E8C82245409F}" destId="{250F3822-B3AA-4407-90AE-B2B8D5EF00A9}" srcOrd="0" destOrd="0" presId="urn:microsoft.com/office/officeart/2005/8/layout/orgChart1"/>
    <dgm:cxn modelId="{69E04E30-9019-4188-98C4-3A8AEBDBB9D6}" type="presOf" srcId="{85451313-C917-4F47-86D0-45E28E549CBF}" destId="{E1649481-31C2-4E1C-A6F3-BCDF01D59BD2}" srcOrd="0" destOrd="0" presId="urn:microsoft.com/office/officeart/2005/8/layout/orgChart1"/>
    <dgm:cxn modelId="{062A6B31-F121-45CD-BD7F-52489EC801F8}" type="presOf" srcId="{8BB75C25-BB24-48E5-95A1-BDDD2AD67385}" destId="{3A2A1C1F-CABC-4C98-B728-F262323AA994}" srcOrd="0" destOrd="0" presId="urn:microsoft.com/office/officeart/2005/8/layout/orgChart1"/>
    <dgm:cxn modelId="{5C4B1732-DB3A-4EA4-8581-DA6339469349}" type="presOf" srcId="{9C1E4FCB-B7F4-4214-A13D-EB34EE3750D7}" destId="{36897410-9752-4558-8045-59EAE8009D91}" srcOrd="0" destOrd="0" presId="urn:microsoft.com/office/officeart/2005/8/layout/orgChart1"/>
    <dgm:cxn modelId="{36736F34-E94F-4DD5-988A-5F4E43072751}" type="presOf" srcId="{F9F2A175-3F9B-492A-AD89-F9ADF1AA7A09}" destId="{5D899EB1-B601-4B33-9059-E0DEFEEE5318}" srcOrd="0" destOrd="0" presId="urn:microsoft.com/office/officeart/2005/8/layout/orgChart1"/>
    <dgm:cxn modelId="{ECD9BF35-09D7-4529-8793-8B237D1D23AE}" type="presOf" srcId="{4D29C077-1695-455C-9DAA-E15887E6F57B}" destId="{5368EF9E-E26F-497A-B704-8C2CE5D835FD}" srcOrd="0" destOrd="0" presId="urn:microsoft.com/office/officeart/2005/8/layout/orgChart1"/>
    <dgm:cxn modelId="{88B9A436-20B9-4ADC-B8AF-A1BC491FC4B7}" type="presOf" srcId="{DBA8929B-46BA-404E-A3FA-7CF913B88C72}" destId="{30BF917B-30C7-4244-BCF5-B6609692DE4D}" srcOrd="1" destOrd="0" presId="urn:microsoft.com/office/officeart/2005/8/layout/orgChart1"/>
    <dgm:cxn modelId="{7E914837-EF2A-4EA4-AADB-1947E60BCB50}" type="presOf" srcId="{95040E2D-3B14-4838-BEEC-F567F54E210A}" destId="{09DDE27A-7945-43B7-A1B3-41101585F0CD}" srcOrd="1" destOrd="0" presId="urn:microsoft.com/office/officeart/2005/8/layout/orgChart1"/>
    <dgm:cxn modelId="{DE9C8239-0598-4C48-90A2-01751F1B2D4D}" srcId="{4EDFDD96-7D03-4644-B893-2DE9B7516A86}" destId="{E2EC6A85-58E6-4744-B75D-3324C60D8EE8}" srcOrd="0" destOrd="0" parTransId="{B3501234-EF80-4869-A279-C89BC86861D2}" sibTransId="{10EFCF7D-53F5-4063-BC87-A0BF36C60784}"/>
    <dgm:cxn modelId="{90982640-C2A9-47CE-BE8C-6343EFEECEA3}" type="presOf" srcId="{B3F45023-E1E3-43C0-B67F-AD1E7AC51078}" destId="{4AD3C1C4-D9EA-4B51-B2F8-F5F336E1219A}" srcOrd="0" destOrd="0" presId="urn:microsoft.com/office/officeart/2005/8/layout/orgChart1"/>
    <dgm:cxn modelId="{7241A540-84B9-4248-A8C9-589551961BC5}" srcId="{8BB75C25-BB24-48E5-95A1-BDDD2AD67385}" destId="{03DF699C-3176-485E-B584-5BC85EC703ED}" srcOrd="2" destOrd="0" parTransId="{FDDB7EEE-AB02-47E4-B007-CB2A762CB7F9}" sibTransId="{C3CA3D16-3F50-4C85-8F9B-29F6F52233B6}"/>
    <dgm:cxn modelId="{7DEED640-6810-4797-B90D-D3823279C4C0}" type="presOf" srcId="{4661214A-AF71-4F01-B5B7-3BAE62E034B1}" destId="{2BE8EFB2-4965-4609-B1C2-1F507D9025F0}" srcOrd="0" destOrd="0" presId="urn:microsoft.com/office/officeart/2005/8/layout/orgChart1"/>
    <dgm:cxn modelId="{3CA3645B-6E14-410E-AAC4-2ECD8D545A82}" type="presOf" srcId="{52322AC1-C0CA-41C2-AF77-D47B568609DC}" destId="{9BEC86F9-D6A7-4983-86A8-08577B7FE900}" srcOrd="0" destOrd="0" presId="urn:microsoft.com/office/officeart/2005/8/layout/orgChart1"/>
    <dgm:cxn modelId="{0199475B-7199-410F-BD02-91B9F19317ED}" type="presOf" srcId="{1182CA2F-4565-428E-AE54-DA4AC822DEC1}" destId="{3A9512E9-E1C5-4380-BA7C-8E54B5E137DF}" srcOrd="0" destOrd="0" presId="urn:microsoft.com/office/officeart/2005/8/layout/orgChart1"/>
    <dgm:cxn modelId="{9245245D-FB30-4210-A1C8-0882868A3FF5}" type="presOf" srcId="{95643014-9364-4ED7-A23C-11FF87634454}" destId="{385FC982-988E-4302-98BB-D7460D5505EC}" srcOrd="1" destOrd="0" presId="urn:microsoft.com/office/officeart/2005/8/layout/orgChart1"/>
    <dgm:cxn modelId="{0FF47A5D-144D-4A0B-AF3E-0FE5456F2EA2}" type="presOf" srcId="{CB1CFF7C-42F1-4A09-8B31-0773BB970F24}" destId="{7BD786B8-780D-4619-A5E3-357F0EDAE2E4}" srcOrd="0" destOrd="0" presId="urn:microsoft.com/office/officeart/2005/8/layout/orgChart1"/>
    <dgm:cxn modelId="{8644AD5F-31F0-4DBC-86E2-5892541AD8EE}" type="presOf" srcId="{9792CF75-292C-4BCA-A2CF-C2FA68F001BD}" destId="{B935FBDA-E2AB-49CA-8CF4-754257839CD4}" srcOrd="0" destOrd="0" presId="urn:microsoft.com/office/officeart/2005/8/layout/orgChart1"/>
    <dgm:cxn modelId="{9F4D1261-A124-417B-8ACF-0B2415C3D7AA}" srcId="{8D244D8F-C792-40BC-A511-7DE39E45E194}" destId="{6783568B-99BF-4E7F-9DB1-999456FB7611}" srcOrd="4" destOrd="0" parTransId="{62BC5DAA-1270-4DE7-9F30-D69FE871551F}" sibTransId="{B24F2C04-1633-427F-AE66-2C6AA4E5EEEB}"/>
    <dgm:cxn modelId="{F7BEDB41-B360-48B2-B6B5-F2645A4AC039}" type="presOf" srcId="{141B889D-94F1-45C1-B73E-13B1197CCCF8}" destId="{12FDCBF9-3BED-482D-906E-5A09DB8EAF1F}" srcOrd="0" destOrd="0" presId="urn:microsoft.com/office/officeart/2005/8/layout/orgChart1"/>
    <dgm:cxn modelId="{595C4E62-E8D0-49F9-AA39-5E75115E599A}" type="presOf" srcId="{6ED531EE-0BC7-4118-B43F-7D8D436633A8}" destId="{422A5DCC-F310-4179-AC5C-3A5AA9AB3509}" srcOrd="0" destOrd="0" presId="urn:microsoft.com/office/officeart/2005/8/layout/orgChart1"/>
    <dgm:cxn modelId="{444A7D42-54F7-4918-AE0A-6413BF589CDF}" srcId="{D9DCBD92-CF2D-4FA3-9650-A94983E94475}" destId="{CE2A3EF5-315E-4A47-8675-C5092FBEAE78}" srcOrd="2" destOrd="0" parTransId="{3081B60C-E0C6-4F93-AEC8-9ADDE71E84C6}" sibTransId="{EDA7B2DF-D388-4EE9-B15A-A7BF1DDB6639}"/>
    <dgm:cxn modelId="{C552F942-1B7C-4AFB-821A-4D72C958D1CB}" srcId="{0102E4FE-20A8-44CB-9044-37DB2019EEF7}" destId="{8D244D8F-C792-40BC-A511-7DE39E45E194}" srcOrd="0" destOrd="0" parTransId="{D6922E7D-1806-4E3F-8FA5-876C5E53C8A8}" sibTransId="{0BEBD46A-8D07-492E-B8B0-DBB8BC9382EB}"/>
    <dgm:cxn modelId="{4A111A43-B2F1-4F57-B748-70E76AC93448}" type="presOf" srcId="{B71ED880-875D-465D-A2D5-7EFCE170B8F3}" destId="{A197E7E5-E989-4B2D-830A-0E09071FB3E2}" srcOrd="0" destOrd="0" presId="urn:microsoft.com/office/officeart/2005/8/layout/orgChart1"/>
    <dgm:cxn modelId="{FF2C5763-C03E-4C18-9661-7B269770897E}" type="presOf" srcId="{141B889D-94F1-45C1-B73E-13B1197CCCF8}" destId="{FC89D3C7-0538-47F7-AF35-0B577D30F034}" srcOrd="1" destOrd="0" presId="urn:microsoft.com/office/officeart/2005/8/layout/orgChart1"/>
    <dgm:cxn modelId="{4928C843-6EEE-45B8-A125-7E32238ABB51}" srcId="{D5E38E4B-FED5-4A0A-B8AA-8728BED387A3}" destId="{9C1E4FCB-B7F4-4214-A13D-EB34EE3750D7}" srcOrd="2" destOrd="0" parTransId="{4AC91895-1328-47B6-95A4-257A3E94D935}" sibTransId="{F05C564A-B227-4D73-83A9-37016013B933}"/>
    <dgm:cxn modelId="{5F576764-7FDA-4655-AD4C-AA88F8CAC47A}" type="presOf" srcId="{DCA270CC-2A75-49E7-89B8-4B3AC5996B9D}" destId="{B03BF5AB-02EB-4D85-9282-46894415A7C4}" srcOrd="0" destOrd="0" presId="urn:microsoft.com/office/officeart/2005/8/layout/orgChart1"/>
    <dgm:cxn modelId="{6AD01F65-6C9B-4B63-A547-42D4B20D3C2D}" type="presOf" srcId="{DC6688E7-45CF-4D5C-9D56-6B7EDCF265A6}" destId="{8361F233-B12E-43F6-BC39-A98D94AE39A7}" srcOrd="0" destOrd="0" presId="urn:microsoft.com/office/officeart/2005/8/layout/orgChart1"/>
    <dgm:cxn modelId="{8DC69C45-FADD-4292-94B9-73B4EEB6A6F6}" type="presOf" srcId="{E0114C20-3A39-4242-9BD4-7E3A42C0079E}" destId="{6E904246-481F-4578-AD91-764D29E6D564}" srcOrd="0" destOrd="0" presId="urn:microsoft.com/office/officeart/2005/8/layout/orgChart1"/>
    <dgm:cxn modelId="{0B06A545-F7FA-4E92-9E10-17CE2A337029}" srcId="{424E63FB-7A5E-47ED-BA8E-381C8BEA7B4D}" destId="{F02C7DD0-38B5-42D3-B052-77C4D943365F}" srcOrd="2" destOrd="0" parTransId="{3C430132-43C1-47EF-A156-1D4161537981}" sibTransId="{50138A85-8EAD-497B-B628-3150CB39B50A}"/>
    <dgm:cxn modelId="{0E791946-38FC-4E0E-AE73-90ADB91EFB4C}" type="presOf" srcId="{86AF350A-A785-4BDD-9C13-1E90196942B4}" destId="{61BD3AC5-6CF6-4CA9-B7DA-7A4EF7D20243}" srcOrd="1" destOrd="0" presId="urn:microsoft.com/office/officeart/2005/8/layout/orgChart1"/>
    <dgm:cxn modelId="{E8CAFC66-D95E-4317-A7A2-C8AB6D6BA112}" srcId="{025397C8-278A-4FB7-A986-A1B487EA1563}" destId="{602FD50F-130C-4E3A-A16E-AF79EACA12AD}" srcOrd="1" destOrd="0" parTransId="{7B0E8674-AF5F-4D43-BDCB-E4D39514593E}" sibTransId="{D4ED3A0A-0C59-4430-AAD1-BDBBC840422D}"/>
    <dgm:cxn modelId="{71E52267-2C6C-4C43-9C26-BB7FE9F94DFB}" type="presOf" srcId="{D6922E7D-1806-4E3F-8FA5-876C5E53C8A8}" destId="{7BA6A4CA-F40E-4826-9E97-95062F5DD647}" srcOrd="0" destOrd="0" presId="urn:microsoft.com/office/officeart/2005/8/layout/orgChart1"/>
    <dgm:cxn modelId="{009C7647-861B-40FF-9CC4-D67BC74F6E48}" type="presOf" srcId="{6783568B-99BF-4E7F-9DB1-999456FB7611}" destId="{A0FFCFD9-314D-4AA7-8A74-9E28F81A2E49}" srcOrd="0" destOrd="0" presId="urn:microsoft.com/office/officeart/2005/8/layout/orgChart1"/>
    <dgm:cxn modelId="{21A35747-4880-4F6C-876E-A17AF373ED45}" type="presOf" srcId="{971055BB-A4A3-40DF-B506-54605DDFB45E}" destId="{8106893D-3A89-48AC-99BF-9C6C7C662C1D}" srcOrd="0" destOrd="0" presId="urn:microsoft.com/office/officeart/2005/8/layout/orgChart1"/>
    <dgm:cxn modelId="{E7768847-D908-4413-8759-17C452355936}" type="presOf" srcId="{C86FF9A0-D069-4D8F-B54B-6C17D808ADD9}" destId="{BE2FD68E-17D1-4865-A7B1-0401D4588AFE}" srcOrd="1" destOrd="0" presId="urn:microsoft.com/office/officeart/2005/8/layout/orgChart1"/>
    <dgm:cxn modelId="{DDD71448-F93D-4DC6-94D1-442C86DBB76A}" type="presOf" srcId="{3C430132-43C1-47EF-A156-1D4161537981}" destId="{86E8989D-6C94-463D-9588-B288E8BD09F3}" srcOrd="0" destOrd="0" presId="urn:microsoft.com/office/officeart/2005/8/layout/orgChart1"/>
    <dgm:cxn modelId="{F879D648-8F1E-4D40-A9D4-7480C2C369D7}" type="presOf" srcId="{FA075ABC-5CA4-4216-8E88-E8C82245409F}" destId="{3D5DCA66-EC03-4D13-94BA-59130EF8F053}" srcOrd="1" destOrd="0" presId="urn:microsoft.com/office/officeart/2005/8/layout/orgChart1"/>
    <dgm:cxn modelId="{0061B149-FD04-4DB0-913D-794FAE4DBA34}" type="presOf" srcId="{0BCFA6B9-4E38-4DF4-9665-C5288F643973}" destId="{0F5DED51-8461-4FB1-B14E-D45B6BB35082}" srcOrd="0" destOrd="0" presId="urn:microsoft.com/office/officeart/2005/8/layout/orgChart1"/>
    <dgm:cxn modelId="{414A6D6A-9C21-416A-8B52-AD045B7830D0}" type="presOf" srcId="{B926E79E-B2AB-4C90-BFC9-A30EA3676EEA}" destId="{E6A192A7-97A5-4540-B81A-84E8F308CDFC}" srcOrd="0" destOrd="0" presId="urn:microsoft.com/office/officeart/2005/8/layout/orgChart1"/>
    <dgm:cxn modelId="{B0D6D36A-4B03-427D-9392-D76DBA6F05CB}" srcId="{8D244D8F-C792-40BC-A511-7DE39E45E194}" destId="{38904395-7290-40C3-B247-4545D6A20AAB}" srcOrd="1" destOrd="0" parTransId="{4AB2621C-C1A1-4E6F-8BE4-44B029456772}" sibTransId="{55E433AE-AE66-4F31-ABAA-E6EAB73129AA}"/>
    <dgm:cxn modelId="{8856D64A-8E4C-492F-98E8-19CF0A0ADB32}" srcId="{0CFB7DD9-0DA5-4E4C-8DA3-9F1B6119F4C6}" destId="{0102E4FE-20A8-44CB-9044-37DB2019EEF7}" srcOrd="0" destOrd="0" parTransId="{2EDE4DE6-9005-475A-8D27-D82D00EB941C}" sibTransId="{E7C380F8-F032-4E10-986A-DDA7FC09E32D}"/>
    <dgm:cxn modelId="{B7D1D96A-3311-42A6-95E4-ADEB798CB0AE}" srcId="{5901CCA6-EF9E-4F05-B532-AFA0A830E4D5}" destId="{23A96D7A-299B-4FA1-93D0-41E5DC2BDB0F}" srcOrd="0" destOrd="0" parTransId="{E9B60A7F-1B58-4875-83A0-42F3D1E4F7F2}" sibTransId="{2B4DE4BC-1F11-40B8-BA40-4D746CA32CA5}"/>
    <dgm:cxn modelId="{8462B66B-C676-4C39-BBAB-05B72AF2E2B5}" type="presOf" srcId="{D1202378-9FC3-4AC3-BEDF-808E27AD479B}" destId="{D6F69DBC-B0FC-4A08-AC6B-4A6F9030A7BD}" srcOrd="0" destOrd="0" presId="urn:microsoft.com/office/officeart/2005/8/layout/orgChart1"/>
    <dgm:cxn modelId="{5ED8AB6C-A119-4327-92A1-099C2EC4BC36}" type="presOf" srcId="{14FC8420-D447-4CEA-A3B7-61E9B3749D8E}" destId="{7E0A6FE1-6E00-44A1-81D8-0EA2A6CD2AF3}" srcOrd="1" destOrd="0" presId="urn:microsoft.com/office/officeart/2005/8/layout/orgChart1"/>
    <dgm:cxn modelId="{44C9B14D-97B5-447C-8116-748CFB94EF0C}" type="presOf" srcId="{B0D67059-EF7D-43CE-8506-8E9B5868DB0C}" destId="{4DEEC77A-A0DC-4AFB-B445-C99CA3365BBD}" srcOrd="1" destOrd="0" presId="urn:microsoft.com/office/officeart/2005/8/layout/orgChart1"/>
    <dgm:cxn modelId="{CF1FBD4D-7787-4850-82FD-6C78AEEB16D6}" type="presOf" srcId="{6783568B-99BF-4E7F-9DB1-999456FB7611}" destId="{57FFE383-3836-4EDE-813B-E105B2A6D5A6}" srcOrd="1" destOrd="0" presId="urn:microsoft.com/office/officeart/2005/8/layout/orgChart1"/>
    <dgm:cxn modelId="{BD7C936E-0D7B-4EA2-A584-F455BD02D904}" type="presOf" srcId="{D9DCBD92-CF2D-4FA3-9650-A94983E94475}" destId="{DA2E93DC-BB1D-4564-889B-BA004AC786E0}" srcOrd="0" destOrd="0" presId="urn:microsoft.com/office/officeart/2005/8/layout/orgChart1"/>
    <dgm:cxn modelId="{3D7DD36E-03E9-42F3-B684-10B7CEF98A4F}" srcId="{86AF350A-A785-4BDD-9C13-1E90196942B4}" destId="{C2EFE54E-DDBB-4937-AAAF-B8E47F74D697}" srcOrd="2" destOrd="0" parTransId="{DCA270CC-2A75-49E7-89B8-4B3AC5996B9D}" sibTransId="{5DE7361D-5FEF-405C-B0DD-35377479C1DF}"/>
    <dgm:cxn modelId="{41461A6F-3FB0-450E-B1E7-684A4F850F42}" type="presOf" srcId="{BA15DC88-B838-4D5F-9BAB-AEC02AE52521}" destId="{3E37B074-43F2-410D-A821-9E917734EEF5}" srcOrd="0" destOrd="0" presId="urn:microsoft.com/office/officeart/2005/8/layout/orgChart1"/>
    <dgm:cxn modelId="{B5DB2070-84A7-4844-88D7-3ED7D7495686}" type="presOf" srcId="{1FA32465-79CA-43E4-925C-FD9E6E9DB5C8}" destId="{0A7F2A46-750F-45A2-923B-D1292802EFDC}" srcOrd="0" destOrd="0" presId="urn:microsoft.com/office/officeart/2005/8/layout/orgChart1"/>
    <dgm:cxn modelId="{0060CB53-C15C-459C-8333-6A063C8A178D}" type="presOf" srcId="{EB3954B5-74F4-4D11-9DFF-EA78507987CB}" destId="{85AD923B-4E2C-411D-9E05-6D278E6E3C31}" srcOrd="0" destOrd="0" presId="urn:microsoft.com/office/officeart/2005/8/layout/orgChart1"/>
    <dgm:cxn modelId="{1EF57F54-7FF1-4BCA-B554-F47525DAC682}" type="presOf" srcId="{8C33E48E-334E-4A5A-8828-C0B9BC12F4DA}" destId="{77F7510F-B277-4906-B909-89B1197C6DDE}" srcOrd="0" destOrd="0" presId="urn:microsoft.com/office/officeart/2005/8/layout/orgChart1"/>
    <dgm:cxn modelId="{FA008174-6CF0-466E-98A0-97CB4007ED32}" type="presOf" srcId="{D6F5CD79-D3E1-4B19-9C25-479267A00537}" destId="{C0FC47CA-1988-459D-A473-7CA219823B7E}" srcOrd="1" destOrd="0" presId="urn:microsoft.com/office/officeart/2005/8/layout/orgChart1"/>
    <dgm:cxn modelId="{5D389D54-A2F2-4C4E-A0BF-FA3070C0117F}" type="presOf" srcId="{7B0E8674-AF5F-4D43-BDCB-E4D39514593E}" destId="{47A21D83-0961-4F83-B6CA-9111DF4BFE52}" srcOrd="0" destOrd="0" presId="urn:microsoft.com/office/officeart/2005/8/layout/orgChart1"/>
    <dgm:cxn modelId="{BE68DC54-234E-40CF-A5BB-D05FB7CA7DA4}" type="presOf" srcId="{E2EC6A85-58E6-4744-B75D-3324C60D8EE8}" destId="{07D3882F-C235-4ADF-85FA-E879C777A8BD}" srcOrd="0" destOrd="0" presId="urn:microsoft.com/office/officeart/2005/8/layout/orgChart1"/>
    <dgm:cxn modelId="{71E1FC74-41F8-4DF4-A6BB-6C89D145CA37}" srcId="{141B889D-94F1-45C1-B73E-13B1197CCCF8}" destId="{0AE7F9E1-765F-489C-8C16-C7BC49A797D9}" srcOrd="0" destOrd="0" parTransId="{3D8434B0-DEC5-4689-B419-C2351767EFE8}" sibTransId="{CF6AFA8F-6A63-4640-9B8A-9183306EE590}"/>
    <dgm:cxn modelId="{33AE2555-4F2E-48A5-820C-7C3275D578CC}" type="presOf" srcId="{3F1B0426-4EA2-44D9-B786-B19B57D5CDEA}" destId="{1CAB3E94-5855-4109-A43C-7105AD6B26D0}" srcOrd="0" destOrd="0" presId="urn:microsoft.com/office/officeart/2005/8/layout/orgChart1"/>
    <dgm:cxn modelId="{87F57775-E1CB-4C77-B610-15C932BBF66E}" srcId="{424E63FB-7A5E-47ED-BA8E-381C8BEA7B4D}" destId="{92338313-9670-40FB-8040-D372407E9060}" srcOrd="0" destOrd="0" parTransId="{2EA6147A-4097-4648-9D83-1C15EC3F6E1C}" sibTransId="{B4F18F56-A5B4-46E0-A7B1-FB49C24421E2}"/>
    <dgm:cxn modelId="{4A2D8755-0CFA-4659-993A-B10BB913460D}" srcId="{0102E4FE-20A8-44CB-9044-37DB2019EEF7}" destId="{0E0D5914-9733-4438-B53B-E54AED87BD25}" srcOrd="3" destOrd="0" parTransId="{C025D0B3-3453-4AB2-8C0D-9A93251A872D}" sibTransId="{D8EA48FB-2A30-458D-BF2E-504D6379A563}"/>
    <dgm:cxn modelId="{A408C955-36A2-4BC4-89EE-0D024A0A01CB}" type="presOf" srcId="{4D29C077-1695-455C-9DAA-E15887E6F57B}" destId="{05AACB28-368C-4D12-A4D8-69764BDEC4D2}" srcOrd="1" destOrd="0" presId="urn:microsoft.com/office/officeart/2005/8/layout/orgChart1"/>
    <dgm:cxn modelId="{5FA28F56-013D-472F-83B5-8187D8315481}" srcId="{86AF350A-A785-4BDD-9C13-1E90196942B4}" destId="{85C9611E-0EC3-4C90-8306-3D5D07DB36F8}" srcOrd="1" destOrd="0" parTransId="{4661214A-AF71-4F01-B5B7-3BAE62E034B1}" sibTransId="{764D2B81-8F9C-4694-8817-C29E2CC9CA1B}"/>
    <dgm:cxn modelId="{82C0AC76-9A8B-4D03-A5E9-F9187709ACDD}" type="presOf" srcId="{C86FF9A0-D069-4D8F-B54B-6C17D808ADD9}" destId="{6AF35474-32B5-434B-BA60-39ACB08BD7D8}" srcOrd="0" destOrd="0" presId="urn:microsoft.com/office/officeart/2005/8/layout/orgChart1"/>
    <dgm:cxn modelId="{5674EC56-7284-401F-B9D6-9A37111DF4F8}" srcId="{8D244D8F-C792-40BC-A511-7DE39E45E194}" destId="{939AE253-A7E2-4EBA-B997-5913C2301F5A}" srcOrd="0" destOrd="0" parTransId="{CB1CFF7C-42F1-4A09-8B31-0773BB970F24}" sibTransId="{8DE7717C-7BB8-4CCA-B0CF-5548E227F675}"/>
    <dgm:cxn modelId="{0D177177-CC49-45DA-9B1D-0C68337694D7}" type="presOf" srcId="{602FD50F-130C-4E3A-A16E-AF79EACA12AD}" destId="{9F318731-EE01-4314-B79B-B28E42749C00}" srcOrd="1" destOrd="0" presId="urn:microsoft.com/office/officeart/2005/8/layout/orgChart1"/>
    <dgm:cxn modelId="{1BB35457-CDB6-43B3-BBF3-F7F1768769B9}" type="presOf" srcId="{940DC769-2DA7-478D-B2CE-100E607E0900}" destId="{7257938E-D889-44E8-903E-64F781AD5445}" srcOrd="0" destOrd="0" presId="urn:microsoft.com/office/officeart/2005/8/layout/orgChart1"/>
    <dgm:cxn modelId="{67E77658-FFB6-4A88-B6C3-41392E475930}" type="presOf" srcId="{0995A2E3-0901-4DB1-B970-376B2E4006D1}" destId="{133F1FC1-C5F4-4978-BE80-4F349F36D878}" srcOrd="0" destOrd="0" presId="urn:microsoft.com/office/officeart/2005/8/layout/orgChart1"/>
    <dgm:cxn modelId="{D1D18D78-F796-4DE9-8B93-196A061D0B16}" type="presOf" srcId="{38904395-7290-40C3-B247-4545D6A20AAB}" destId="{F81015D0-3251-4752-8F0C-11AF1FC46F7B}" srcOrd="0" destOrd="0" presId="urn:microsoft.com/office/officeart/2005/8/layout/orgChart1"/>
    <dgm:cxn modelId="{9130E858-8CB9-455C-B201-B41D81602AF2}" type="presOf" srcId="{E2EA6942-20E6-4D51-99FA-C77C5E746936}" destId="{3CD38DC8-3D55-42DE-AD09-72BD953ED7FB}" srcOrd="0" destOrd="0" presId="urn:microsoft.com/office/officeart/2005/8/layout/orgChart1"/>
    <dgm:cxn modelId="{B8148879-7E8B-4EBB-B4C5-F94F35DB8242}" type="presOf" srcId="{3AAD358E-6C2A-45F6-8AEA-D2444BC59F19}" destId="{70257897-199B-45F9-8E97-4C591BBE7B3F}" srcOrd="0" destOrd="0" presId="urn:microsoft.com/office/officeart/2005/8/layout/orgChart1"/>
    <dgm:cxn modelId="{8A23767A-9C3F-4E56-B59C-7BCEF096F684}" srcId="{025397C8-278A-4FB7-A986-A1B487EA1563}" destId="{E5E9916D-2D7F-4C7A-A808-9D88F35BEC5A}" srcOrd="2" destOrd="0" parTransId="{6EAA41E0-1525-42E3-A200-48C0FE921E72}" sibTransId="{4AC5E256-0BCF-40E2-AEBD-A2D1A83F40E2}"/>
    <dgm:cxn modelId="{A3DA7F5A-5DB7-430C-A7E5-4309E3E7E1B1}" type="presOf" srcId="{92338313-9670-40FB-8040-D372407E9060}" destId="{8DE7EDC3-030C-4699-90B7-316F8F127CEA}" srcOrd="1" destOrd="0" presId="urn:microsoft.com/office/officeart/2005/8/layout/orgChart1"/>
    <dgm:cxn modelId="{FAD9897A-D3F6-463F-94FA-BCC36CE5020F}" type="presOf" srcId="{0E0D5914-9733-4438-B53B-E54AED87BD25}" destId="{FA21B6A8-6AD6-40C5-B832-097165E0AE14}" srcOrd="1" destOrd="0" presId="urn:microsoft.com/office/officeart/2005/8/layout/orgChart1"/>
    <dgm:cxn modelId="{A07DF47A-E69E-495D-8151-1979DE0A5DDB}" srcId="{8BB75C25-BB24-48E5-95A1-BDDD2AD67385}" destId="{9AC19E5E-60C4-4CCF-A20E-E4814BC2FE9B}" srcOrd="1" destOrd="0" parTransId="{699FA3BB-5DDB-4810-8B78-2E6BCAFDC511}" sibTransId="{9F54CECE-D9A6-4EF2-828B-C01621ECF61C}"/>
    <dgm:cxn modelId="{4387ED7D-5F3B-46B7-B12F-728CA68BFDFD}" type="presOf" srcId="{602FD50F-130C-4E3A-A16E-AF79EACA12AD}" destId="{D2B32FE8-B300-4E27-B7E2-297F3F999D4E}" srcOrd="0" destOrd="0" presId="urn:microsoft.com/office/officeart/2005/8/layout/orgChart1"/>
    <dgm:cxn modelId="{AD7A2B7E-65A4-458E-9A02-A18E82620DF8}" srcId="{D5E38E4B-FED5-4A0A-B8AA-8728BED387A3}" destId="{B3F45023-E1E3-43C0-B67F-AD1E7AC51078}" srcOrd="0" destOrd="0" parTransId="{E5DFCF2D-8524-4D8E-AB8B-E3229044C96F}" sibTransId="{C9664199-173B-4D48-A43A-0784E524AFD3}"/>
    <dgm:cxn modelId="{3B8C2C7E-1AC5-4D33-8EB4-62FE85A6FAAC}" type="presOf" srcId="{0B7A893D-34B0-412E-AAF0-3244FF37E62F}" destId="{9DEDF8A8-C04F-4AC1-8A19-9C5D980141EF}" srcOrd="1" destOrd="0" presId="urn:microsoft.com/office/officeart/2005/8/layout/orgChart1"/>
    <dgm:cxn modelId="{407F327E-0CD4-49F5-8BFA-2CD0A97913D9}" srcId="{8D244D8F-C792-40BC-A511-7DE39E45E194}" destId="{4D2365D6-7383-4721-8E26-F4225A31DE27}" srcOrd="3" destOrd="0" parTransId="{940DC769-2DA7-478D-B2CE-100E607E0900}" sibTransId="{9BFC231E-1BFE-4DE4-9AE8-63DE30E245E2}"/>
    <dgm:cxn modelId="{0D060F7F-D22F-469A-B962-517FC4A8C9C4}" type="presOf" srcId="{905ED552-0ABB-46DE-A60F-9DB1B7EBD348}" destId="{9A7C5AEB-3E05-469A-95FE-22BE39540AE1}" srcOrd="0" destOrd="0" presId="urn:microsoft.com/office/officeart/2005/8/layout/orgChart1"/>
    <dgm:cxn modelId="{25A7167F-DF6B-457E-B8FE-9C31F86E5923}" srcId="{97F38E1B-8B0A-4C1C-BB0E-8DC2824BBDEE}" destId="{86AF350A-A785-4BDD-9C13-1E90196942B4}" srcOrd="0" destOrd="0" parTransId="{B7B3C6AE-DFBB-46A9-8CF1-A1BD803B9409}" sibTransId="{E2A53098-4FAB-4666-9DF9-9FFC35DA3367}"/>
    <dgm:cxn modelId="{B03B967F-C3CE-4D91-8C3D-E05DB935023E}" type="presOf" srcId="{3D8434B0-DEC5-4689-B419-C2351767EFE8}" destId="{169005B3-517D-446B-8623-5C28558CA7A7}" srcOrd="0" destOrd="0" presId="urn:microsoft.com/office/officeart/2005/8/layout/orgChart1"/>
    <dgm:cxn modelId="{78F8A77F-3D5D-443E-AB45-7507602FEAFC}" type="presOf" srcId="{E2EC6A85-58E6-4744-B75D-3324C60D8EE8}" destId="{4AFAFC3D-D935-4174-82BF-8097E9CC3978}" srcOrd="1" destOrd="0" presId="urn:microsoft.com/office/officeart/2005/8/layout/orgChart1"/>
    <dgm:cxn modelId="{F5434380-EE7A-4C58-85E9-DB2A7BFB5C4F}" type="presOf" srcId="{E1527C33-CFAA-4D8C-96C4-EE6231657CF0}" destId="{BFBC2126-85D5-4905-9E09-CD7F082453CB}" srcOrd="0" destOrd="0" presId="urn:microsoft.com/office/officeart/2005/8/layout/orgChart1"/>
    <dgm:cxn modelId="{90A22982-35F0-4690-94C9-FC7C7030A57B}" srcId="{0102E4FE-20A8-44CB-9044-37DB2019EEF7}" destId="{14FC8420-D447-4CEA-A3B7-61E9B3749D8E}" srcOrd="10" destOrd="0" parTransId="{EC92CB9E-5DFE-4287-A9E0-4954C06F656B}" sibTransId="{E9188AE6-C38D-49A6-B8A2-AFBE7B3ACBE6}"/>
    <dgm:cxn modelId="{D517D982-681A-4DAE-9E56-05D025F2E211}" type="presOf" srcId="{424E63FB-7A5E-47ED-BA8E-381C8BEA7B4D}" destId="{14354306-A96D-4F9B-B8CB-A1923889D20A}" srcOrd="1" destOrd="0" presId="urn:microsoft.com/office/officeart/2005/8/layout/orgChart1"/>
    <dgm:cxn modelId="{C88B0785-661D-4872-A092-A6D5614FDF76}" type="presOf" srcId="{F02C7DD0-38B5-42D3-B052-77C4D943365F}" destId="{55EC4157-21BA-4613-8860-42E031585862}" srcOrd="0" destOrd="0" presId="urn:microsoft.com/office/officeart/2005/8/layout/orgChart1"/>
    <dgm:cxn modelId="{E81CE985-107C-46B1-8E6F-793372A7C67F}" srcId="{905ED552-0ABB-46DE-A60F-9DB1B7EBD348}" destId="{52322AC1-C0CA-41C2-AF77-D47B568609DC}" srcOrd="1" destOrd="0" parTransId="{3BEC5FAA-E4C7-4310-8BF8-FD6D6CD14D5D}" sibTransId="{4588D817-B422-419C-9BBD-93DD8ABBE6F3}"/>
    <dgm:cxn modelId="{33CF0486-E025-41B6-8F27-64163D372171}" type="presOf" srcId="{E5E9916D-2D7F-4C7A-A808-9D88F35BEC5A}" destId="{45F7E176-19D1-4464-8B8E-5DA14B89B110}" srcOrd="1" destOrd="0" presId="urn:microsoft.com/office/officeart/2005/8/layout/orgChart1"/>
    <dgm:cxn modelId="{D1030D86-CB23-4D86-BC42-698014A897BB}" type="presOf" srcId="{8AB7F64B-E4EA-46A3-93C5-530B1FAAB3A0}" destId="{521FEAC1-E658-4130-BFDF-12AE10471782}" srcOrd="1" destOrd="0" presId="urn:microsoft.com/office/officeart/2005/8/layout/orgChart1"/>
    <dgm:cxn modelId="{82302886-17A7-429D-8D7C-52E436DEA112}" type="presOf" srcId="{699FA3BB-5DDB-4810-8B78-2E6BCAFDC511}" destId="{679EAA6C-B7F9-45B1-B314-064B1497E450}" srcOrd="0" destOrd="0" presId="urn:microsoft.com/office/officeart/2005/8/layout/orgChart1"/>
    <dgm:cxn modelId="{4E93C486-E90A-41E7-B05E-43F91CB80ADD}" type="presOf" srcId="{14FC8420-D447-4CEA-A3B7-61E9B3749D8E}" destId="{F5C5F184-CBCA-49BB-BB7E-3A0146C211EB}" srcOrd="0" destOrd="0" presId="urn:microsoft.com/office/officeart/2005/8/layout/orgChart1"/>
    <dgm:cxn modelId="{F2F8CE87-B432-4916-B3C1-8E5F38EE889E}" type="presOf" srcId="{D5E38E4B-FED5-4A0A-B8AA-8728BED387A3}" destId="{E962E456-3173-4AC8-9388-5565756FFDF6}" srcOrd="1" destOrd="0" presId="urn:microsoft.com/office/officeart/2005/8/layout/orgChart1"/>
    <dgm:cxn modelId="{79070288-5C9A-4FF0-A4A2-C0FC63E73C51}" type="presOf" srcId="{8AB7F64B-E4EA-46A3-93C5-530B1FAAB3A0}" destId="{CC7BE9CC-9E44-4B05-9B0E-850124C3547A}" srcOrd="0" destOrd="0" presId="urn:microsoft.com/office/officeart/2005/8/layout/orgChart1"/>
    <dgm:cxn modelId="{CE967688-7026-4EBB-B0C1-EB6675E5AE4C}" type="presOf" srcId="{424E63FB-7A5E-47ED-BA8E-381C8BEA7B4D}" destId="{9A681887-5350-4EBE-BD43-C7E4297AB1BB}" srcOrd="0" destOrd="0" presId="urn:microsoft.com/office/officeart/2005/8/layout/orgChart1"/>
    <dgm:cxn modelId="{A7FE1189-2CA3-4F66-BB33-005F1BC7F96D}" type="presOf" srcId="{905ED552-0ABB-46DE-A60F-9DB1B7EBD348}" destId="{43608A5B-3808-436B-B5E2-C7A7C19E947A}" srcOrd="1" destOrd="0" presId="urn:microsoft.com/office/officeart/2005/8/layout/orgChart1"/>
    <dgm:cxn modelId="{3F556089-3E6D-4134-BF8E-D2F6980AA93E}" type="presOf" srcId="{EC6FE534-DC93-4BE9-B221-533498D9AED2}" destId="{F6623B5E-28CD-4799-A9B4-EF636C566661}" srcOrd="1" destOrd="0" presId="urn:microsoft.com/office/officeart/2005/8/layout/orgChart1"/>
    <dgm:cxn modelId="{234D7E89-07F1-497E-8378-F744874A3083}" type="presOf" srcId="{85C9611E-0EC3-4C90-8306-3D5D07DB36F8}" destId="{539C43EC-88FB-4101-BFC8-2FBEBDCB1CFF}" srcOrd="0" destOrd="0" presId="urn:microsoft.com/office/officeart/2005/8/layout/orgChart1"/>
    <dgm:cxn modelId="{770E8D90-516F-4401-BB99-E794D053AAD6}" type="presOf" srcId="{EB3954B5-74F4-4D11-9DFF-EA78507987CB}" destId="{C9DB3AA9-5EBE-4CDD-923A-16B2DED554F2}" srcOrd="1" destOrd="0" presId="urn:microsoft.com/office/officeart/2005/8/layout/orgChart1"/>
    <dgm:cxn modelId="{E0450A93-CBE9-427A-BC18-27EC12232989}" type="presOf" srcId="{B3F45023-E1E3-43C0-B67F-AD1E7AC51078}" destId="{4FD3DBF8-676D-4E03-B8F9-806C982C4A66}" srcOrd="1" destOrd="0" presId="urn:microsoft.com/office/officeart/2005/8/layout/orgChart1"/>
    <dgm:cxn modelId="{89D03694-0C93-4F1C-B1B4-E034EBA6CBA3}" type="presOf" srcId="{69233474-9CCA-431F-ADB6-8A9AC33B9697}" destId="{3957C82B-EF44-4844-A580-BC3F07AD1AAA}" srcOrd="1" destOrd="0" presId="urn:microsoft.com/office/officeart/2005/8/layout/orgChart1"/>
    <dgm:cxn modelId="{F00AE697-1A16-469A-B39D-A23DF3C7DA95}" type="presOf" srcId="{88490267-DE7E-43ED-9BD4-B69E754A61AF}" destId="{B1F44040-471C-47E1-AA4C-3975425FBF91}" srcOrd="0" destOrd="0" presId="urn:microsoft.com/office/officeart/2005/8/layout/orgChart1"/>
    <dgm:cxn modelId="{FA311D98-6CC1-46A7-A06B-FD9A7AA7D2B8}" type="presOf" srcId="{03DF699C-3176-485E-B584-5BC85EC703ED}" destId="{0CE7C8B4-F8E6-429D-8C4A-73E9D60DCB81}" srcOrd="0" destOrd="0" presId="urn:microsoft.com/office/officeart/2005/8/layout/orgChart1"/>
    <dgm:cxn modelId="{BD8A4098-D363-4F86-8817-05EE9013D60E}" srcId="{95040E2D-3B14-4838-BEEC-F567F54E210A}" destId="{EEBC546B-B559-4568-BA01-5B4728E41645}" srcOrd="0" destOrd="0" parTransId="{90B63618-9D9F-4204-8A72-1DEDB9B6A698}" sibTransId="{30517B5D-AB6C-4E1B-B1ED-2E6BBC68EE6B}"/>
    <dgm:cxn modelId="{8F7AF59A-A09C-4519-9E40-16E103BD2262}" srcId="{0102E4FE-20A8-44CB-9044-37DB2019EEF7}" destId="{809B22AA-EB2B-4C4F-82C3-E979FD4CF357}" srcOrd="1" destOrd="0" parTransId="{E2EA6942-20E6-4D51-99FA-C77C5E746936}" sibTransId="{A3E7A7D9-26B8-432D-9CFA-8BAF85BB66C1}"/>
    <dgm:cxn modelId="{F5DE8E9D-0BC3-4BC5-B083-F3D3BE68C28D}" type="presOf" srcId="{900F9B5B-B201-41E8-9F84-B4A949821D1D}" destId="{1F22369C-0260-40DE-A3B5-80071F47CFCB}" srcOrd="0" destOrd="0" presId="urn:microsoft.com/office/officeart/2005/8/layout/orgChart1"/>
    <dgm:cxn modelId="{81FD159E-5A59-47E9-B060-7B6EB6770B16}" srcId="{0102E4FE-20A8-44CB-9044-37DB2019EEF7}" destId="{905ED552-0ABB-46DE-A60F-9DB1B7EBD348}" srcOrd="9" destOrd="0" parTransId="{C0EE7375-36E6-4281-9237-5F5EEB6505C0}" sibTransId="{CB9B60C3-837E-4475-B99D-FCE33FAFF27C}"/>
    <dgm:cxn modelId="{3EA162A4-132D-4878-91E4-70CE79167425}" srcId="{4D29C077-1695-455C-9DAA-E15887E6F57B}" destId="{4EDFDD96-7D03-4644-B893-2DE9B7516A86}" srcOrd="0" destOrd="0" parTransId="{F488A61D-44A8-43AF-8D4D-9D3A28823A7B}" sibTransId="{DE838DFA-5D9A-4E00-863E-4F0DE9AEC1FD}"/>
    <dgm:cxn modelId="{48BB0AA5-8343-45DD-B460-7B85C011C3C5}" type="presOf" srcId="{85C9611E-0EC3-4C90-8306-3D5D07DB36F8}" destId="{37EBA9EA-1D7F-4485-92CD-286075E5D657}" srcOrd="1" destOrd="0" presId="urn:microsoft.com/office/officeart/2005/8/layout/orgChart1"/>
    <dgm:cxn modelId="{D8EA20A6-B6D0-4295-B2C8-34CD0A3BC19C}" type="presOf" srcId="{69233474-9CCA-431F-ADB6-8A9AC33B9697}" destId="{D7DDDDF0-F44F-4B11-B08B-89295DEA0D9B}" srcOrd="0" destOrd="0" presId="urn:microsoft.com/office/officeart/2005/8/layout/orgChart1"/>
    <dgm:cxn modelId="{5AD83DA6-0287-4CEB-8840-535F99373162}" type="presOf" srcId="{BA15DC88-B838-4D5F-9BAB-AEC02AE52521}" destId="{18956CBC-7222-4318-87FC-278CA4BA3768}" srcOrd="1" destOrd="0" presId="urn:microsoft.com/office/officeart/2005/8/layout/orgChart1"/>
    <dgm:cxn modelId="{3B5F0FA7-1D94-416A-8F5E-7726C8A8E7AE}" type="presOf" srcId="{025397C8-278A-4FB7-A986-A1B487EA1563}" destId="{9BBA3CDE-9578-436B-BF71-4165D5256392}" srcOrd="1" destOrd="0" presId="urn:microsoft.com/office/officeart/2005/8/layout/orgChart1"/>
    <dgm:cxn modelId="{AB9603A9-BC6A-4390-BD18-B3AA2F41282F}" type="presOf" srcId="{6B85388F-71E1-413F-BC49-7FE13C99924D}" destId="{DE31F5CA-37EC-464B-A0E1-9AB790904E0E}" srcOrd="0" destOrd="0" presId="urn:microsoft.com/office/officeart/2005/8/layout/orgChart1"/>
    <dgm:cxn modelId="{CB01DDAA-322F-4E93-B83B-9A9E38B0760B}" type="presOf" srcId="{1FA32465-79CA-43E4-925C-FD9E6E9DB5C8}" destId="{5517D03E-AE9E-4827-A3FB-E1CF8BC3E098}" srcOrd="1" destOrd="0" presId="urn:microsoft.com/office/officeart/2005/8/layout/orgChart1"/>
    <dgm:cxn modelId="{1C1260AB-BAF4-4931-8E4E-3824C368E924}" type="presOf" srcId="{DE3A69AF-6A99-44DF-9639-EBEE5AEFB1D1}" destId="{146AE877-ED15-459B-B13B-AF077FBB1040}" srcOrd="0" destOrd="0" presId="urn:microsoft.com/office/officeart/2005/8/layout/orgChart1"/>
    <dgm:cxn modelId="{664174AB-14F3-47D0-8F79-855BBC5AC88E}" type="presOf" srcId="{23233B68-EF36-4A02-9B22-884F03B3E17D}" destId="{9A5CF57C-EB3E-499E-8222-998FF1F3959E}" srcOrd="0" destOrd="0" presId="urn:microsoft.com/office/officeart/2005/8/layout/orgChart1"/>
    <dgm:cxn modelId="{1B1757AC-E291-4B8F-BC7A-29CAB0E91522}" type="presOf" srcId="{D9DCBD92-CF2D-4FA3-9650-A94983E94475}" destId="{99E07EF1-2718-49C0-B549-73DEE2F71416}" srcOrd="1" destOrd="0" presId="urn:microsoft.com/office/officeart/2005/8/layout/orgChart1"/>
    <dgm:cxn modelId="{6CE5CEAC-6ACC-4255-BB12-342AB0AE8369}" type="presOf" srcId="{97F38E1B-8B0A-4C1C-BB0E-8DC2824BBDEE}" destId="{CAC4091A-492F-459B-840C-5F8135FD499F}" srcOrd="1" destOrd="0" presId="urn:microsoft.com/office/officeart/2005/8/layout/orgChart1"/>
    <dgm:cxn modelId="{3F11EFAC-B19D-417A-9CCB-411CE3099F2D}" type="presOf" srcId="{0102E4FE-20A8-44CB-9044-37DB2019EEF7}" destId="{2D883808-430E-40D8-8B07-302E85302A34}" srcOrd="0" destOrd="0" presId="urn:microsoft.com/office/officeart/2005/8/layout/orgChart1"/>
    <dgm:cxn modelId="{F98C2CAE-0CFD-4A5C-83E6-BA55CF07333B}" type="presOf" srcId="{C0EE7375-36E6-4281-9237-5F5EEB6505C0}" destId="{6859BE2E-B830-41FF-B86E-79A6F3BD7732}" srcOrd="0" destOrd="0" presId="urn:microsoft.com/office/officeart/2005/8/layout/orgChart1"/>
    <dgm:cxn modelId="{633930AF-3D0C-41D1-9D7D-CE36CB354B8D}" srcId="{424E63FB-7A5E-47ED-BA8E-381C8BEA7B4D}" destId="{8AB7F64B-E4EA-46A3-93C5-530B1FAAB3A0}" srcOrd="1" destOrd="0" parTransId="{D39B8DD9-864C-4EB7-9F89-A2AD12438034}" sibTransId="{54EF72C2-E454-4C40-B61C-C5559BC6F1E5}"/>
    <dgm:cxn modelId="{723A64B0-8C44-4CB5-83E4-D268F58686A7}" type="presOf" srcId="{8BB75C25-BB24-48E5-95A1-BDDD2AD67385}" destId="{0393B6C4-B4FB-4B6B-8DB5-37B9B19AABA4}" srcOrd="1" destOrd="0" presId="urn:microsoft.com/office/officeart/2005/8/layout/orgChart1"/>
    <dgm:cxn modelId="{2C5290B0-80BC-4E9B-A937-18B3BFFB9B06}" type="presOf" srcId="{4D2365D6-7383-4721-8E26-F4225A31DE27}" destId="{FAAD6170-1F04-4FDD-BBA1-0FC91815D8AB}" srcOrd="0" destOrd="0" presId="urn:microsoft.com/office/officeart/2005/8/layout/orgChart1"/>
    <dgm:cxn modelId="{7D90D0B1-CF9F-4A95-8A24-0345C1BD0CB6}" type="presOf" srcId="{92338313-9670-40FB-8040-D372407E9060}" destId="{A4073290-40FA-4447-A63D-A2A271E69369}" srcOrd="0" destOrd="0" presId="urn:microsoft.com/office/officeart/2005/8/layout/orgChart1"/>
    <dgm:cxn modelId="{EB7666B2-9172-4ECA-B786-AA8FF5113B06}" srcId="{D9DCBD92-CF2D-4FA3-9650-A94983E94475}" destId="{C2E9E08C-C520-4750-9A46-099873830BC9}" srcOrd="1" destOrd="0" parTransId="{304499FC-178F-457B-9D5B-07C633CC1703}" sibTransId="{E69A4F6D-B644-4F5C-905D-8356A91FFF6D}"/>
    <dgm:cxn modelId="{915B7BB2-22C3-4032-8062-59C88F493245}" type="presOf" srcId="{95643014-9364-4ED7-A23C-11FF87634454}" destId="{3C105CD6-BA5F-4296-9ADF-C21FEB294665}" srcOrd="0" destOrd="0" presId="urn:microsoft.com/office/officeart/2005/8/layout/orgChart1"/>
    <dgm:cxn modelId="{B07A9DB3-3CB5-4876-A7FB-0445F9D33B92}" type="presOf" srcId="{3BEC5FAA-E4C7-4310-8BF8-FD6D6CD14D5D}" destId="{89695C53-1190-42FF-86CC-6209DC216241}" srcOrd="0" destOrd="0" presId="urn:microsoft.com/office/officeart/2005/8/layout/orgChart1"/>
    <dgm:cxn modelId="{2BBFBFB3-9575-4C01-9758-C9373EB496DF}" srcId="{95040E2D-3B14-4838-BEEC-F567F54E210A}" destId="{8C33E48E-334E-4A5A-8828-C0B9BC12F4DA}" srcOrd="2" destOrd="0" parTransId="{7D1D39C0-3B18-4635-B1B3-C21C05B51E72}" sibTransId="{A5953739-5348-4DF8-A599-C497DF96D7A3}"/>
    <dgm:cxn modelId="{9DB038B4-407F-42EE-8F8C-C8E7A1837AAB}" type="presOf" srcId="{38904395-7290-40C3-B247-4545D6A20AAB}" destId="{5B22F701-34AF-41A4-8968-46F2A042E566}" srcOrd="1" destOrd="0" presId="urn:microsoft.com/office/officeart/2005/8/layout/orgChart1"/>
    <dgm:cxn modelId="{A0E7CBB5-7CF0-42B5-B4E5-93BE50449420}" srcId="{D9DCBD92-CF2D-4FA3-9650-A94983E94475}" destId="{DBA8929B-46BA-404E-A3FA-7CF913B88C72}" srcOrd="0" destOrd="0" parTransId="{F26A6E32-5FBB-4CEF-BDB1-A0E805534581}" sibTransId="{79AC7646-F02B-4EB7-8D35-A654D4BDF6CA}"/>
    <dgm:cxn modelId="{D71B68B6-3DAD-4FED-9B44-59FFCA15B0EE}" type="presOf" srcId="{EEBC546B-B559-4568-BA01-5B4728E41645}" destId="{37D81D16-9FA0-4B40-B026-416F10041A47}" srcOrd="1" destOrd="0" presId="urn:microsoft.com/office/officeart/2005/8/layout/orgChart1"/>
    <dgm:cxn modelId="{186A48B7-C942-4DF9-A198-0A87B53EE7B1}" srcId="{D5E38E4B-FED5-4A0A-B8AA-8728BED387A3}" destId="{B71ED880-875D-465D-A2D5-7EFCE170B8F3}" srcOrd="3" destOrd="0" parTransId="{6B85388F-71E1-413F-BC49-7FE13C99924D}" sibTransId="{01D8D94A-4C5D-44E8-A195-D41DEB2DABF3}"/>
    <dgm:cxn modelId="{02726BBB-A793-416B-8A98-F88455A0A603}" srcId="{14FC8420-D447-4CEA-A3B7-61E9B3749D8E}" destId="{F9F2A175-3F9B-492A-AD89-F9ADF1AA7A09}" srcOrd="2" destOrd="0" parTransId="{23233B68-EF36-4A02-9B22-884F03B3E17D}" sibTransId="{6783538A-23B6-4D3C-92F4-06CBADDFC98C}"/>
    <dgm:cxn modelId="{A8FF89BC-D15C-44F3-A67F-96B16824950D}" srcId="{5901CCA6-EF9E-4F05-B532-AFA0A830E4D5}" destId="{0995A2E3-0901-4DB1-B970-376B2E4006D1}" srcOrd="2" destOrd="0" parTransId="{902A754E-4E4A-4847-B0A2-573B94308BBA}" sibTransId="{20A0EF64-0AD3-4993-8E6E-5758F9AF64A6}"/>
    <dgm:cxn modelId="{4765CFBD-5294-431B-AF9C-E10132DBC3D0}" type="presOf" srcId="{4D2365D6-7383-4721-8E26-F4225A31DE27}" destId="{8A7B6137-BADB-40A0-83C7-5924600DB155}" srcOrd="1" destOrd="0" presId="urn:microsoft.com/office/officeart/2005/8/layout/orgChart1"/>
    <dgm:cxn modelId="{21C18FBE-38F8-4F4C-A586-7435BBF5F356}" srcId="{0E0D5914-9733-4438-B53B-E54AED87BD25}" destId="{D5E38E4B-FED5-4A0A-B8AA-8728BED387A3}" srcOrd="1" destOrd="0" parTransId="{1182CA2F-4565-428E-AE54-DA4AC822DEC1}" sibTransId="{F08BBAFC-C54C-473A-A12D-0976EAD9F5B1}"/>
    <dgm:cxn modelId="{56F4D0BE-0ED8-4594-B6D7-DCDE4C6272FE}" srcId="{86AF350A-A785-4BDD-9C13-1E90196942B4}" destId="{95643014-9364-4ED7-A23C-11FF87634454}" srcOrd="0" destOrd="0" parTransId="{E0114C20-3A39-4242-9BD4-7E3A42C0079E}" sibTransId="{17FCF78A-6A89-4118-8006-45387E9866DB}"/>
    <dgm:cxn modelId="{ED5470C1-AB29-4CA6-AECE-4E0CA2253756}" type="presOf" srcId="{0B7A893D-34B0-412E-AAF0-3244FF37E62F}" destId="{D7E2BE4B-D731-4C2D-BA0A-37C902784000}" srcOrd="0" destOrd="0" presId="urn:microsoft.com/office/officeart/2005/8/layout/orgChart1"/>
    <dgm:cxn modelId="{1FD485C1-9579-439E-B46A-5762BA2261CB}" type="presOf" srcId="{85451313-C917-4F47-86D0-45E28E549CBF}" destId="{F7BA7A01-E042-4673-AEEA-303514636AFE}" srcOrd="1" destOrd="0" presId="urn:microsoft.com/office/officeart/2005/8/layout/orgChart1"/>
    <dgm:cxn modelId="{AAB1BAC1-D077-48E7-9C2D-25DF86AB4463}" type="presOf" srcId="{304499FC-178F-457B-9D5B-07C633CC1703}" destId="{0E0991F3-3934-47BB-929B-D5CDA7641990}" srcOrd="0" destOrd="0" presId="urn:microsoft.com/office/officeart/2005/8/layout/orgChart1"/>
    <dgm:cxn modelId="{6495E3C4-3BDB-4AD3-8081-02B53DF7EEB4}" type="presOf" srcId="{03DF699C-3176-485E-B584-5BC85EC703ED}" destId="{7568918C-FAD7-4B9E-9AFD-52C33DE56813}" srcOrd="1" destOrd="0" presId="urn:microsoft.com/office/officeart/2005/8/layout/orgChart1"/>
    <dgm:cxn modelId="{D47AF2C4-C5C6-41E8-AF20-6AA1F2D1A0A0}" type="presOf" srcId="{809B22AA-EB2B-4C4F-82C3-E979FD4CF357}" destId="{D170E32D-A43F-4CAB-A215-C289F970862B}" srcOrd="0" destOrd="0" presId="urn:microsoft.com/office/officeart/2005/8/layout/orgChart1"/>
    <dgm:cxn modelId="{5CAF98C7-9507-44FC-847F-3F699DE3D3C1}" type="presOf" srcId="{86AF350A-A785-4BDD-9C13-1E90196942B4}" destId="{72AC346F-2F4E-444E-8C03-BD2A3B5A48DE}" srcOrd="0" destOrd="0" presId="urn:microsoft.com/office/officeart/2005/8/layout/orgChart1"/>
    <dgm:cxn modelId="{923D39C9-13F7-4D27-9428-7CE4D6ECE615}" type="presOf" srcId="{F9F2A175-3F9B-492A-AD89-F9ADF1AA7A09}" destId="{8BDE05C9-053F-4C88-B814-2D8F4E34080D}" srcOrd="1" destOrd="0" presId="urn:microsoft.com/office/officeart/2005/8/layout/orgChart1"/>
    <dgm:cxn modelId="{FCAD58C9-5B71-4F8F-A3A8-89272EB477CB}" srcId="{86AF350A-A785-4BDD-9C13-1E90196942B4}" destId="{EB3954B5-74F4-4D11-9DFF-EA78507987CB}" srcOrd="4" destOrd="0" parTransId="{DC6688E7-45CF-4D5C-9D56-6B7EDCF265A6}" sibTransId="{70FF2AC7-4C12-4FF5-B75D-B14A9D9AF54D}"/>
    <dgm:cxn modelId="{CDCFF8C9-465C-4B27-9234-A915F87C145F}" type="presOf" srcId="{62BC5DAA-1270-4DE7-9F30-D69FE871551F}" destId="{52430101-410F-429B-8A7E-9D395BDB29C2}" srcOrd="0" destOrd="0" presId="urn:microsoft.com/office/officeart/2005/8/layout/orgChart1"/>
    <dgm:cxn modelId="{F7A145CB-AB41-45AF-8AD4-9A4F753B3ABE}" srcId="{14FC8420-D447-4CEA-A3B7-61E9B3749D8E}" destId="{BA15DC88-B838-4D5F-9BAB-AEC02AE52521}" srcOrd="0" destOrd="0" parTransId="{D1202378-9FC3-4AC3-BEDF-808E27AD479B}" sibTransId="{D7CB81A8-D79B-493F-A54C-A4C32D5B5C19}"/>
    <dgm:cxn modelId="{0F199FCF-6584-4D12-8255-282B8CD87339}" type="presOf" srcId="{8C33E48E-334E-4A5A-8828-C0B9BC12F4DA}" destId="{58BCE5B8-AC2E-43FA-B884-A8172ED4A1EB}" srcOrd="1" destOrd="0" presId="urn:microsoft.com/office/officeart/2005/8/layout/orgChart1"/>
    <dgm:cxn modelId="{65560AD0-6C88-43F5-B078-9CE9580210A9}" type="presOf" srcId="{622DEC80-7D3B-489F-A688-386A3BD66E46}" destId="{FB2DB3A0-B135-43F4-88C1-E9985DD92C2D}" srcOrd="0" destOrd="0" presId="urn:microsoft.com/office/officeart/2005/8/layout/orgChart1"/>
    <dgm:cxn modelId="{AC4424D0-8905-4F4D-A03E-744F87C17718}" type="presOf" srcId="{F26A6E32-5FBB-4CEF-BDB1-A0E805534581}" destId="{D7968CA6-A26B-43C5-9036-51384CB0A177}" srcOrd="0" destOrd="0" presId="urn:microsoft.com/office/officeart/2005/8/layout/orgChart1"/>
    <dgm:cxn modelId="{05578DD0-72FA-4B08-B907-FC8A62576561}" srcId="{141B889D-94F1-45C1-B73E-13B1197CCCF8}" destId="{1FA32465-79CA-43E4-925C-FD9E6E9DB5C8}" srcOrd="1" destOrd="0" parTransId="{88490267-DE7E-43ED-9BD4-B69E754A61AF}" sibTransId="{8D80A846-3714-4A60-AA9F-DC844391A49A}"/>
    <dgm:cxn modelId="{C708B5D0-C5FE-494F-9D5D-D9B5422D0437}" type="presOf" srcId="{D6F5CD79-D3E1-4B19-9C25-479267A00537}" destId="{6BAFA004-7462-4BB3-8CF7-8F0FAE532698}" srcOrd="0" destOrd="0" presId="urn:microsoft.com/office/officeart/2005/8/layout/orgChart1"/>
    <dgm:cxn modelId="{B8B231D3-F81B-43FC-B30C-11210BC39595}" type="presOf" srcId="{C025D0B3-3453-4AB2-8C0D-9A93251A872D}" destId="{86920179-6629-4A58-BB26-F9023C6AB676}" srcOrd="0" destOrd="0" presId="urn:microsoft.com/office/officeart/2005/8/layout/orgChart1"/>
    <dgm:cxn modelId="{061E3BD3-56CD-4FF9-BCA6-DACA8F9B9B26}" srcId="{97F38E1B-8B0A-4C1C-BB0E-8DC2824BBDEE}" destId="{C86FF9A0-D069-4D8F-B54B-6C17D808ADD9}" srcOrd="1" destOrd="0" parTransId="{B926E79E-B2AB-4C90-BFC9-A30EA3676EEA}" sibTransId="{461CA8B9-6721-4DA6-B54D-B8E26FCE3BBB}"/>
    <dgm:cxn modelId="{43B281D3-8F00-4A89-B7B6-9381AB870F68}" type="presOf" srcId="{EEBC546B-B559-4568-BA01-5B4728E41645}" destId="{526919F3-C1E6-4952-AA9E-1BBFD8E73B82}" srcOrd="0" destOrd="0" presId="urn:microsoft.com/office/officeart/2005/8/layout/orgChart1"/>
    <dgm:cxn modelId="{C8D70DD5-D354-4E8F-8F36-FBA22A5D2A2C}" srcId="{14FC8420-D447-4CEA-A3B7-61E9B3749D8E}" destId="{85451313-C917-4F47-86D0-45E28E549CBF}" srcOrd="1" destOrd="0" parTransId="{900F9B5B-B201-41E8-9F84-B4A949821D1D}" sibTransId="{C35E62F3-BCD5-4083-A380-44B10F6F2EC2}"/>
    <dgm:cxn modelId="{EC1174D6-5140-45EC-9F00-844394FA6A37}" type="presOf" srcId="{05FE1BD5-3C3C-4969-A364-2530D63BDBD5}" destId="{95E2F74E-F847-4663-BDD7-0A5BE67FBABA}" srcOrd="0" destOrd="0" presId="urn:microsoft.com/office/officeart/2005/8/layout/orgChart1"/>
    <dgm:cxn modelId="{C6FE6CD8-A901-422C-875C-5FBBBE15EF5E}" srcId="{8BB75C25-BB24-48E5-95A1-BDDD2AD67385}" destId="{D6F5CD79-D3E1-4B19-9C25-479267A00537}" srcOrd="0" destOrd="0" parTransId="{50F4CB47-0DB9-4B1E-9C75-49682DAC2BF7}" sibTransId="{A143E528-DC48-443B-967F-FB0FB6BA3C02}"/>
    <dgm:cxn modelId="{496F4ED8-D7F4-4E9A-B664-2745C8E9EB45}" type="presOf" srcId="{6EAA41E0-1525-42E3-A200-48C0FE921E72}" destId="{807FA1CB-C069-4A68-9F5B-ACB3D4C2C7E0}" srcOrd="0" destOrd="0" presId="urn:microsoft.com/office/officeart/2005/8/layout/orgChart1"/>
    <dgm:cxn modelId="{762B93D8-43BE-42B3-8DE5-31247C71202B}" srcId="{025397C8-278A-4FB7-A986-A1B487EA1563}" destId="{E2157045-4CE0-40CE-9C58-F4043DF91E33}" srcOrd="0" destOrd="0" parTransId="{F9922145-9B07-49CE-9FA6-B33C82D2B167}" sibTransId="{CA9D8683-4E32-4861-94E8-CF694F4D3BA3}"/>
    <dgm:cxn modelId="{21F5BCD8-CA3E-402F-8EAB-806F38A804E5}" type="presOf" srcId="{3081B60C-E0C6-4F93-AEC8-9ADDE71E84C6}" destId="{75E9DCE7-BF69-4738-9940-25697E75186B}" srcOrd="0" destOrd="0" presId="urn:microsoft.com/office/officeart/2005/8/layout/orgChart1"/>
    <dgm:cxn modelId="{E5B87BD9-5758-4E57-A95E-B45A44873B71}" type="presOf" srcId="{025397C8-278A-4FB7-A986-A1B487EA1563}" destId="{0BF99F41-2B36-4860-856E-9B912562371F}" srcOrd="0" destOrd="0" presId="urn:microsoft.com/office/officeart/2005/8/layout/orgChart1"/>
    <dgm:cxn modelId="{0251C4D9-523C-45CA-9883-E36842905429}" srcId="{0E0D5914-9733-4438-B53B-E54AED87BD25}" destId="{D9DCBD92-CF2D-4FA3-9650-A94983E94475}" srcOrd="0" destOrd="0" parTransId="{8069AF01-BDAC-4439-9E0A-EA0793CC3F91}" sibTransId="{62C8F385-660A-4B36-9BB8-6E3C7FF1DC57}"/>
    <dgm:cxn modelId="{0A56C6DB-31EB-4084-BBA3-788918B1E116}" srcId="{0102E4FE-20A8-44CB-9044-37DB2019EEF7}" destId="{025397C8-278A-4FB7-A986-A1B487EA1563}" srcOrd="4" destOrd="0" parTransId="{E9CCBF3B-F7D4-491B-83ED-166AFDD5DD30}" sibTransId="{03B4767C-E8A0-48F5-82FB-BC0CE0CB73C2}"/>
    <dgm:cxn modelId="{DD8252DC-97BB-4DFF-98B1-5F9768B012B2}" srcId="{86AF350A-A785-4BDD-9C13-1E90196942B4}" destId="{0B7A893D-34B0-412E-AAF0-3244FF37E62F}" srcOrd="3" destOrd="0" parTransId="{2DEF8671-DD1F-49D2-9C9F-4553E51583D7}" sibTransId="{EBBEF2A1-4FE1-445D-81D1-191137E58D73}"/>
    <dgm:cxn modelId="{3373B1DC-8BDF-4205-B23F-51E567D0D24F}" type="presOf" srcId="{23A96D7A-299B-4FA1-93D0-41E5DC2BDB0F}" destId="{3E384659-83D8-423C-BB17-F82A4F217F6D}" srcOrd="1" destOrd="0" presId="urn:microsoft.com/office/officeart/2005/8/layout/orgChart1"/>
    <dgm:cxn modelId="{50BFF7DD-F1F7-43DF-9057-627C4B6D0B71}" srcId="{95040E2D-3B14-4838-BEEC-F567F54E210A}" destId="{6D7A7801-BB63-47F6-9F80-2013CE3C8DDF}" srcOrd="1" destOrd="0" parTransId="{0BCFA6B9-4E38-4DF4-9665-C5288F643973}" sibTransId="{EBEA04DD-D1A7-4439-860D-D29C5EFB821E}"/>
    <dgm:cxn modelId="{8503C1DE-AC4F-49F5-A01D-D01C6B7949BF}" type="presOf" srcId="{9AC19E5E-60C4-4CCF-A20E-E4814BC2FE9B}" destId="{2B3E1A31-C7DC-446D-8815-E4813D3B56B4}" srcOrd="1" destOrd="0" presId="urn:microsoft.com/office/officeart/2005/8/layout/orgChart1"/>
    <dgm:cxn modelId="{9156A2E0-D475-46A0-8577-6C3A549E2BD9}" type="presOf" srcId="{0AE7F9E1-765F-489C-8C16-C7BC49A797D9}" destId="{1E535ECD-9FA0-4E48-A66D-29FFB2AB3B70}" srcOrd="0" destOrd="0" presId="urn:microsoft.com/office/officeart/2005/8/layout/orgChart1"/>
    <dgm:cxn modelId="{37BBD9E1-7D3D-4144-B35F-F19164A2F2AB}" type="presOf" srcId="{D5E38E4B-FED5-4A0A-B8AA-8728BED387A3}" destId="{4CB3CC10-420D-4678-B4A5-F650FAA65CFC}" srcOrd="0" destOrd="0" presId="urn:microsoft.com/office/officeart/2005/8/layout/orgChart1"/>
    <dgm:cxn modelId="{14C546E3-3C2E-474D-828F-11A57961D2DD}" srcId="{8D244D8F-C792-40BC-A511-7DE39E45E194}" destId="{6ED531EE-0BC7-4118-B43F-7D8D436633A8}" srcOrd="2" destOrd="0" parTransId="{D433E747-1E2C-41A0-B616-42B31870972F}" sibTransId="{9952C637-C4F1-4218-8E7E-3DE34073E216}"/>
    <dgm:cxn modelId="{E4EC70E3-9BE3-4283-968C-7E15BDAAF5E4}" type="presOf" srcId="{B7B3C6AE-DFBB-46A9-8CF1-A1BD803B9409}" destId="{AAF5925E-A439-4734-BFA7-0209F1E034E0}" srcOrd="0" destOrd="0" presId="urn:microsoft.com/office/officeart/2005/8/layout/orgChart1"/>
    <dgm:cxn modelId="{503263E4-7B66-4BF3-A288-435D9CB1CA44}" type="presOf" srcId="{F9922145-9B07-49CE-9FA6-B33C82D2B167}" destId="{56484EBF-27DD-4386-A0D0-1C14F44B1EE2}" srcOrd="0" destOrd="0" presId="urn:microsoft.com/office/officeart/2005/8/layout/orgChart1"/>
    <dgm:cxn modelId="{1A5C29E5-0B3D-496A-BA37-3EE497555743}" srcId="{905ED552-0ABB-46DE-A60F-9DB1B7EBD348}" destId="{FA075ABC-5CA4-4216-8E88-E8C82245409F}" srcOrd="0" destOrd="0" parTransId="{164BE56B-4369-439C-BDA1-AC866650347E}" sibTransId="{EA0AF616-A340-440B-B802-02F18855477B}"/>
    <dgm:cxn modelId="{F1E5D1E5-1268-475D-944D-33E806414ACD}" srcId="{4EDFDD96-7D03-4644-B893-2DE9B7516A86}" destId="{69233474-9CCA-431F-ADB6-8A9AC33B9697}" srcOrd="1" destOrd="0" parTransId="{622DEC80-7D3B-489F-A688-386A3BD66E46}" sibTransId="{FEF84970-9F64-4C23-B93E-C7AB8DAB57E9}"/>
    <dgm:cxn modelId="{88E5DDE6-53F2-45A3-A07E-C98496C11EA3}" type="presOf" srcId="{F488A61D-44A8-43AF-8D4D-9D3A28823A7B}" destId="{1BDCF5C3-4938-4F7B-B883-DFE0EA2513F2}" srcOrd="0" destOrd="0" presId="urn:microsoft.com/office/officeart/2005/8/layout/orgChart1"/>
    <dgm:cxn modelId="{CA4B62E7-537D-48BA-9F1C-60F1CF5A402A}" type="presOf" srcId="{4AC91895-1328-47B6-95A4-257A3E94D935}" destId="{2B3AD1B7-C2FA-429C-81C3-2B93654B4988}" srcOrd="0" destOrd="0" presId="urn:microsoft.com/office/officeart/2005/8/layout/orgChart1"/>
    <dgm:cxn modelId="{299339E8-72C8-433C-B580-034B3FE83807}" type="presOf" srcId="{7D1D39C0-3B18-4635-B1B3-C21C05B51E72}" destId="{9B6FEAED-F609-4ABD-9830-664C2D6F7BC4}" srcOrd="0" destOrd="0" presId="urn:microsoft.com/office/officeart/2005/8/layout/orgChart1"/>
    <dgm:cxn modelId="{6DAB62E9-864C-4C9C-8886-EA5D51E3922B}" type="presOf" srcId="{8D244D8F-C792-40BC-A511-7DE39E45E194}" destId="{CFC31A14-C94F-4A30-A37D-372AB6BB600E}" srcOrd="1" destOrd="0" presId="urn:microsoft.com/office/officeart/2005/8/layout/orgChart1"/>
    <dgm:cxn modelId="{D48BC6E9-F065-4D7D-95AC-4A641C9795FC}" type="presOf" srcId="{E2157045-4CE0-40CE-9C58-F4043DF91E33}" destId="{BE7BA4D1-2AE1-4EE2-9EB8-A1B10CF23D87}" srcOrd="1" destOrd="0" presId="urn:microsoft.com/office/officeart/2005/8/layout/orgChart1"/>
    <dgm:cxn modelId="{6653DBE9-E800-4E34-83B7-9A0F3EDEA357}" type="presOf" srcId="{2EA6147A-4097-4648-9D83-1C15EC3F6E1C}" destId="{6185FE85-F6F3-47C8-BC28-BFB1B081D47E}" srcOrd="0" destOrd="0" presId="urn:microsoft.com/office/officeart/2005/8/layout/orgChart1"/>
    <dgm:cxn modelId="{23928FEB-63DA-4568-BC9D-8F478395DBF1}" type="presOf" srcId="{2DEF8671-DD1F-49D2-9C9F-4553E51583D7}" destId="{B894DCF4-CFDB-4655-8C23-F6D06D7FB345}" srcOrd="0" destOrd="0" presId="urn:microsoft.com/office/officeart/2005/8/layout/orgChart1"/>
    <dgm:cxn modelId="{5EDD0FED-515D-4AA5-ADC5-288E1B30F747}" type="presOf" srcId="{16CD9583-BD21-4156-92D6-71CDB340D1AD}" destId="{4E82E1CF-9093-4966-8BDC-BA30B6523B53}" srcOrd="0" destOrd="0" presId="urn:microsoft.com/office/officeart/2005/8/layout/orgChart1"/>
    <dgm:cxn modelId="{3CE88EEE-8D32-4992-8108-A4A89E90A5A0}" type="presOf" srcId="{EC6FE534-DC93-4BE9-B221-533498D9AED2}" destId="{463E7EE2-DBFC-4EC0-BC5D-9271F221CF32}" srcOrd="0" destOrd="0" presId="urn:microsoft.com/office/officeart/2005/8/layout/orgChart1"/>
    <dgm:cxn modelId="{B9E349F0-4F98-45DC-A283-F904DA4213BB}" type="presOf" srcId="{FDDB7EEE-AB02-47E4-B007-CB2A762CB7F9}" destId="{52777498-AA74-4FC2-849F-C626B27A45B4}" srcOrd="0" destOrd="0" presId="urn:microsoft.com/office/officeart/2005/8/layout/orgChart1"/>
    <dgm:cxn modelId="{439259F0-86A1-4284-BA34-80A24E688DD0}" type="presOf" srcId="{D010ED04-6422-41B1-9B13-F8A5DEAE4019}" destId="{F7AFC83A-F643-4B31-A648-492A9D843CA2}" srcOrd="0" destOrd="0" presId="urn:microsoft.com/office/officeart/2005/8/layout/orgChart1"/>
    <dgm:cxn modelId="{B7C325F1-39DE-4DC9-B626-7241513D8869}" type="presOf" srcId="{23A96D7A-299B-4FA1-93D0-41E5DC2BDB0F}" destId="{26279B3F-32AE-429E-8F6A-E74283514EA0}" srcOrd="0" destOrd="0" presId="urn:microsoft.com/office/officeart/2005/8/layout/orgChart1"/>
    <dgm:cxn modelId="{92F2DEF2-629B-4230-8138-3DEF5A285113}" srcId="{0102E4FE-20A8-44CB-9044-37DB2019EEF7}" destId="{424E63FB-7A5E-47ED-BA8E-381C8BEA7B4D}" srcOrd="6" destOrd="0" parTransId="{EBA54DFC-7FC3-4D85-9BDE-4CD347E65E6C}" sibTransId="{2D9C3D49-28A1-4E2A-8676-8FA2D87A3E83}"/>
    <dgm:cxn modelId="{65E43AF3-D179-485C-9875-A65A828CCE76}" srcId="{0102E4FE-20A8-44CB-9044-37DB2019EEF7}" destId="{95040E2D-3B14-4838-BEEC-F567F54E210A}" srcOrd="8" destOrd="0" parTransId="{05FE1BD5-3C3C-4969-A364-2530D63BDBD5}" sibTransId="{399F0C6F-6EF9-4BBC-8F8C-74F7043B2B33}"/>
    <dgm:cxn modelId="{76AFFBF3-8B0F-4A64-A9A7-C2C918D2DDAB}" type="presOf" srcId="{0E0D5914-9733-4438-B53B-E54AED87BD25}" destId="{34D49AA9-33AD-4664-ADD5-58DB46EB9889}" srcOrd="0" destOrd="0" presId="urn:microsoft.com/office/officeart/2005/8/layout/orgChart1"/>
    <dgm:cxn modelId="{FE8D82F4-EC2E-4B25-896E-A6EFC76B2206}" srcId="{5901CCA6-EF9E-4F05-B532-AFA0A830E4D5}" destId="{EC6FE534-DC93-4BE9-B221-533498D9AED2}" srcOrd="1" destOrd="0" parTransId="{E1527C33-CFAA-4D8C-96C4-EE6231657CF0}" sibTransId="{6D81CC16-08CD-4BC5-BB25-D3C60D9BB3C1}"/>
    <dgm:cxn modelId="{ACB5DCF4-1FA6-47F2-8A70-171FF15CE645}" type="presOf" srcId="{E5E9916D-2D7F-4C7A-A808-9D88F35BEC5A}" destId="{0B77889B-AAC5-42E4-AC09-1DCA681BCE85}" srcOrd="0" destOrd="0" presId="urn:microsoft.com/office/officeart/2005/8/layout/orgChart1"/>
    <dgm:cxn modelId="{1A9211F5-692D-4C37-836F-1AF68B28C9DA}" type="presOf" srcId="{90B63618-9D9F-4204-8A72-1DEDB9B6A698}" destId="{3C4B0898-FEC4-425E-A62E-7F6211895D7C}" srcOrd="0" destOrd="0" presId="urn:microsoft.com/office/officeart/2005/8/layout/orgChart1"/>
    <dgm:cxn modelId="{E02A45F5-BE79-41F1-BEC6-9398AAF40E33}" type="presOf" srcId="{C2EFE54E-DDBB-4937-AAAF-B8E47F74D697}" destId="{042C9D99-30E8-4921-9EB9-EBE3CC59CEFA}" srcOrd="0" destOrd="0" presId="urn:microsoft.com/office/officeart/2005/8/layout/orgChart1"/>
    <dgm:cxn modelId="{AA07A1F6-0C48-4CB5-B06C-47ECA1DF8F78}" type="presOf" srcId="{E9CCBF3B-F7D4-491B-83ED-166AFDD5DD30}" destId="{58BDADBE-4402-4E6F-AB6F-E215C5F98D3B}" srcOrd="0" destOrd="0" presId="urn:microsoft.com/office/officeart/2005/8/layout/orgChart1"/>
    <dgm:cxn modelId="{5B6CFCF8-25A2-4BDC-9211-21E220344ED1}" srcId="{D5E38E4B-FED5-4A0A-B8AA-8728BED387A3}" destId="{971055BB-A4A3-40DF-B506-54605DDFB45E}" srcOrd="1" destOrd="0" parTransId="{C550F39E-3BA4-4EAC-9784-E4F9E4C6F36F}" sibTransId="{5A6147EE-A1A6-4614-9DEB-0D9C46F37CEE}"/>
    <dgm:cxn modelId="{2612AAF9-55D8-414F-B4D5-759315DA46EB}" type="presOf" srcId="{4EDFDD96-7D03-4644-B893-2DE9B7516A86}" destId="{77CF87DA-CCF2-4C68-A6A1-315D38F06E97}" srcOrd="1" destOrd="0" presId="urn:microsoft.com/office/officeart/2005/8/layout/orgChart1"/>
    <dgm:cxn modelId="{B17642FC-9DED-4CE8-BE3B-6D377205DBDA}" type="presOf" srcId="{6ED531EE-0BC7-4118-B43F-7D8D436633A8}" destId="{D3BF38C4-1821-483A-AF26-C595ECE3E4B8}" srcOrd="1" destOrd="0" presId="urn:microsoft.com/office/officeart/2005/8/layout/orgChart1"/>
    <dgm:cxn modelId="{6348E3FD-B00F-406B-A60D-F9F13394914D}" type="presOf" srcId="{C2E9E08C-C520-4750-9A46-099873830BC9}" destId="{C3AE13EC-AD65-415B-91FB-22FE48785A3E}" srcOrd="1" destOrd="0" presId="urn:microsoft.com/office/officeart/2005/8/layout/orgChart1"/>
    <dgm:cxn modelId="{E0D141FE-B156-4047-B481-09435D233CAE}" type="presOf" srcId="{B71ED880-875D-465D-A2D5-7EFCE170B8F3}" destId="{1E232AB8-93DE-4845-B58C-D44BE96A7024}" srcOrd="1" destOrd="0" presId="urn:microsoft.com/office/officeart/2005/8/layout/orgChart1"/>
    <dgm:cxn modelId="{A458D9FF-02BE-46BB-A088-C5A5D4DCC19A}" srcId="{0102E4FE-20A8-44CB-9044-37DB2019EEF7}" destId="{8BB75C25-BB24-48E5-95A1-BDDD2AD67385}" srcOrd="5" destOrd="0" parTransId="{3F1B0426-4EA2-44D9-B786-B19B57D5CDEA}" sibTransId="{287D1434-478B-40C7-839D-02EB6EAF6F1B}"/>
    <dgm:cxn modelId="{DD86D10E-AF37-47C1-942E-2072C3DEB604}" type="presParOf" srcId="{90431E3C-4F42-4628-B684-A96161BFF430}" destId="{0A189367-43EC-4441-BA08-750B899E9469}" srcOrd="0" destOrd="0" presId="urn:microsoft.com/office/officeart/2005/8/layout/orgChart1"/>
    <dgm:cxn modelId="{1E93ACAD-73CC-4251-B857-482C058E4D23}" type="presParOf" srcId="{0A189367-43EC-4441-BA08-750B899E9469}" destId="{360B80A0-E040-4231-A03C-DB4C44D4BEFB}" srcOrd="0" destOrd="0" presId="urn:microsoft.com/office/officeart/2005/8/layout/orgChart1"/>
    <dgm:cxn modelId="{B29628BB-39CB-4048-ADB6-DE7158A9B3DD}" type="presParOf" srcId="{360B80A0-E040-4231-A03C-DB4C44D4BEFB}" destId="{2D883808-430E-40D8-8B07-302E85302A34}" srcOrd="0" destOrd="0" presId="urn:microsoft.com/office/officeart/2005/8/layout/orgChart1"/>
    <dgm:cxn modelId="{9428FF49-B526-4D4E-B0A3-7F6A759986BE}" type="presParOf" srcId="{360B80A0-E040-4231-A03C-DB4C44D4BEFB}" destId="{9E54A725-AB28-4B64-8844-9F2951F2F7A0}" srcOrd="1" destOrd="0" presId="urn:microsoft.com/office/officeart/2005/8/layout/orgChart1"/>
    <dgm:cxn modelId="{F77FF77F-3BFF-472B-A120-140FB40B3538}" type="presParOf" srcId="{0A189367-43EC-4441-BA08-750B899E9469}" destId="{7F944FE0-D2A2-405B-BDFF-D1897631706E}" srcOrd="1" destOrd="0" presId="urn:microsoft.com/office/officeart/2005/8/layout/orgChart1"/>
    <dgm:cxn modelId="{4693DDC0-E7D2-4777-9786-DF6018EA28F2}" type="presParOf" srcId="{7F944FE0-D2A2-405B-BDFF-D1897631706E}" destId="{7BA6A4CA-F40E-4826-9E97-95062F5DD647}" srcOrd="0" destOrd="0" presId="urn:microsoft.com/office/officeart/2005/8/layout/orgChart1"/>
    <dgm:cxn modelId="{3951A4D8-10F5-4317-831E-24914A8C8A5E}" type="presParOf" srcId="{7F944FE0-D2A2-405B-BDFF-D1897631706E}" destId="{92667419-A898-4795-9C0E-361368D04859}" srcOrd="1" destOrd="0" presId="urn:microsoft.com/office/officeart/2005/8/layout/orgChart1"/>
    <dgm:cxn modelId="{3319D6B5-4267-4DF9-B702-2CADDD1C44C3}" type="presParOf" srcId="{92667419-A898-4795-9C0E-361368D04859}" destId="{AAE10948-D9BD-4DD1-83D8-C8238129D30B}" srcOrd="0" destOrd="0" presId="urn:microsoft.com/office/officeart/2005/8/layout/orgChart1"/>
    <dgm:cxn modelId="{9D8D8E9F-F4F4-4566-A625-08109AD62BFC}" type="presParOf" srcId="{AAE10948-D9BD-4DD1-83D8-C8238129D30B}" destId="{4C9AEEA8-806B-4221-A8CF-497F84C39D63}" srcOrd="0" destOrd="0" presId="urn:microsoft.com/office/officeart/2005/8/layout/orgChart1"/>
    <dgm:cxn modelId="{448E3435-43C6-4B1E-A7A4-4202A1A17AC0}" type="presParOf" srcId="{AAE10948-D9BD-4DD1-83D8-C8238129D30B}" destId="{CFC31A14-C94F-4A30-A37D-372AB6BB600E}" srcOrd="1" destOrd="0" presId="urn:microsoft.com/office/officeart/2005/8/layout/orgChart1"/>
    <dgm:cxn modelId="{3E69577F-8421-472A-84A9-060EBAF1B9C7}" type="presParOf" srcId="{92667419-A898-4795-9C0E-361368D04859}" destId="{CFE7259F-6958-4278-B532-D5FC1DF0D989}" srcOrd="1" destOrd="0" presId="urn:microsoft.com/office/officeart/2005/8/layout/orgChart1"/>
    <dgm:cxn modelId="{FB8EBB5C-BB9B-4EE0-BBDB-A812C5B47B73}" type="presParOf" srcId="{CFE7259F-6958-4278-B532-D5FC1DF0D989}" destId="{7BD786B8-780D-4619-A5E3-357F0EDAE2E4}" srcOrd="0" destOrd="0" presId="urn:microsoft.com/office/officeart/2005/8/layout/orgChart1"/>
    <dgm:cxn modelId="{F2B0F6C6-5D11-4717-AD51-DC21E0E0FDCC}" type="presParOf" srcId="{CFE7259F-6958-4278-B532-D5FC1DF0D989}" destId="{FF449168-822C-418C-9CA1-B101D096CF90}" srcOrd="1" destOrd="0" presId="urn:microsoft.com/office/officeart/2005/8/layout/orgChart1"/>
    <dgm:cxn modelId="{7A95C7A7-F166-4435-8524-D112D1C51058}" type="presParOf" srcId="{FF449168-822C-418C-9CA1-B101D096CF90}" destId="{FDC422C0-CC05-449C-8033-C172FF181AD5}" srcOrd="0" destOrd="0" presId="urn:microsoft.com/office/officeart/2005/8/layout/orgChart1"/>
    <dgm:cxn modelId="{87F3A19B-9510-4B22-BD74-3F8E16C612A2}" type="presParOf" srcId="{FDC422C0-CC05-449C-8033-C172FF181AD5}" destId="{CF1CE0D6-2000-45B7-B412-882350AF6F25}" srcOrd="0" destOrd="0" presId="urn:microsoft.com/office/officeart/2005/8/layout/orgChart1"/>
    <dgm:cxn modelId="{CE725E7F-E97F-4769-9757-7875746F2730}" type="presParOf" srcId="{FDC422C0-CC05-449C-8033-C172FF181AD5}" destId="{E332D8F5-24D1-438A-A88D-967661A9895B}" srcOrd="1" destOrd="0" presId="urn:microsoft.com/office/officeart/2005/8/layout/orgChart1"/>
    <dgm:cxn modelId="{46CAE1E2-D097-4A2D-AEBD-7946148C8D66}" type="presParOf" srcId="{FF449168-822C-418C-9CA1-B101D096CF90}" destId="{0945C784-5EB4-4170-B227-C25054AACF2B}" srcOrd="1" destOrd="0" presId="urn:microsoft.com/office/officeart/2005/8/layout/orgChart1"/>
    <dgm:cxn modelId="{4F0F4A25-14B4-4E5E-B3BF-6AE7E5F7047F}" type="presParOf" srcId="{FF449168-822C-418C-9CA1-B101D096CF90}" destId="{795D698A-1823-4D67-A0CE-2685E9EB05B4}" srcOrd="2" destOrd="0" presId="urn:microsoft.com/office/officeart/2005/8/layout/orgChart1"/>
    <dgm:cxn modelId="{8D7F096B-B21E-4AA6-9D38-71D4F54CB5D0}" type="presParOf" srcId="{CFE7259F-6958-4278-B532-D5FC1DF0D989}" destId="{CC49643F-5CAB-42AD-AC31-F5BF5BED7969}" srcOrd="2" destOrd="0" presId="urn:microsoft.com/office/officeart/2005/8/layout/orgChart1"/>
    <dgm:cxn modelId="{D494031C-148C-425D-A6C5-7493CE7CCC28}" type="presParOf" srcId="{CFE7259F-6958-4278-B532-D5FC1DF0D989}" destId="{BDA40020-DBDC-4CD6-8E04-EBE0F623BC11}" srcOrd="3" destOrd="0" presId="urn:microsoft.com/office/officeart/2005/8/layout/orgChart1"/>
    <dgm:cxn modelId="{65D5F73A-BEA1-4D34-BA42-9048A2903412}" type="presParOf" srcId="{BDA40020-DBDC-4CD6-8E04-EBE0F623BC11}" destId="{0208C4F8-F890-49DE-9EB9-286AAE00E5E7}" srcOrd="0" destOrd="0" presId="urn:microsoft.com/office/officeart/2005/8/layout/orgChart1"/>
    <dgm:cxn modelId="{F784E6F7-7AFF-4B9F-9E4E-16E793B88CE4}" type="presParOf" srcId="{0208C4F8-F890-49DE-9EB9-286AAE00E5E7}" destId="{F81015D0-3251-4752-8F0C-11AF1FC46F7B}" srcOrd="0" destOrd="0" presId="urn:microsoft.com/office/officeart/2005/8/layout/orgChart1"/>
    <dgm:cxn modelId="{0AED22A4-0D9E-40C7-9A77-0F71F1D2E839}" type="presParOf" srcId="{0208C4F8-F890-49DE-9EB9-286AAE00E5E7}" destId="{5B22F701-34AF-41A4-8968-46F2A042E566}" srcOrd="1" destOrd="0" presId="urn:microsoft.com/office/officeart/2005/8/layout/orgChart1"/>
    <dgm:cxn modelId="{7AB91D0F-A767-4B93-AE8C-ABF14F13C8AA}" type="presParOf" srcId="{BDA40020-DBDC-4CD6-8E04-EBE0F623BC11}" destId="{97F27F8B-6117-48CA-A120-982BBD059FB5}" srcOrd="1" destOrd="0" presId="urn:microsoft.com/office/officeart/2005/8/layout/orgChart1"/>
    <dgm:cxn modelId="{437D4137-0C77-441F-9D16-07CA92215138}" type="presParOf" srcId="{BDA40020-DBDC-4CD6-8E04-EBE0F623BC11}" destId="{6E3A6800-BBF7-4823-B5D6-FE8C2B5DC434}" srcOrd="2" destOrd="0" presId="urn:microsoft.com/office/officeart/2005/8/layout/orgChart1"/>
    <dgm:cxn modelId="{B65C7E39-C1DF-4A36-8AC5-5269D799ECD7}" type="presParOf" srcId="{CFE7259F-6958-4278-B532-D5FC1DF0D989}" destId="{A210511E-8313-4F28-990A-429088BA3B3F}" srcOrd="4" destOrd="0" presId="urn:microsoft.com/office/officeart/2005/8/layout/orgChart1"/>
    <dgm:cxn modelId="{2FD47871-0EE8-454E-9FDF-35D4E38A03A1}" type="presParOf" srcId="{CFE7259F-6958-4278-B532-D5FC1DF0D989}" destId="{662A03C9-0D7D-4233-877E-650105F68909}" srcOrd="5" destOrd="0" presId="urn:microsoft.com/office/officeart/2005/8/layout/orgChart1"/>
    <dgm:cxn modelId="{717622EB-4B37-4509-BDF8-21A32FD58F75}" type="presParOf" srcId="{662A03C9-0D7D-4233-877E-650105F68909}" destId="{3F4608E4-44E4-4C09-98F7-7A5196AC4942}" srcOrd="0" destOrd="0" presId="urn:microsoft.com/office/officeart/2005/8/layout/orgChart1"/>
    <dgm:cxn modelId="{FB118571-51EC-4685-9A78-B90201057D30}" type="presParOf" srcId="{3F4608E4-44E4-4C09-98F7-7A5196AC4942}" destId="{422A5DCC-F310-4179-AC5C-3A5AA9AB3509}" srcOrd="0" destOrd="0" presId="urn:microsoft.com/office/officeart/2005/8/layout/orgChart1"/>
    <dgm:cxn modelId="{F9F72142-DEFA-419A-9933-23F734DCCCAD}" type="presParOf" srcId="{3F4608E4-44E4-4C09-98F7-7A5196AC4942}" destId="{D3BF38C4-1821-483A-AF26-C595ECE3E4B8}" srcOrd="1" destOrd="0" presId="urn:microsoft.com/office/officeart/2005/8/layout/orgChart1"/>
    <dgm:cxn modelId="{F5D381B2-A1BB-4210-82DA-C366CD92E499}" type="presParOf" srcId="{662A03C9-0D7D-4233-877E-650105F68909}" destId="{1A67025E-7A13-4535-954B-C51FC9C3959C}" srcOrd="1" destOrd="0" presId="urn:microsoft.com/office/officeart/2005/8/layout/orgChart1"/>
    <dgm:cxn modelId="{9527FBA6-DE1F-40FE-9093-AD67C3FBC6A2}" type="presParOf" srcId="{662A03C9-0D7D-4233-877E-650105F68909}" destId="{F58C77E7-E7F0-45FB-BD57-CF2EA3EB7FD9}" srcOrd="2" destOrd="0" presId="urn:microsoft.com/office/officeart/2005/8/layout/orgChart1"/>
    <dgm:cxn modelId="{DFD31DF9-B115-4071-9608-F31FCCB511F3}" type="presParOf" srcId="{CFE7259F-6958-4278-B532-D5FC1DF0D989}" destId="{7257938E-D889-44E8-903E-64F781AD5445}" srcOrd="6" destOrd="0" presId="urn:microsoft.com/office/officeart/2005/8/layout/orgChart1"/>
    <dgm:cxn modelId="{6D77CB65-E632-40A8-939C-8B3EBB427969}" type="presParOf" srcId="{CFE7259F-6958-4278-B532-D5FC1DF0D989}" destId="{6BC78485-EC53-4A3B-A085-C8CE3B5DDD0D}" srcOrd="7" destOrd="0" presId="urn:microsoft.com/office/officeart/2005/8/layout/orgChart1"/>
    <dgm:cxn modelId="{565F0ABA-7020-45D9-9597-ECA1AC5C9110}" type="presParOf" srcId="{6BC78485-EC53-4A3B-A085-C8CE3B5DDD0D}" destId="{80F2ED76-7E4E-40BC-8C32-61067686476B}" srcOrd="0" destOrd="0" presId="urn:microsoft.com/office/officeart/2005/8/layout/orgChart1"/>
    <dgm:cxn modelId="{1BB07A59-DED7-405A-AF57-EA1B28BCA2A9}" type="presParOf" srcId="{80F2ED76-7E4E-40BC-8C32-61067686476B}" destId="{FAAD6170-1F04-4FDD-BBA1-0FC91815D8AB}" srcOrd="0" destOrd="0" presId="urn:microsoft.com/office/officeart/2005/8/layout/orgChart1"/>
    <dgm:cxn modelId="{7CAA236A-77E1-418B-9A42-1B9BD6438410}" type="presParOf" srcId="{80F2ED76-7E4E-40BC-8C32-61067686476B}" destId="{8A7B6137-BADB-40A0-83C7-5924600DB155}" srcOrd="1" destOrd="0" presId="urn:microsoft.com/office/officeart/2005/8/layout/orgChart1"/>
    <dgm:cxn modelId="{E897D3B6-E110-41E9-8B53-A0BA99007540}" type="presParOf" srcId="{6BC78485-EC53-4A3B-A085-C8CE3B5DDD0D}" destId="{F00656D0-3746-4970-B100-4E0CFAAD1DCF}" srcOrd="1" destOrd="0" presId="urn:microsoft.com/office/officeart/2005/8/layout/orgChart1"/>
    <dgm:cxn modelId="{9916699E-BEB0-4123-B285-2F172E77E59B}" type="presParOf" srcId="{6BC78485-EC53-4A3B-A085-C8CE3B5DDD0D}" destId="{A8A9A632-63BC-4C73-B1FD-9B3784C72187}" srcOrd="2" destOrd="0" presId="urn:microsoft.com/office/officeart/2005/8/layout/orgChart1"/>
    <dgm:cxn modelId="{0B3D6C79-C30B-41F0-9D8F-9407FD6D9F15}" type="presParOf" srcId="{CFE7259F-6958-4278-B532-D5FC1DF0D989}" destId="{52430101-410F-429B-8A7E-9D395BDB29C2}" srcOrd="8" destOrd="0" presId="urn:microsoft.com/office/officeart/2005/8/layout/orgChart1"/>
    <dgm:cxn modelId="{F1E94AE1-6CE4-44E0-94E7-5223923AEBD9}" type="presParOf" srcId="{CFE7259F-6958-4278-B532-D5FC1DF0D989}" destId="{94172555-A9C7-4966-A12A-37D75E16EE52}" srcOrd="9" destOrd="0" presId="urn:microsoft.com/office/officeart/2005/8/layout/orgChart1"/>
    <dgm:cxn modelId="{6F148828-6F92-4ABA-8D90-8942A7ACE0F0}" type="presParOf" srcId="{94172555-A9C7-4966-A12A-37D75E16EE52}" destId="{42BF8E2B-F70F-44E9-A2BE-8DBA749331A0}" srcOrd="0" destOrd="0" presId="urn:microsoft.com/office/officeart/2005/8/layout/orgChart1"/>
    <dgm:cxn modelId="{4EB17D55-0941-47A6-9F37-A7680DD262E0}" type="presParOf" srcId="{42BF8E2B-F70F-44E9-A2BE-8DBA749331A0}" destId="{A0FFCFD9-314D-4AA7-8A74-9E28F81A2E49}" srcOrd="0" destOrd="0" presId="urn:microsoft.com/office/officeart/2005/8/layout/orgChart1"/>
    <dgm:cxn modelId="{7378BD14-C9EE-4D4A-A39C-82D297069CBF}" type="presParOf" srcId="{42BF8E2B-F70F-44E9-A2BE-8DBA749331A0}" destId="{57FFE383-3836-4EDE-813B-E105B2A6D5A6}" srcOrd="1" destOrd="0" presId="urn:microsoft.com/office/officeart/2005/8/layout/orgChart1"/>
    <dgm:cxn modelId="{71CB7A7A-21F3-4321-A285-2A3B29A92C88}" type="presParOf" srcId="{94172555-A9C7-4966-A12A-37D75E16EE52}" destId="{40218377-BCDE-4146-96CD-FC47CB6159A3}" srcOrd="1" destOrd="0" presId="urn:microsoft.com/office/officeart/2005/8/layout/orgChart1"/>
    <dgm:cxn modelId="{11C3589D-F741-416B-850A-836A7E00B322}" type="presParOf" srcId="{94172555-A9C7-4966-A12A-37D75E16EE52}" destId="{246A010F-115E-4EDE-A156-3A471124A032}" srcOrd="2" destOrd="0" presId="urn:microsoft.com/office/officeart/2005/8/layout/orgChart1"/>
    <dgm:cxn modelId="{FD4029A7-75E1-4894-8B83-D92065A05607}" type="presParOf" srcId="{92667419-A898-4795-9C0E-361368D04859}" destId="{529C72D2-9829-43B0-839C-5E27E8D16E0A}" srcOrd="2" destOrd="0" presId="urn:microsoft.com/office/officeart/2005/8/layout/orgChart1"/>
    <dgm:cxn modelId="{14A1A8D1-9BC8-428E-BD6A-B8C45445FC69}" type="presParOf" srcId="{7F944FE0-D2A2-405B-BDFF-D1897631706E}" destId="{3CD38DC8-3D55-42DE-AD09-72BD953ED7FB}" srcOrd="2" destOrd="0" presId="urn:microsoft.com/office/officeart/2005/8/layout/orgChart1"/>
    <dgm:cxn modelId="{0FD5E4D4-1739-4D83-BB35-71CAFDAFB81E}" type="presParOf" srcId="{7F944FE0-D2A2-405B-BDFF-D1897631706E}" destId="{596C2A0E-FAAA-4C19-8F64-3F40373672C6}" srcOrd="3" destOrd="0" presId="urn:microsoft.com/office/officeart/2005/8/layout/orgChart1"/>
    <dgm:cxn modelId="{683610BC-2FB1-43E3-B55C-8A244A1BD861}" type="presParOf" srcId="{596C2A0E-FAAA-4C19-8F64-3F40373672C6}" destId="{E1CC195C-D0F1-48C8-A703-25242680FC8E}" srcOrd="0" destOrd="0" presId="urn:microsoft.com/office/officeart/2005/8/layout/orgChart1"/>
    <dgm:cxn modelId="{6075DF83-D28E-44F5-8430-DAC1A8842A87}" type="presParOf" srcId="{E1CC195C-D0F1-48C8-A703-25242680FC8E}" destId="{D170E32D-A43F-4CAB-A215-C289F970862B}" srcOrd="0" destOrd="0" presId="urn:microsoft.com/office/officeart/2005/8/layout/orgChart1"/>
    <dgm:cxn modelId="{78D5ED16-C0E8-4166-A7B4-9093264A1C13}" type="presParOf" srcId="{E1CC195C-D0F1-48C8-A703-25242680FC8E}" destId="{18E317F2-7CF2-4DFD-9CA0-4A1E8C4ACD68}" srcOrd="1" destOrd="0" presId="urn:microsoft.com/office/officeart/2005/8/layout/orgChart1"/>
    <dgm:cxn modelId="{4F2C3B68-2D3F-49E8-9AD0-EC7528E0CC48}" type="presParOf" srcId="{596C2A0E-FAAA-4C19-8F64-3F40373672C6}" destId="{C4D3DF99-A745-4C02-9204-B9053A10435D}" srcOrd="1" destOrd="0" presId="urn:microsoft.com/office/officeart/2005/8/layout/orgChart1"/>
    <dgm:cxn modelId="{AC359EA7-27E4-46FA-A61B-A79DB5D2B153}" type="presParOf" srcId="{C4D3DF99-A745-4C02-9204-B9053A10435D}" destId="{B935FBDA-E2AB-49CA-8CF4-754257839CD4}" srcOrd="0" destOrd="0" presId="urn:microsoft.com/office/officeart/2005/8/layout/orgChart1"/>
    <dgm:cxn modelId="{1342A516-3A83-4BBC-B42D-F5C5ADA3C237}" type="presParOf" srcId="{C4D3DF99-A745-4C02-9204-B9053A10435D}" destId="{7E32E146-A64A-4070-B7C5-30A5B73717C1}" srcOrd="1" destOrd="0" presId="urn:microsoft.com/office/officeart/2005/8/layout/orgChart1"/>
    <dgm:cxn modelId="{A9BD9FDE-1F37-47BA-9F06-11D36612FF8B}" type="presParOf" srcId="{7E32E146-A64A-4070-B7C5-30A5B73717C1}" destId="{94CCBCF2-D29F-4CE4-9F38-9A0619F3E636}" srcOrd="0" destOrd="0" presId="urn:microsoft.com/office/officeart/2005/8/layout/orgChart1"/>
    <dgm:cxn modelId="{F494062A-C7FB-49A7-ADA3-9A4E5B7B8BAE}" type="presParOf" srcId="{94CCBCF2-D29F-4CE4-9F38-9A0619F3E636}" destId="{8D28DA9C-651E-493C-AEB4-8DE7C4670A76}" srcOrd="0" destOrd="0" presId="urn:microsoft.com/office/officeart/2005/8/layout/orgChart1"/>
    <dgm:cxn modelId="{CA4EBAD4-EEAF-4E3A-8D2E-B39A38F0889B}" type="presParOf" srcId="{94CCBCF2-D29F-4CE4-9F38-9A0619F3E636}" destId="{CAC4091A-492F-459B-840C-5F8135FD499F}" srcOrd="1" destOrd="0" presId="urn:microsoft.com/office/officeart/2005/8/layout/orgChart1"/>
    <dgm:cxn modelId="{5B2F94E3-D960-4DDC-A12E-15093E190912}" type="presParOf" srcId="{7E32E146-A64A-4070-B7C5-30A5B73717C1}" destId="{3F86CAF0-921B-456C-9C30-B205CF6EDFAB}" srcOrd="1" destOrd="0" presId="urn:microsoft.com/office/officeart/2005/8/layout/orgChart1"/>
    <dgm:cxn modelId="{28E323D8-20F0-4C67-9B84-479D830BDAFD}" type="presParOf" srcId="{3F86CAF0-921B-456C-9C30-B205CF6EDFAB}" destId="{AAF5925E-A439-4734-BFA7-0209F1E034E0}" srcOrd="0" destOrd="0" presId="urn:microsoft.com/office/officeart/2005/8/layout/orgChart1"/>
    <dgm:cxn modelId="{F703F49D-E6B3-4B34-AFA9-068C6CAC520A}" type="presParOf" srcId="{3F86CAF0-921B-456C-9C30-B205CF6EDFAB}" destId="{E4ACDD6B-0637-4F25-B692-478DE4CD1E8A}" srcOrd="1" destOrd="0" presId="urn:microsoft.com/office/officeart/2005/8/layout/orgChart1"/>
    <dgm:cxn modelId="{76E3BE23-B810-4761-BCB8-4910B0CF770A}" type="presParOf" srcId="{E4ACDD6B-0637-4F25-B692-478DE4CD1E8A}" destId="{D26411F1-3269-4B53-8632-15971C6AADE7}" srcOrd="0" destOrd="0" presId="urn:microsoft.com/office/officeart/2005/8/layout/orgChart1"/>
    <dgm:cxn modelId="{F477EF00-98C3-4FB2-92E6-1493FF30501F}" type="presParOf" srcId="{D26411F1-3269-4B53-8632-15971C6AADE7}" destId="{72AC346F-2F4E-444E-8C03-BD2A3B5A48DE}" srcOrd="0" destOrd="0" presId="urn:microsoft.com/office/officeart/2005/8/layout/orgChart1"/>
    <dgm:cxn modelId="{DF4ACFAD-5598-4383-AC78-B631683D50D0}" type="presParOf" srcId="{D26411F1-3269-4B53-8632-15971C6AADE7}" destId="{61BD3AC5-6CF6-4CA9-B7DA-7A4EF7D20243}" srcOrd="1" destOrd="0" presId="urn:microsoft.com/office/officeart/2005/8/layout/orgChart1"/>
    <dgm:cxn modelId="{0B357764-C865-405A-95C1-641FB537BA16}" type="presParOf" srcId="{E4ACDD6B-0637-4F25-B692-478DE4CD1E8A}" destId="{417D4C16-6F47-45C2-BFA4-54B9F621B68C}" srcOrd="1" destOrd="0" presId="urn:microsoft.com/office/officeart/2005/8/layout/orgChart1"/>
    <dgm:cxn modelId="{31F95963-53D8-423D-86CD-3EE818DC740E}" type="presParOf" srcId="{417D4C16-6F47-45C2-BFA4-54B9F621B68C}" destId="{6E904246-481F-4578-AD91-764D29E6D564}" srcOrd="0" destOrd="0" presId="urn:microsoft.com/office/officeart/2005/8/layout/orgChart1"/>
    <dgm:cxn modelId="{E906D7A0-E608-42F1-B765-7EE29899E8FE}" type="presParOf" srcId="{417D4C16-6F47-45C2-BFA4-54B9F621B68C}" destId="{3F7226FF-427D-42A9-8B80-A751CA140B09}" srcOrd="1" destOrd="0" presId="urn:microsoft.com/office/officeart/2005/8/layout/orgChart1"/>
    <dgm:cxn modelId="{88541657-6404-42C4-8577-981CA9455324}" type="presParOf" srcId="{3F7226FF-427D-42A9-8B80-A751CA140B09}" destId="{0A246336-23C1-4668-9722-4DF692D3DE4E}" srcOrd="0" destOrd="0" presId="urn:microsoft.com/office/officeart/2005/8/layout/orgChart1"/>
    <dgm:cxn modelId="{99AD6A02-D375-4A03-B02D-75ACE5D19FBC}" type="presParOf" srcId="{0A246336-23C1-4668-9722-4DF692D3DE4E}" destId="{3C105CD6-BA5F-4296-9ADF-C21FEB294665}" srcOrd="0" destOrd="0" presId="urn:microsoft.com/office/officeart/2005/8/layout/orgChart1"/>
    <dgm:cxn modelId="{45DE90E5-1ADB-4130-8837-E20724DAE165}" type="presParOf" srcId="{0A246336-23C1-4668-9722-4DF692D3DE4E}" destId="{385FC982-988E-4302-98BB-D7460D5505EC}" srcOrd="1" destOrd="0" presId="urn:microsoft.com/office/officeart/2005/8/layout/orgChart1"/>
    <dgm:cxn modelId="{6935D97D-4F7F-4B43-B08E-96674ABBDFED}" type="presParOf" srcId="{3F7226FF-427D-42A9-8B80-A751CA140B09}" destId="{FDB3ABF0-E8E8-4CD0-853A-E48F1654371B}" srcOrd="1" destOrd="0" presId="urn:microsoft.com/office/officeart/2005/8/layout/orgChart1"/>
    <dgm:cxn modelId="{AB7B6F7E-7C05-4FA5-9743-9665AF170A92}" type="presParOf" srcId="{3F7226FF-427D-42A9-8B80-A751CA140B09}" destId="{ECAD813E-F69E-4493-8464-0EFC6AD53AB3}" srcOrd="2" destOrd="0" presId="urn:microsoft.com/office/officeart/2005/8/layout/orgChart1"/>
    <dgm:cxn modelId="{1BE427B8-618D-4558-9E26-A9B0762E7960}" type="presParOf" srcId="{417D4C16-6F47-45C2-BFA4-54B9F621B68C}" destId="{2BE8EFB2-4965-4609-B1C2-1F507D9025F0}" srcOrd="2" destOrd="0" presId="urn:microsoft.com/office/officeart/2005/8/layout/orgChart1"/>
    <dgm:cxn modelId="{CC83812A-35CA-4D76-AD36-B93EA2183503}" type="presParOf" srcId="{417D4C16-6F47-45C2-BFA4-54B9F621B68C}" destId="{F775338A-84A5-49A8-AF6A-9BA8BA981152}" srcOrd="3" destOrd="0" presId="urn:microsoft.com/office/officeart/2005/8/layout/orgChart1"/>
    <dgm:cxn modelId="{0BD1BE27-B5F2-43AB-B7BD-BE6CCD02990E}" type="presParOf" srcId="{F775338A-84A5-49A8-AF6A-9BA8BA981152}" destId="{A9AA2BB9-9808-4E50-B65D-A1D192D8B270}" srcOrd="0" destOrd="0" presId="urn:microsoft.com/office/officeart/2005/8/layout/orgChart1"/>
    <dgm:cxn modelId="{1F39AC2A-1752-4566-8E35-A46C5D2AED30}" type="presParOf" srcId="{A9AA2BB9-9808-4E50-B65D-A1D192D8B270}" destId="{539C43EC-88FB-4101-BFC8-2FBEBDCB1CFF}" srcOrd="0" destOrd="0" presId="urn:microsoft.com/office/officeart/2005/8/layout/orgChart1"/>
    <dgm:cxn modelId="{759AB5B8-F524-47CC-A7DA-00C3532AB2E3}" type="presParOf" srcId="{A9AA2BB9-9808-4E50-B65D-A1D192D8B270}" destId="{37EBA9EA-1D7F-4485-92CD-286075E5D657}" srcOrd="1" destOrd="0" presId="urn:microsoft.com/office/officeart/2005/8/layout/orgChart1"/>
    <dgm:cxn modelId="{55236C69-F81F-4269-AA33-CFE591093C6E}" type="presParOf" srcId="{F775338A-84A5-49A8-AF6A-9BA8BA981152}" destId="{57E2BC50-0927-4908-AF16-2DC1A7ABAA91}" srcOrd="1" destOrd="0" presId="urn:microsoft.com/office/officeart/2005/8/layout/orgChart1"/>
    <dgm:cxn modelId="{E8D10900-62A2-4928-B07B-2249DBE6FA1E}" type="presParOf" srcId="{F775338A-84A5-49A8-AF6A-9BA8BA981152}" destId="{7122834D-968C-4F51-82BF-8F187CEE81CA}" srcOrd="2" destOrd="0" presId="urn:microsoft.com/office/officeart/2005/8/layout/orgChart1"/>
    <dgm:cxn modelId="{8E6E4E64-3573-4D30-B74B-3B6894A004C9}" type="presParOf" srcId="{417D4C16-6F47-45C2-BFA4-54B9F621B68C}" destId="{B03BF5AB-02EB-4D85-9282-46894415A7C4}" srcOrd="4" destOrd="0" presId="urn:microsoft.com/office/officeart/2005/8/layout/orgChart1"/>
    <dgm:cxn modelId="{531C8F46-FDD4-4B78-B0C9-66E182A3449D}" type="presParOf" srcId="{417D4C16-6F47-45C2-BFA4-54B9F621B68C}" destId="{4EA350DD-0CE0-4931-8C0F-DBE036A1099D}" srcOrd="5" destOrd="0" presId="urn:microsoft.com/office/officeart/2005/8/layout/orgChart1"/>
    <dgm:cxn modelId="{2471F6DB-F53B-4FEB-B6FA-00FD522AE346}" type="presParOf" srcId="{4EA350DD-0CE0-4931-8C0F-DBE036A1099D}" destId="{CD2F0EF6-63DD-4908-8B36-685448BC48E8}" srcOrd="0" destOrd="0" presId="urn:microsoft.com/office/officeart/2005/8/layout/orgChart1"/>
    <dgm:cxn modelId="{E476D255-0326-4CC1-A6CB-9A501002E4F7}" type="presParOf" srcId="{CD2F0EF6-63DD-4908-8B36-685448BC48E8}" destId="{042C9D99-30E8-4921-9EB9-EBE3CC59CEFA}" srcOrd="0" destOrd="0" presId="urn:microsoft.com/office/officeart/2005/8/layout/orgChart1"/>
    <dgm:cxn modelId="{2E05D8FB-BDF4-43F1-AE77-EB0ECF966A1A}" type="presParOf" srcId="{CD2F0EF6-63DD-4908-8B36-685448BC48E8}" destId="{3EDBFA9C-F817-479F-9192-D74217624230}" srcOrd="1" destOrd="0" presId="urn:microsoft.com/office/officeart/2005/8/layout/orgChart1"/>
    <dgm:cxn modelId="{8C2A5AD2-9970-4489-B790-D0F766CFAD7E}" type="presParOf" srcId="{4EA350DD-0CE0-4931-8C0F-DBE036A1099D}" destId="{B4F1833F-49EE-4B21-B613-A1E34BCE673C}" srcOrd="1" destOrd="0" presId="urn:microsoft.com/office/officeart/2005/8/layout/orgChart1"/>
    <dgm:cxn modelId="{7A95F00B-EFA0-474E-8E75-E5BEFD19B5EB}" type="presParOf" srcId="{4EA350DD-0CE0-4931-8C0F-DBE036A1099D}" destId="{7B2A69D4-674A-4532-8C2D-F390A2FA9622}" srcOrd="2" destOrd="0" presId="urn:microsoft.com/office/officeart/2005/8/layout/orgChart1"/>
    <dgm:cxn modelId="{9846C9A2-C25B-4A7E-8766-DD4A212CB05C}" type="presParOf" srcId="{417D4C16-6F47-45C2-BFA4-54B9F621B68C}" destId="{B894DCF4-CFDB-4655-8C23-F6D06D7FB345}" srcOrd="6" destOrd="0" presId="urn:microsoft.com/office/officeart/2005/8/layout/orgChart1"/>
    <dgm:cxn modelId="{12F2EF62-5D93-4BA3-BB32-28747AEE9BDE}" type="presParOf" srcId="{417D4C16-6F47-45C2-BFA4-54B9F621B68C}" destId="{BA7890AD-C28B-4184-A8D6-6EDBD113CB8A}" srcOrd="7" destOrd="0" presId="urn:microsoft.com/office/officeart/2005/8/layout/orgChart1"/>
    <dgm:cxn modelId="{808292CB-6152-49D4-9712-46802CAE5B92}" type="presParOf" srcId="{BA7890AD-C28B-4184-A8D6-6EDBD113CB8A}" destId="{C7694567-091A-4EF9-A3C2-2AF6B9A0305A}" srcOrd="0" destOrd="0" presId="urn:microsoft.com/office/officeart/2005/8/layout/orgChart1"/>
    <dgm:cxn modelId="{79081135-4113-4577-85D8-0A5F635EEC26}" type="presParOf" srcId="{C7694567-091A-4EF9-A3C2-2AF6B9A0305A}" destId="{D7E2BE4B-D731-4C2D-BA0A-37C902784000}" srcOrd="0" destOrd="0" presId="urn:microsoft.com/office/officeart/2005/8/layout/orgChart1"/>
    <dgm:cxn modelId="{8B96DA65-83F8-4DD4-8921-F61BA761C4D7}" type="presParOf" srcId="{C7694567-091A-4EF9-A3C2-2AF6B9A0305A}" destId="{9DEDF8A8-C04F-4AC1-8A19-9C5D980141EF}" srcOrd="1" destOrd="0" presId="urn:microsoft.com/office/officeart/2005/8/layout/orgChart1"/>
    <dgm:cxn modelId="{252289A3-3DFB-4926-B0B7-D6CDA7EC30AF}" type="presParOf" srcId="{BA7890AD-C28B-4184-A8D6-6EDBD113CB8A}" destId="{1DE648D8-AE03-4D1A-A2BC-9B57B681966C}" srcOrd="1" destOrd="0" presId="urn:microsoft.com/office/officeart/2005/8/layout/orgChart1"/>
    <dgm:cxn modelId="{4311F230-6793-4D7A-926F-118DCEF8599B}" type="presParOf" srcId="{BA7890AD-C28B-4184-A8D6-6EDBD113CB8A}" destId="{100DADC4-F030-4864-A9B4-A0917383493F}" srcOrd="2" destOrd="0" presId="urn:microsoft.com/office/officeart/2005/8/layout/orgChart1"/>
    <dgm:cxn modelId="{0F6E4012-374C-4450-8F48-BABF154EDB41}" type="presParOf" srcId="{417D4C16-6F47-45C2-BFA4-54B9F621B68C}" destId="{8361F233-B12E-43F6-BC39-A98D94AE39A7}" srcOrd="8" destOrd="0" presId="urn:microsoft.com/office/officeart/2005/8/layout/orgChart1"/>
    <dgm:cxn modelId="{6EE47D9D-25A0-45B3-86B1-28C264EC0BD8}" type="presParOf" srcId="{417D4C16-6F47-45C2-BFA4-54B9F621B68C}" destId="{DE9A41E4-3923-40A4-9CC8-1B1A5C09A77A}" srcOrd="9" destOrd="0" presId="urn:microsoft.com/office/officeart/2005/8/layout/orgChart1"/>
    <dgm:cxn modelId="{6687AA9E-54AC-4331-89BD-3861E77B7680}" type="presParOf" srcId="{DE9A41E4-3923-40A4-9CC8-1B1A5C09A77A}" destId="{B7719617-0E46-40B1-ADB6-32270E389581}" srcOrd="0" destOrd="0" presId="urn:microsoft.com/office/officeart/2005/8/layout/orgChart1"/>
    <dgm:cxn modelId="{6B044D66-620D-4CC8-A935-B6F95C60F6A2}" type="presParOf" srcId="{B7719617-0E46-40B1-ADB6-32270E389581}" destId="{85AD923B-4E2C-411D-9E05-6D278E6E3C31}" srcOrd="0" destOrd="0" presId="urn:microsoft.com/office/officeart/2005/8/layout/orgChart1"/>
    <dgm:cxn modelId="{0BEE9549-3807-486E-8264-35A71754E3D3}" type="presParOf" srcId="{B7719617-0E46-40B1-ADB6-32270E389581}" destId="{C9DB3AA9-5EBE-4CDD-923A-16B2DED554F2}" srcOrd="1" destOrd="0" presId="urn:microsoft.com/office/officeart/2005/8/layout/orgChart1"/>
    <dgm:cxn modelId="{9D1AEDD5-0135-464E-A6C1-6CC8DADD07DD}" type="presParOf" srcId="{DE9A41E4-3923-40A4-9CC8-1B1A5C09A77A}" destId="{5B4607DF-B053-49BD-89A1-C23BB12F949D}" srcOrd="1" destOrd="0" presId="urn:microsoft.com/office/officeart/2005/8/layout/orgChart1"/>
    <dgm:cxn modelId="{0AB0E9AF-5101-415D-8459-077E559A802F}" type="presParOf" srcId="{DE9A41E4-3923-40A4-9CC8-1B1A5C09A77A}" destId="{2D502DF0-43F9-4645-90C9-9E29C2A8A8BF}" srcOrd="2" destOrd="0" presId="urn:microsoft.com/office/officeart/2005/8/layout/orgChart1"/>
    <dgm:cxn modelId="{0A6D625F-1DF8-4AAF-AFA9-D987951CB9F0}" type="presParOf" srcId="{E4ACDD6B-0637-4F25-B692-478DE4CD1E8A}" destId="{A304A998-311C-42E3-BC67-14561F45BC79}" srcOrd="2" destOrd="0" presId="urn:microsoft.com/office/officeart/2005/8/layout/orgChart1"/>
    <dgm:cxn modelId="{0D750435-F1CE-4F85-B38C-E233700B4F09}" type="presParOf" srcId="{3F86CAF0-921B-456C-9C30-B205CF6EDFAB}" destId="{E6A192A7-97A5-4540-B81A-84E8F308CDFC}" srcOrd="2" destOrd="0" presId="urn:microsoft.com/office/officeart/2005/8/layout/orgChart1"/>
    <dgm:cxn modelId="{A9EB4EEA-2DE1-4888-BFAE-600BD4E24990}" type="presParOf" srcId="{3F86CAF0-921B-456C-9C30-B205CF6EDFAB}" destId="{804BC36F-EACE-45C8-8E82-10B45CA83627}" srcOrd="3" destOrd="0" presId="urn:microsoft.com/office/officeart/2005/8/layout/orgChart1"/>
    <dgm:cxn modelId="{4B90FDFA-1993-496C-A898-1BD50561E5A0}" type="presParOf" srcId="{804BC36F-EACE-45C8-8E82-10B45CA83627}" destId="{A23D1BB5-4E4D-4B19-8CB4-400279B2627B}" srcOrd="0" destOrd="0" presId="urn:microsoft.com/office/officeart/2005/8/layout/orgChart1"/>
    <dgm:cxn modelId="{6ED2A2B1-C7FC-48EC-9611-28D8A35148FE}" type="presParOf" srcId="{A23D1BB5-4E4D-4B19-8CB4-400279B2627B}" destId="{6AF35474-32B5-434B-BA60-39ACB08BD7D8}" srcOrd="0" destOrd="0" presId="urn:microsoft.com/office/officeart/2005/8/layout/orgChart1"/>
    <dgm:cxn modelId="{2EE1217E-807E-46EA-B0A6-9D6962180EFC}" type="presParOf" srcId="{A23D1BB5-4E4D-4B19-8CB4-400279B2627B}" destId="{BE2FD68E-17D1-4865-A7B1-0401D4588AFE}" srcOrd="1" destOrd="0" presId="urn:microsoft.com/office/officeart/2005/8/layout/orgChart1"/>
    <dgm:cxn modelId="{ECA55A97-0F81-47A0-8433-D76D9757A9E5}" type="presParOf" srcId="{804BC36F-EACE-45C8-8E82-10B45CA83627}" destId="{C8A45B9A-5A0B-438C-9F24-DF01849A37C3}" srcOrd="1" destOrd="0" presId="urn:microsoft.com/office/officeart/2005/8/layout/orgChart1"/>
    <dgm:cxn modelId="{1A65CC47-0C96-49D1-8E2A-A905F1D55030}" type="presParOf" srcId="{804BC36F-EACE-45C8-8E82-10B45CA83627}" destId="{E49F2DD3-8209-48D2-B39C-1D05BC28E27B}" srcOrd="2" destOrd="0" presId="urn:microsoft.com/office/officeart/2005/8/layout/orgChart1"/>
    <dgm:cxn modelId="{10F551E2-EEE3-4C8F-9D63-2AFE683526C4}" type="presParOf" srcId="{7E32E146-A64A-4070-B7C5-30A5B73717C1}" destId="{45AC5175-69A5-4135-B79C-12AD4A58E1A7}" srcOrd="2" destOrd="0" presId="urn:microsoft.com/office/officeart/2005/8/layout/orgChart1"/>
    <dgm:cxn modelId="{CC63E2D5-C1A1-4079-AED7-824C1802B9E6}" type="presParOf" srcId="{596C2A0E-FAAA-4C19-8F64-3F40373672C6}" destId="{8F47595E-1F20-4F5E-BE70-5CDDFE438157}" srcOrd="2" destOrd="0" presId="urn:microsoft.com/office/officeart/2005/8/layout/orgChart1"/>
    <dgm:cxn modelId="{E0590D61-C16B-4BC8-AE20-E51B9121193B}" type="presParOf" srcId="{7F944FE0-D2A2-405B-BDFF-D1897631706E}" destId="{146AE877-ED15-459B-B13B-AF077FBB1040}" srcOrd="4" destOrd="0" presId="urn:microsoft.com/office/officeart/2005/8/layout/orgChart1"/>
    <dgm:cxn modelId="{6C34EBB2-78DA-4600-9AB7-3AC84F832DFB}" type="presParOf" srcId="{7F944FE0-D2A2-405B-BDFF-D1897631706E}" destId="{D8BE7065-D2EC-4787-8FFC-B61F79EEC39D}" srcOrd="5" destOrd="0" presId="urn:microsoft.com/office/officeart/2005/8/layout/orgChart1"/>
    <dgm:cxn modelId="{CF6C9393-DD55-4A46-A0D3-226BC63F8D75}" type="presParOf" srcId="{D8BE7065-D2EC-4787-8FFC-B61F79EEC39D}" destId="{71363FA2-6923-417F-B55E-201974467DF6}" srcOrd="0" destOrd="0" presId="urn:microsoft.com/office/officeart/2005/8/layout/orgChart1"/>
    <dgm:cxn modelId="{A147F552-7B0C-4D28-86EF-0886CC8E5CC9}" type="presParOf" srcId="{71363FA2-6923-417F-B55E-201974467DF6}" destId="{5368EF9E-E26F-497A-B704-8C2CE5D835FD}" srcOrd="0" destOrd="0" presId="urn:microsoft.com/office/officeart/2005/8/layout/orgChart1"/>
    <dgm:cxn modelId="{2E2F2C95-E1AA-4702-9CC7-2C8AF2FD0D18}" type="presParOf" srcId="{71363FA2-6923-417F-B55E-201974467DF6}" destId="{05AACB28-368C-4D12-A4D8-69764BDEC4D2}" srcOrd="1" destOrd="0" presId="urn:microsoft.com/office/officeart/2005/8/layout/orgChart1"/>
    <dgm:cxn modelId="{9D4C8DE5-E41A-490F-AE8C-ECEA8661679B}" type="presParOf" srcId="{D8BE7065-D2EC-4787-8FFC-B61F79EEC39D}" destId="{6EB25563-D21F-483B-A064-03B79922792B}" srcOrd="1" destOrd="0" presId="urn:microsoft.com/office/officeart/2005/8/layout/orgChart1"/>
    <dgm:cxn modelId="{FCACB6CF-0856-41F2-99D0-60169CA18864}" type="presParOf" srcId="{6EB25563-D21F-483B-A064-03B79922792B}" destId="{1BDCF5C3-4938-4F7B-B883-DFE0EA2513F2}" srcOrd="0" destOrd="0" presId="urn:microsoft.com/office/officeart/2005/8/layout/orgChart1"/>
    <dgm:cxn modelId="{EBA0C046-D5FE-498E-9E51-36248CE2BC2B}" type="presParOf" srcId="{6EB25563-D21F-483B-A064-03B79922792B}" destId="{D51C4435-04F6-4D3A-8AC9-28DE1618776D}" srcOrd="1" destOrd="0" presId="urn:microsoft.com/office/officeart/2005/8/layout/orgChart1"/>
    <dgm:cxn modelId="{F60FD299-4B5A-4A70-9EA8-DAFC0CB1B63E}" type="presParOf" srcId="{D51C4435-04F6-4D3A-8AC9-28DE1618776D}" destId="{C8C3FF62-3F59-4D84-9B88-D6D2C6D0965C}" srcOrd="0" destOrd="0" presId="urn:microsoft.com/office/officeart/2005/8/layout/orgChart1"/>
    <dgm:cxn modelId="{6F5CF18C-F0B1-4F97-B5D1-2FC53309FE35}" type="presParOf" srcId="{C8C3FF62-3F59-4D84-9B88-D6D2C6D0965C}" destId="{3CB81659-FE3C-423B-9CBD-B42FC5FE3EA0}" srcOrd="0" destOrd="0" presId="urn:microsoft.com/office/officeart/2005/8/layout/orgChart1"/>
    <dgm:cxn modelId="{F4704150-7AC5-4E2A-9A46-AFBC93622FD8}" type="presParOf" srcId="{C8C3FF62-3F59-4D84-9B88-D6D2C6D0965C}" destId="{77CF87DA-CCF2-4C68-A6A1-315D38F06E97}" srcOrd="1" destOrd="0" presId="urn:microsoft.com/office/officeart/2005/8/layout/orgChart1"/>
    <dgm:cxn modelId="{9174DE7A-C1FF-464B-85FA-EE303A091CC3}" type="presParOf" srcId="{D51C4435-04F6-4D3A-8AC9-28DE1618776D}" destId="{9A131EBF-4F2C-4F30-929D-6EE9E0F9BCAA}" srcOrd="1" destOrd="0" presId="urn:microsoft.com/office/officeart/2005/8/layout/orgChart1"/>
    <dgm:cxn modelId="{580FA096-7203-4CAF-8EE8-301CDB3AF602}" type="presParOf" srcId="{9A131EBF-4F2C-4F30-929D-6EE9E0F9BCAA}" destId="{551EDF52-9700-4415-9C5E-2D5BBD97710A}" srcOrd="0" destOrd="0" presId="urn:microsoft.com/office/officeart/2005/8/layout/orgChart1"/>
    <dgm:cxn modelId="{B2A085EB-1C68-4501-8C2E-5F92D921FE43}" type="presParOf" srcId="{9A131EBF-4F2C-4F30-929D-6EE9E0F9BCAA}" destId="{DD393105-A334-4EB7-8239-C3EC22ABC35C}" srcOrd="1" destOrd="0" presId="urn:microsoft.com/office/officeart/2005/8/layout/orgChart1"/>
    <dgm:cxn modelId="{0D30D445-4485-445D-A748-628D7F0821CC}" type="presParOf" srcId="{DD393105-A334-4EB7-8239-C3EC22ABC35C}" destId="{34E0B7B8-A9FE-4637-BA33-0D34A4985CFE}" srcOrd="0" destOrd="0" presId="urn:microsoft.com/office/officeart/2005/8/layout/orgChart1"/>
    <dgm:cxn modelId="{8DB5DC01-5111-498A-B4CA-3F9AD712CA34}" type="presParOf" srcId="{34E0B7B8-A9FE-4637-BA33-0D34A4985CFE}" destId="{07D3882F-C235-4ADF-85FA-E879C777A8BD}" srcOrd="0" destOrd="0" presId="urn:microsoft.com/office/officeart/2005/8/layout/orgChart1"/>
    <dgm:cxn modelId="{892E1A75-F939-4AD4-A7DD-BCDFF9159FAE}" type="presParOf" srcId="{34E0B7B8-A9FE-4637-BA33-0D34A4985CFE}" destId="{4AFAFC3D-D935-4174-82BF-8097E9CC3978}" srcOrd="1" destOrd="0" presId="urn:microsoft.com/office/officeart/2005/8/layout/orgChart1"/>
    <dgm:cxn modelId="{E2BDB891-9117-46FF-AFCC-EADEC6437123}" type="presParOf" srcId="{DD393105-A334-4EB7-8239-C3EC22ABC35C}" destId="{32762620-2305-4932-8569-3643D2BD0F19}" srcOrd="1" destOrd="0" presId="urn:microsoft.com/office/officeart/2005/8/layout/orgChart1"/>
    <dgm:cxn modelId="{E4676627-CB49-4E5A-B676-16307C7DDC16}" type="presParOf" srcId="{DD393105-A334-4EB7-8239-C3EC22ABC35C}" destId="{8BC1F9E8-51D5-4381-8499-A60AB874E0FD}" srcOrd="2" destOrd="0" presId="urn:microsoft.com/office/officeart/2005/8/layout/orgChart1"/>
    <dgm:cxn modelId="{084A1B8E-FA5E-486D-89CC-BEA1C0058534}" type="presParOf" srcId="{9A131EBF-4F2C-4F30-929D-6EE9E0F9BCAA}" destId="{FB2DB3A0-B135-43F4-88C1-E9985DD92C2D}" srcOrd="2" destOrd="0" presId="urn:microsoft.com/office/officeart/2005/8/layout/orgChart1"/>
    <dgm:cxn modelId="{E122C6E9-AED6-43BE-A753-5550CF2F18E5}" type="presParOf" srcId="{9A131EBF-4F2C-4F30-929D-6EE9E0F9BCAA}" destId="{B2D79C74-D841-47CF-928E-3D8F67BB6CF4}" srcOrd="3" destOrd="0" presId="urn:microsoft.com/office/officeart/2005/8/layout/orgChart1"/>
    <dgm:cxn modelId="{4194CA10-F659-491A-B7D7-0C119BFC80F6}" type="presParOf" srcId="{B2D79C74-D841-47CF-928E-3D8F67BB6CF4}" destId="{D530D8F6-4633-4E2B-9D7F-07FE13465AD0}" srcOrd="0" destOrd="0" presId="urn:microsoft.com/office/officeart/2005/8/layout/orgChart1"/>
    <dgm:cxn modelId="{4C580550-566D-4DE2-B623-B780786BB18E}" type="presParOf" srcId="{D530D8F6-4633-4E2B-9D7F-07FE13465AD0}" destId="{D7DDDDF0-F44F-4B11-B08B-89295DEA0D9B}" srcOrd="0" destOrd="0" presId="urn:microsoft.com/office/officeart/2005/8/layout/orgChart1"/>
    <dgm:cxn modelId="{063E24EA-AF20-4561-B6F3-FEEBAEBA2691}" type="presParOf" srcId="{D530D8F6-4633-4E2B-9D7F-07FE13465AD0}" destId="{3957C82B-EF44-4844-A580-BC3F07AD1AAA}" srcOrd="1" destOrd="0" presId="urn:microsoft.com/office/officeart/2005/8/layout/orgChart1"/>
    <dgm:cxn modelId="{2226CB48-DF09-43BC-86D0-466D54BA3642}" type="presParOf" srcId="{B2D79C74-D841-47CF-928E-3D8F67BB6CF4}" destId="{0754D7EF-BC43-404C-B8A6-6E2B1C6A9AE2}" srcOrd="1" destOrd="0" presId="urn:microsoft.com/office/officeart/2005/8/layout/orgChart1"/>
    <dgm:cxn modelId="{0009A926-5646-4AC9-8DFE-C29E2BA1AD25}" type="presParOf" srcId="{B2D79C74-D841-47CF-928E-3D8F67BB6CF4}" destId="{72B790DC-CD82-4BA6-8E1B-4F531F1D61F0}" srcOrd="2" destOrd="0" presId="urn:microsoft.com/office/officeart/2005/8/layout/orgChart1"/>
    <dgm:cxn modelId="{5AD6A90C-66A5-4E43-BCA1-7225D1C7F23F}" type="presParOf" srcId="{D51C4435-04F6-4D3A-8AC9-28DE1618776D}" destId="{A5AD6A0B-6137-45FE-AEC3-274EDB22E7BE}" srcOrd="2" destOrd="0" presId="urn:microsoft.com/office/officeart/2005/8/layout/orgChart1"/>
    <dgm:cxn modelId="{B27CEFD5-48D9-4E76-B0C8-4588EF49827A}" type="presParOf" srcId="{6EB25563-D21F-483B-A064-03B79922792B}" destId="{4E82E1CF-9093-4966-8BDC-BA30B6523B53}" srcOrd="2" destOrd="0" presId="urn:microsoft.com/office/officeart/2005/8/layout/orgChart1"/>
    <dgm:cxn modelId="{E63D8D65-FDC8-4A52-A870-1E61884EA78B}" type="presParOf" srcId="{6EB25563-D21F-483B-A064-03B79922792B}" destId="{6D4684D6-3049-41BE-9C43-0701009F3CD0}" srcOrd="3" destOrd="0" presId="urn:microsoft.com/office/officeart/2005/8/layout/orgChart1"/>
    <dgm:cxn modelId="{E736C0D1-3E6B-47A7-8138-6964B27A266D}" type="presParOf" srcId="{6D4684D6-3049-41BE-9C43-0701009F3CD0}" destId="{D575E6F6-8868-49B4-8B9A-094F6C77B41D}" srcOrd="0" destOrd="0" presId="urn:microsoft.com/office/officeart/2005/8/layout/orgChart1"/>
    <dgm:cxn modelId="{8469569C-D9E4-46F8-A564-8FBB74068B7B}" type="presParOf" srcId="{D575E6F6-8868-49B4-8B9A-094F6C77B41D}" destId="{12FDCBF9-3BED-482D-906E-5A09DB8EAF1F}" srcOrd="0" destOrd="0" presId="urn:microsoft.com/office/officeart/2005/8/layout/orgChart1"/>
    <dgm:cxn modelId="{F721646F-B7FE-4E1D-98A4-8196C3C0EDE3}" type="presParOf" srcId="{D575E6F6-8868-49B4-8B9A-094F6C77B41D}" destId="{FC89D3C7-0538-47F7-AF35-0B577D30F034}" srcOrd="1" destOrd="0" presId="urn:microsoft.com/office/officeart/2005/8/layout/orgChart1"/>
    <dgm:cxn modelId="{EA726D1E-4AAD-40A8-AAEC-B3787D57EF2D}" type="presParOf" srcId="{6D4684D6-3049-41BE-9C43-0701009F3CD0}" destId="{40C287F3-39F2-4A58-9655-CD0EF0D06F7B}" srcOrd="1" destOrd="0" presId="urn:microsoft.com/office/officeart/2005/8/layout/orgChart1"/>
    <dgm:cxn modelId="{8AEEE21E-F636-47D2-803A-54E35579FED0}" type="presParOf" srcId="{40C287F3-39F2-4A58-9655-CD0EF0D06F7B}" destId="{169005B3-517D-446B-8623-5C28558CA7A7}" srcOrd="0" destOrd="0" presId="urn:microsoft.com/office/officeart/2005/8/layout/orgChart1"/>
    <dgm:cxn modelId="{E1D788C8-A2A4-4D94-A2E3-D28D8D826605}" type="presParOf" srcId="{40C287F3-39F2-4A58-9655-CD0EF0D06F7B}" destId="{FA2189D4-0609-4BBD-B1A4-F50349B76580}" srcOrd="1" destOrd="0" presId="urn:microsoft.com/office/officeart/2005/8/layout/orgChart1"/>
    <dgm:cxn modelId="{4647F263-3DF1-4BAF-96E8-4C7C2DC836CF}" type="presParOf" srcId="{FA2189D4-0609-4BBD-B1A4-F50349B76580}" destId="{95C8BA52-0A25-4B1B-9C1C-6FAD6F87853F}" srcOrd="0" destOrd="0" presId="urn:microsoft.com/office/officeart/2005/8/layout/orgChart1"/>
    <dgm:cxn modelId="{C4484BBA-4E16-4FF6-BF53-529446D1268B}" type="presParOf" srcId="{95C8BA52-0A25-4B1B-9C1C-6FAD6F87853F}" destId="{1E535ECD-9FA0-4E48-A66D-29FFB2AB3B70}" srcOrd="0" destOrd="0" presId="urn:microsoft.com/office/officeart/2005/8/layout/orgChart1"/>
    <dgm:cxn modelId="{0581A7FE-E67E-4B32-83A3-FC43E3337B6E}" type="presParOf" srcId="{95C8BA52-0A25-4B1B-9C1C-6FAD6F87853F}" destId="{A2F7DB0A-CD49-4EDD-B25D-FF7E00E87D85}" srcOrd="1" destOrd="0" presId="urn:microsoft.com/office/officeart/2005/8/layout/orgChart1"/>
    <dgm:cxn modelId="{79424FE9-2496-429E-A365-F857AF1D2133}" type="presParOf" srcId="{FA2189D4-0609-4BBD-B1A4-F50349B76580}" destId="{55C12E5E-D71A-41AF-B0EE-8DEB10EABF6C}" srcOrd="1" destOrd="0" presId="urn:microsoft.com/office/officeart/2005/8/layout/orgChart1"/>
    <dgm:cxn modelId="{717A5A1A-ADF9-42E9-903B-506C096F782B}" type="presParOf" srcId="{FA2189D4-0609-4BBD-B1A4-F50349B76580}" destId="{E2A7F598-2A90-4FBC-9CCC-46032457887C}" srcOrd="2" destOrd="0" presId="urn:microsoft.com/office/officeart/2005/8/layout/orgChart1"/>
    <dgm:cxn modelId="{1A1407C5-B4BF-4306-9B8A-7534E95EA87F}" type="presParOf" srcId="{40C287F3-39F2-4A58-9655-CD0EF0D06F7B}" destId="{B1F44040-471C-47E1-AA4C-3975425FBF91}" srcOrd="2" destOrd="0" presId="urn:microsoft.com/office/officeart/2005/8/layout/orgChart1"/>
    <dgm:cxn modelId="{20B6C382-20CA-4C58-A86A-728FEB9C47DA}" type="presParOf" srcId="{40C287F3-39F2-4A58-9655-CD0EF0D06F7B}" destId="{C2D84DC7-5EF4-4BC8-9576-DED11C3A7DFD}" srcOrd="3" destOrd="0" presId="urn:microsoft.com/office/officeart/2005/8/layout/orgChart1"/>
    <dgm:cxn modelId="{39F572E4-9000-4534-A229-2B714C3E9EFC}" type="presParOf" srcId="{C2D84DC7-5EF4-4BC8-9576-DED11C3A7DFD}" destId="{A5EFAD50-F422-4DD0-B7DB-428FBE8FC6A2}" srcOrd="0" destOrd="0" presId="urn:microsoft.com/office/officeart/2005/8/layout/orgChart1"/>
    <dgm:cxn modelId="{E7A095AD-2959-4962-96F8-C660E9A7F81F}" type="presParOf" srcId="{A5EFAD50-F422-4DD0-B7DB-428FBE8FC6A2}" destId="{0A7F2A46-750F-45A2-923B-D1292802EFDC}" srcOrd="0" destOrd="0" presId="urn:microsoft.com/office/officeart/2005/8/layout/orgChart1"/>
    <dgm:cxn modelId="{9775B978-B36E-421D-95AB-F8F0E8F69F4A}" type="presParOf" srcId="{A5EFAD50-F422-4DD0-B7DB-428FBE8FC6A2}" destId="{5517D03E-AE9E-4827-A3FB-E1CF8BC3E098}" srcOrd="1" destOrd="0" presId="urn:microsoft.com/office/officeart/2005/8/layout/orgChart1"/>
    <dgm:cxn modelId="{A24F6127-CF53-4303-9B22-95D376094846}" type="presParOf" srcId="{C2D84DC7-5EF4-4BC8-9576-DED11C3A7DFD}" destId="{C84665DD-42F1-4826-AAB6-D8630126BC8B}" srcOrd="1" destOrd="0" presId="urn:microsoft.com/office/officeart/2005/8/layout/orgChart1"/>
    <dgm:cxn modelId="{41DB4AB5-628B-4B7C-93D1-EEE9DABC72C4}" type="presParOf" srcId="{C2D84DC7-5EF4-4BC8-9576-DED11C3A7DFD}" destId="{D8899574-0656-4F1B-8027-B715745A0824}" srcOrd="2" destOrd="0" presId="urn:microsoft.com/office/officeart/2005/8/layout/orgChart1"/>
    <dgm:cxn modelId="{858439DE-E424-406F-A088-A3EB623F3651}" type="presParOf" srcId="{6D4684D6-3049-41BE-9C43-0701009F3CD0}" destId="{4FF2B127-3DD1-49B2-A994-6E2D85102CCF}" srcOrd="2" destOrd="0" presId="urn:microsoft.com/office/officeart/2005/8/layout/orgChart1"/>
    <dgm:cxn modelId="{A6959655-966E-4695-8D8F-D83972F757AF}" type="presParOf" srcId="{D8BE7065-D2EC-4787-8FFC-B61F79EEC39D}" destId="{BC2296E3-678E-497E-9639-ED3DB6D9EADC}" srcOrd="2" destOrd="0" presId="urn:microsoft.com/office/officeart/2005/8/layout/orgChart1"/>
    <dgm:cxn modelId="{505C5B68-BD7B-4E09-ABD9-F8E8530278DA}" type="presParOf" srcId="{7F944FE0-D2A2-405B-BDFF-D1897631706E}" destId="{86920179-6629-4A58-BB26-F9023C6AB676}" srcOrd="6" destOrd="0" presId="urn:microsoft.com/office/officeart/2005/8/layout/orgChart1"/>
    <dgm:cxn modelId="{76D42695-FC79-481C-BEE6-513A9150AC44}" type="presParOf" srcId="{7F944FE0-D2A2-405B-BDFF-D1897631706E}" destId="{385AF64B-4878-49AF-BB34-3F012067394B}" srcOrd="7" destOrd="0" presId="urn:microsoft.com/office/officeart/2005/8/layout/orgChart1"/>
    <dgm:cxn modelId="{F8E0AF27-2ADC-400B-A6E0-63A1B7413E0E}" type="presParOf" srcId="{385AF64B-4878-49AF-BB34-3F012067394B}" destId="{068FD7B9-8011-48D2-A182-EBFC5AA118E2}" srcOrd="0" destOrd="0" presId="urn:microsoft.com/office/officeart/2005/8/layout/orgChart1"/>
    <dgm:cxn modelId="{3505760D-DC39-4EC7-BFCB-6C6333C6D690}" type="presParOf" srcId="{068FD7B9-8011-48D2-A182-EBFC5AA118E2}" destId="{34D49AA9-33AD-4664-ADD5-58DB46EB9889}" srcOrd="0" destOrd="0" presId="urn:microsoft.com/office/officeart/2005/8/layout/orgChart1"/>
    <dgm:cxn modelId="{4AF15307-BB03-4F37-BBCE-AAEA290489CF}" type="presParOf" srcId="{068FD7B9-8011-48D2-A182-EBFC5AA118E2}" destId="{FA21B6A8-6AD6-40C5-B832-097165E0AE14}" srcOrd="1" destOrd="0" presId="urn:microsoft.com/office/officeart/2005/8/layout/orgChart1"/>
    <dgm:cxn modelId="{80CB2798-DD92-4D81-A7D6-C503D2718DFB}" type="presParOf" srcId="{385AF64B-4878-49AF-BB34-3F012067394B}" destId="{7A9C32C9-16BF-4D3E-BDD1-44D79FD1AB24}" srcOrd="1" destOrd="0" presId="urn:microsoft.com/office/officeart/2005/8/layout/orgChart1"/>
    <dgm:cxn modelId="{AFA2F512-2A95-4EDC-80FC-1C80870C7BCE}" type="presParOf" srcId="{7A9C32C9-16BF-4D3E-BDD1-44D79FD1AB24}" destId="{6AC18233-7434-428C-A2CE-9E3AFE243EA4}" srcOrd="0" destOrd="0" presId="urn:microsoft.com/office/officeart/2005/8/layout/orgChart1"/>
    <dgm:cxn modelId="{FDB9DF51-37BF-48F4-B20C-733FD23A4CFD}" type="presParOf" srcId="{7A9C32C9-16BF-4D3E-BDD1-44D79FD1AB24}" destId="{EB24A0CA-CF3C-48F9-925F-67D055FC3E19}" srcOrd="1" destOrd="0" presId="urn:microsoft.com/office/officeart/2005/8/layout/orgChart1"/>
    <dgm:cxn modelId="{4530D514-35A1-46D9-AAE1-A7CFB808FC17}" type="presParOf" srcId="{EB24A0CA-CF3C-48F9-925F-67D055FC3E19}" destId="{4D6B7E68-7345-431E-88BB-893362ADA909}" srcOrd="0" destOrd="0" presId="urn:microsoft.com/office/officeart/2005/8/layout/orgChart1"/>
    <dgm:cxn modelId="{A106C5F1-1500-4BB5-AB00-08664D2E66C3}" type="presParOf" srcId="{4D6B7E68-7345-431E-88BB-893362ADA909}" destId="{DA2E93DC-BB1D-4564-889B-BA004AC786E0}" srcOrd="0" destOrd="0" presId="urn:microsoft.com/office/officeart/2005/8/layout/orgChart1"/>
    <dgm:cxn modelId="{8236D07F-222A-496A-B6FC-E0A1EF046721}" type="presParOf" srcId="{4D6B7E68-7345-431E-88BB-893362ADA909}" destId="{99E07EF1-2718-49C0-B549-73DEE2F71416}" srcOrd="1" destOrd="0" presId="urn:microsoft.com/office/officeart/2005/8/layout/orgChart1"/>
    <dgm:cxn modelId="{3F95A740-1903-4EDF-AF3B-B01A8C7DAC01}" type="presParOf" srcId="{EB24A0CA-CF3C-48F9-925F-67D055FC3E19}" destId="{7B0E1761-D15E-4320-AA6E-52EBF3F2E66D}" srcOrd="1" destOrd="0" presId="urn:microsoft.com/office/officeart/2005/8/layout/orgChart1"/>
    <dgm:cxn modelId="{B837B5A8-B74D-446F-AFB6-F900CAE4E170}" type="presParOf" srcId="{7B0E1761-D15E-4320-AA6E-52EBF3F2E66D}" destId="{D7968CA6-A26B-43C5-9036-51384CB0A177}" srcOrd="0" destOrd="0" presId="urn:microsoft.com/office/officeart/2005/8/layout/orgChart1"/>
    <dgm:cxn modelId="{AB832D94-2068-4249-872D-5239F82FF183}" type="presParOf" srcId="{7B0E1761-D15E-4320-AA6E-52EBF3F2E66D}" destId="{5E1D58CE-2EAC-4297-BEA4-14F9FB70B9DC}" srcOrd="1" destOrd="0" presId="urn:microsoft.com/office/officeart/2005/8/layout/orgChart1"/>
    <dgm:cxn modelId="{A1FDFC2E-754D-40FA-BD9C-01E5C12A456F}" type="presParOf" srcId="{5E1D58CE-2EAC-4297-BEA4-14F9FB70B9DC}" destId="{F8FCB22D-B5A4-4DFA-B1D0-C9BC424E0291}" srcOrd="0" destOrd="0" presId="urn:microsoft.com/office/officeart/2005/8/layout/orgChart1"/>
    <dgm:cxn modelId="{FA6FA06D-A675-40C6-83E7-083536865FFB}" type="presParOf" srcId="{F8FCB22D-B5A4-4DFA-B1D0-C9BC424E0291}" destId="{47D7B08E-C006-4337-AFA5-B2B6AB5330E7}" srcOrd="0" destOrd="0" presId="urn:microsoft.com/office/officeart/2005/8/layout/orgChart1"/>
    <dgm:cxn modelId="{F37756B1-274F-42A0-8307-F41567F622D8}" type="presParOf" srcId="{F8FCB22D-B5A4-4DFA-B1D0-C9BC424E0291}" destId="{30BF917B-30C7-4244-BCF5-B6609692DE4D}" srcOrd="1" destOrd="0" presId="urn:microsoft.com/office/officeart/2005/8/layout/orgChart1"/>
    <dgm:cxn modelId="{FF670EA7-7A25-4395-8A19-322A89589F0F}" type="presParOf" srcId="{5E1D58CE-2EAC-4297-BEA4-14F9FB70B9DC}" destId="{CA706695-D83D-4307-9D43-2078468493DA}" srcOrd="1" destOrd="0" presId="urn:microsoft.com/office/officeart/2005/8/layout/orgChart1"/>
    <dgm:cxn modelId="{ADD01224-0067-4A94-B548-47D35EDB61AF}" type="presParOf" srcId="{5E1D58CE-2EAC-4297-BEA4-14F9FB70B9DC}" destId="{B34B29DD-FFDA-4380-8BFE-760AF2CEBD42}" srcOrd="2" destOrd="0" presId="urn:microsoft.com/office/officeart/2005/8/layout/orgChart1"/>
    <dgm:cxn modelId="{52CD9F69-E8C9-4F21-B787-02A934F7B049}" type="presParOf" srcId="{7B0E1761-D15E-4320-AA6E-52EBF3F2E66D}" destId="{0E0991F3-3934-47BB-929B-D5CDA7641990}" srcOrd="2" destOrd="0" presId="urn:microsoft.com/office/officeart/2005/8/layout/orgChart1"/>
    <dgm:cxn modelId="{9E84BE48-B531-4D77-8E4C-225018DCE5E9}" type="presParOf" srcId="{7B0E1761-D15E-4320-AA6E-52EBF3F2E66D}" destId="{329A036F-A499-429D-A48A-A92561947667}" srcOrd="3" destOrd="0" presId="urn:microsoft.com/office/officeart/2005/8/layout/orgChart1"/>
    <dgm:cxn modelId="{8D7ABD9D-E389-46B1-B921-F692F5E2B8BF}" type="presParOf" srcId="{329A036F-A499-429D-A48A-A92561947667}" destId="{AE82D68E-D9B7-46FF-85E9-8B70C6683B55}" srcOrd="0" destOrd="0" presId="urn:microsoft.com/office/officeart/2005/8/layout/orgChart1"/>
    <dgm:cxn modelId="{DAA2BB1F-F726-47FE-96B4-6C1EBB3DD6DA}" type="presParOf" srcId="{AE82D68E-D9B7-46FF-85E9-8B70C6683B55}" destId="{43E1BAD0-C612-479E-A76D-9ADDAE663A0D}" srcOrd="0" destOrd="0" presId="urn:microsoft.com/office/officeart/2005/8/layout/orgChart1"/>
    <dgm:cxn modelId="{50A7D0B0-3339-4C5F-975B-5A1AC5141208}" type="presParOf" srcId="{AE82D68E-D9B7-46FF-85E9-8B70C6683B55}" destId="{C3AE13EC-AD65-415B-91FB-22FE48785A3E}" srcOrd="1" destOrd="0" presId="urn:microsoft.com/office/officeart/2005/8/layout/orgChart1"/>
    <dgm:cxn modelId="{DE3B34E6-B330-47A9-AC8A-4819ADA15C07}" type="presParOf" srcId="{329A036F-A499-429D-A48A-A92561947667}" destId="{2C38C1EE-8865-4C5D-A418-8541DB06CDA8}" srcOrd="1" destOrd="0" presId="urn:microsoft.com/office/officeart/2005/8/layout/orgChart1"/>
    <dgm:cxn modelId="{DF79357D-F277-4FD9-89DD-291106278334}" type="presParOf" srcId="{329A036F-A499-429D-A48A-A92561947667}" destId="{8FB92146-00F4-4711-B047-DF4AF7DA2428}" srcOrd="2" destOrd="0" presId="urn:microsoft.com/office/officeart/2005/8/layout/orgChart1"/>
    <dgm:cxn modelId="{2FED51C5-DA2F-40BF-9B88-554636D915DE}" type="presParOf" srcId="{7B0E1761-D15E-4320-AA6E-52EBF3F2E66D}" destId="{75E9DCE7-BF69-4738-9940-25697E75186B}" srcOrd="4" destOrd="0" presId="urn:microsoft.com/office/officeart/2005/8/layout/orgChart1"/>
    <dgm:cxn modelId="{333D62CA-8947-45FB-B7F5-3CF763FD60F4}" type="presParOf" srcId="{7B0E1761-D15E-4320-AA6E-52EBF3F2E66D}" destId="{BD00315B-33DC-400B-BE1D-C3AF56988985}" srcOrd="5" destOrd="0" presId="urn:microsoft.com/office/officeart/2005/8/layout/orgChart1"/>
    <dgm:cxn modelId="{67242904-0CDA-4747-A0F6-460454241A1D}" type="presParOf" srcId="{BD00315B-33DC-400B-BE1D-C3AF56988985}" destId="{BB5DEC02-7935-45D7-960E-BB1EBACD7BA3}" srcOrd="0" destOrd="0" presId="urn:microsoft.com/office/officeart/2005/8/layout/orgChart1"/>
    <dgm:cxn modelId="{F5861D55-943C-4B4B-AB6A-7DA24E31CE26}" type="presParOf" srcId="{BB5DEC02-7935-45D7-960E-BB1EBACD7BA3}" destId="{2729BD24-0107-4858-9AA3-412C3646129B}" srcOrd="0" destOrd="0" presId="urn:microsoft.com/office/officeart/2005/8/layout/orgChart1"/>
    <dgm:cxn modelId="{D9B9B91D-A99A-4491-BAD7-84C36CFA81CA}" type="presParOf" srcId="{BB5DEC02-7935-45D7-960E-BB1EBACD7BA3}" destId="{73B79BE7-B499-4466-A25C-20D4D18A5B41}" srcOrd="1" destOrd="0" presId="urn:microsoft.com/office/officeart/2005/8/layout/orgChart1"/>
    <dgm:cxn modelId="{833453CE-7733-4860-A0FB-4F33DEE6108B}" type="presParOf" srcId="{BD00315B-33DC-400B-BE1D-C3AF56988985}" destId="{9713CF54-EEE2-4E29-86CD-104FD311F54C}" srcOrd="1" destOrd="0" presId="urn:microsoft.com/office/officeart/2005/8/layout/orgChart1"/>
    <dgm:cxn modelId="{86C3293B-B842-4E10-A640-A7587F6B580F}" type="presParOf" srcId="{BD00315B-33DC-400B-BE1D-C3AF56988985}" destId="{BF4D3BE8-327F-474D-8D2E-79F1C6DA71E2}" srcOrd="2" destOrd="0" presId="urn:microsoft.com/office/officeart/2005/8/layout/orgChart1"/>
    <dgm:cxn modelId="{74A5E3CD-D026-4388-B6F6-9AD4F2B57EC4}" type="presParOf" srcId="{EB24A0CA-CF3C-48F9-925F-67D055FC3E19}" destId="{61A6C384-661D-4488-AD5D-768B4A947FBD}" srcOrd="2" destOrd="0" presId="urn:microsoft.com/office/officeart/2005/8/layout/orgChart1"/>
    <dgm:cxn modelId="{AC84A93D-7AFC-420C-9CE4-959DBC737A0D}" type="presParOf" srcId="{7A9C32C9-16BF-4D3E-BDD1-44D79FD1AB24}" destId="{3A9512E9-E1C5-4380-BA7C-8E54B5E137DF}" srcOrd="2" destOrd="0" presId="urn:microsoft.com/office/officeart/2005/8/layout/orgChart1"/>
    <dgm:cxn modelId="{7A71AC06-ED4E-462F-9111-F9CF23CCAC1D}" type="presParOf" srcId="{7A9C32C9-16BF-4D3E-BDD1-44D79FD1AB24}" destId="{075A8305-3775-48CC-A7D3-4320ADDF26A5}" srcOrd="3" destOrd="0" presId="urn:microsoft.com/office/officeart/2005/8/layout/orgChart1"/>
    <dgm:cxn modelId="{650AE8AF-2B56-4597-AB6D-19A339DBA44E}" type="presParOf" srcId="{075A8305-3775-48CC-A7D3-4320ADDF26A5}" destId="{914A0770-4145-43FC-8249-A757D3507335}" srcOrd="0" destOrd="0" presId="urn:microsoft.com/office/officeart/2005/8/layout/orgChart1"/>
    <dgm:cxn modelId="{84418E88-46B6-4E5C-92A4-26E6CF99258B}" type="presParOf" srcId="{914A0770-4145-43FC-8249-A757D3507335}" destId="{4CB3CC10-420D-4678-B4A5-F650FAA65CFC}" srcOrd="0" destOrd="0" presId="urn:microsoft.com/office/officeart/2005/8/layout/orgChart1"/>
    <dgm:cxn modelId="{74B78DA3-1573-4653-BBED-3A85E11C50C2}" type="presParOf" srcId="{914A0770-4145-43FC-8249-A757D3507335}" destId="{E962E456-3173-4AC8-9388-5565756FFDF6}" srcOrd="1" destOrd="0" presId="urn:microsoft.com/office/officeart/2005/8/layout/orgChart1"/>
    <dgm:cxn modelId="{8EF25480-B45E-4DF8-A473-D6C8120863FB}" type="presParOf" srcId="{075A8305-3775-48CC-A7D3-4320ADDF26A5}" destId="{7E0C7BB9-5BB2-4E5A-B8D7-6F7CFC60ED3A}" srcOrd="1" destOrd="0" presId="urn:microsoft.com/office/officeart/2005/8/layout/orgChart1"/>
    <dgm:cxn modelId="{06063BAE-0B9E-4D4E-B169-8F7E30735318}" type="presParOf" srcId="{7E0C7BB9-5BB2-4E5A-B8D7-6F7CFC60ED3A}" destId="{C53932D4-51E7-41F5-AE16-C6CBB114DFEA}" srcOrd="0" destOrd="0" presId="urn:microsoft.com/office/officeart/2005/8/layout/orgChart1"/>
    <dgm:cxn modelId="{3E7F0684-52A6-4805-8FEB-D5260C5EE561}" type="presParOf" srcId="{7E0C7BB9-5BB2-4E5A-B8D7-6F7CFC60ED3A}" destId="{79CB2B5B-3697-4993-BCA7-F0EA057118BB}" srcOrd="1" destOrd="0" presId="urn:microsoft.com/office/officeart/2005/8/layout/orgChart1"/>
    <dgm:cxn modelId="{8DC8B065-A5AC-4E01-9474-BE88F93A9F15}" type="presParOf" srcId="{79CB2B5B-3697-4993-BCA7-F0EA057118BB}" destId="{72A685EF-7D18-4EA0-BAEB-26A2161DFE0B}" srcOrd="0" destOrd="0" presId="urn:microsoft.com/office/officeart/2005/8/layout/orgChart1"/>
    <dgm:cxn modelId="{213CC418-0E47-475D-8EED-0F6C904CFC58}" type="presParOf" srcId="{72A685EF-7D18-4EA0-BAEB-26A2161DFE0B}" destId="{4AD3C1C4-D9EA-4B51-B2F8-F5F336E1219A}" srcOrd="0" destOrd="0" presId="urn:microsoft.com/office/officeart/2005/8/layout/orgChart1"/>
    <dgm:cxn modelId="{EA77A346-D434-4208-8615-BE4772BBA069}" type="presParOf" srcId="{72A685EF-7D18-4EA0-BAEB-26A2161DFE0B}" destId="{4FD3DBF8-676D-4E03-B8F9-806C982C4A66}" srcOrd="1" destOrd="0" presId="urn:microsoft.com/office/officeart/2005/8/layout/orgChart1"/>
    <dgm:cxn modelId="{6B065F5C-7F60-4B3A-9BF8-E49D2F7EB44A}" type="presParOf" srcId="{79CB2B5B-3697-4993-BCA7-F0EA057118BB}" destId="{2E82E7AF-352D-4745-8180-60B75AAE4DAE}" srcOrd="1" destOrd="0" presId="urn:microsoft.com/office/officeart/2005/8/layout/orgChart1"/>
    <dgm:cxn modelId="{614F8B14-4B62-47FA-AC28-624D5482EFCE}" type="presParOf" srcId="{79CB2B5B-3697-4993-BCA7-F0EA057118BB}" destId="{FB51DC32-34A1-4F42-91BE-E05D99339116}" srcOrd="2" destOrd="0" presId="urn:microsoft.com/office/officeart/2005/8/layout/orgChart1"/>
    <dgm:cxn modelId="{B0769E41-8BDC-4062-8EEA-F106AC93E83D}" type="presParOf" srcId="{7E0C7BB9-5BB2-4E5A-B8D7-6F7CFC60ED3A}" destId="{C3FAA0F3-7CCC-449C-A82C-F68F70EE100B}" srcOrd="2" destOrd="0" presId="urn:microsoft.com/office/officeart/2005/8/layout/orgChart1"/>
    <dgm:cxn modelId="{606D5A7B-EBE2-4D1F-B810-A7A278C38DBF}" type="presParOf" srcId="{7E0C7BB9-5BB2-4E5A-B8D7-6F7CFC60ED3A}" destId="{092F2FFF-9E60-49E0-9D67-A2B2110FF0CC}" srcOrd="3" destOrd="0" presId="urn:microsoft.com/office/officeart/2005/8/layout/orgChart1"/>
    <dgm:cxn modelId="{B0FD77AA-5D1F-4060-BDC8-5E9B8D2A5F2A}" type="presParOf" srcId="{092F2FFF-9E60-49E0-9D67-A2B2110FF0CC}" destId="{82F8FC69-1226-4888-89BA-50A29818B23D}" srcOrd="0" destOrd="0" presId="urn:microsoft.com/office/officeart/2005/8/layout/orgChart1"/>
    <dgm:cxn modelId="{33FEC272-06BA-4FBA-AC07-F6850FD54625}" type="presParOf" srcId="{82F8FC69-1226-4888-89BA-50A29818B23D}" destId="{8106893D-3A89-48AC-99BF-9C6C7C662C1D}" srcOrd="0" destOrd="0" presId="urn:microsoft.com/office/officeart/2005/8/layout/orgChart1"/>
    <dgm:cxn modelId="{3A58EBD5-57C2-4A23-9580-4832C708094E}" type="presParOf" srcId="{82F8FC69-1226-4888-89BA-50A29818B23D}" destId="{89AC791A-EBF2-49B2-B781-7B106A580939}" srcOrd="1" destOrd="0" presId="urn:microsoft.com/office/officeart/2005/8/layout/orgChart1"/>
    <dgm:cxn modelId="{433404D7-44CC-43E5-A5A3-CBF20EA9DBB1}" type="presParOf" srcId="{092F2FFF-9E60-49E0-9D67-A2B2110FF0CC}" destId="{73B52ECB-0E42-4B08-9326-A249EF79B2BA}" srcOrd="1" destOrd="0" presId="urn:microsoft.com/office/officeart/2005/8/layout/orgChart1"/>
    <dgm:cxn modelId="{E412C050-2416-4A58-8ECE-AFF7F41F1F09}" type="presParOf" srcId="{092F2FFF-9E60-49E0-9D67-A2B2110FF0CC}" destId="{D5915785-2B2B-4B31-8D2C-A650A8284AD3}" srcOrd="2" destOrd="0" presId="urn:microsoft.com/office/officeart/2005/8/layout/orgChart1"/>
    <dgm:cxn modelId="{0B1AF61F-4B8F-46C7-9CAB-052DD5360FF5}" type="presParOf" srcId="{7E0C7BB9-5BB2-4E5A-B8D7-6F7CFC60ED3A}" destId="{2B3AD1B7-C2FA-429C-81C3-2B93654B4988}" srcOrd="4" destOrd="0" presId="urn:microsoft.com/office/officeart/2005/8/layout/orgChart1"/>
    <dgm:cxn modelId="{AE29FCC2-8A71-44A0-8B8B-B9D4C7525B68}" type="presParOf" srcId="{7E0C7BB9-5BB2-4E5A-B8D7-6F7CFC60ED3A}" destId="{445AF9CA-CD42-4D3D-8CFA-51656FDB01E9}" srcOrd="5" destOrd="0" presId="urn:microsoft.com/office/officeart/2005/8/layout/orgChart1"/>
    <dgm:cxn modelId="{5FB2A7D1-AC41-486E-BF17-9B8B2E8D1E72}" type="presParOf" srcId="{445AF9CA-CD42-4D3D-8CFA-51656FDB01E9}" destId="{6C252BFD-1478-428B-8780-23289727B889}" srcOrd="0" destOrd="0" presId="urn:microsoft.com/office/officeart/2005/8/layout/orgChart1"/>
    <dgm:cxn modelId="{BF41C8A4-C5CA-4F17-9F56-6E3D79CF9B1A}" type="presParOf" srcId="{6C252BFD-1478-428B-8780-23289727B889}" destId="{36897410-9752-4558-8045-59EAE8009D91}" srcOrd="0" destOrd="0" presId="urn:microsoft.com/office/officeart/2005/8/layout/orgChart1"/>
    <dgm:cxn modelId="{48C15061-FC84-4BB1-AA9B-687C9F55587C}" type="presParOf" srcId="{6C252BFD-1478-428B-8780-23289727B889}" destId="{BAF266AB-76B9-4EC2-80FA-1B6E8EF15352}" srcOrd="1" destOrd="0" presId="urn:microsoft.com/office/officeart/2005/8/layout/orgChart1"/>
    <dgm:cxn modelId="{90D08607-7771-4C37-95BD-F21D7F7885B4}" type="presParOf" srcId="{445AF9CA-CD42-4D3D-8CFA-51656FDB01E9}" destId="{D3589C40-4D8A-48C6-B356-6F2498FC0665}" srcOrd="1" destOrd="0" presId="urn:microsoft.com/office/officeart/2005/8/layout/orgChart1"/>
    <dgm:cxn modelId="{B48F021D-7662-4FE6-B4D8-6E0E3ACA5ECF}" type="presParOf" srcId="{445AF9CA-CD42-4D3D-8CFA-51656FDB01E9}" destId="{AADBE957-7524-42FC-95B1-050B989B54D7}" srcOrd="2" destOrd="0" presId="urn:microsoft.com/office/officeart/2005/8/layout/orgChart1"/>
    <dgm:cxn modelId="{18F2A3A4-DE32-4D18-BECF-AFA762C256AE}" type="presParOf" srcId="{7E0C7BB9-5BB2-4E5A-B8D7-6F7CFC60ED3A}" destId="{DE31F5CA-37EC-464B-A0E1-9AB790904E0E}" srcOrd="6" destOrd="0" presId="urn:microsoft.com/office/officeart/2005/8/layout/orgChart1"/>
    <dgm:cxn modelId="{69F0F29B-DEC6-4ADE-A473-B8722C058D6B}" type="presParOf" srcId="{7E0C7BB9-5BB2-4E5A-B8D7-6F7CFC60ED3A}" destId="{D467E7B8-8553-4750-9481-240B144A140A}" srcOrd="7" destOrd="0" presId="urn:microsoft.com/office/officeart/2005/8/layout/orgChart1"/>
    <dgm:cxn modelId="{D12E7E75-5C15-4772-A3C0-BDCFB803F8D2}" type="presParOf" srcId="{D467E7B8-8553-4750-9481-240B144A140A}" destId="{9020D338-B3A5-4F47-AA57-A04CF4F69450}" srcOrd="0" destOrd="0" presId="urn:microsoft.com/office/officeart/2005/8/layout/orgChart1"/>
    <dgm:cxn modelId="{7F88A7AD-4137-4E38-A763-CAC2BFCF0B91}" type="presParOf" srcId="{9020D338-B3A5-4F47-AA57-A04CF4F69450}" destId="{A197E7E5-E989-4B2D-830A-0E09071FB3E2}" srcOrd="0" destOrd="0" presId="urn:microsoft.com/office/officeart/2005/8/layout/orgChart1"/>
    <dgm:cxn modelId="{D26A460B-9197-463F-B8CE-5D4A8CEECD5F}" type="presParOf" srcId="{9020D338-B3A5-4F47-AA57-A04CF4F69450}" destId="{1E232AB8-93DE-4845-B58C-D44BE96A7024}" srcOrd="1" destOrd="0" presId="urn:microsoft.com/office/officeart/2005/8/layout/orgChart1"/>
    <dgm:cxn modelId="{082CA0B0-DB59-4D96-A8F6-5BC0E256138B}" type="presParOf" srcId="{D467E7B8-8553-4750-9481-240B144A140A}" destId="{338CCFC0-5726-4721-B4E9-EF0DACB834A8}" srcOrd="1" destOrd="0" presId="urn:microsoft.com/office/officeart/2005/8/layout/orgChart1"/>
    <dgm:cxn modelId="{3D72D754-DCD1-46BC-A1C3-7E91730D3358}" type="presParOf" srcId="{D467E7B8-8553-4750-9481-240B144A140A}" destId="{62BFC6B3-6425-493A-83F9-96A151286232}" srcOrd="2" destOrd="0" presId="urn:microsoft.com/office/officeart/2005/8/layout/orgChart1"/>
    <dgm:cxn modelId="{75DFDA36-4452-442A-B737-249E0EA8BFC1}" type="presParOf" srcId="{075A8305-3775-48CC-A7D3-4320ADDF26A5}" destId="{8CDCB8B8-B9F5-4D9F-938A-73D933864FEF}" srcOrd="2" destOrd="0" presId="urn:microsoft.com/office/officeart/2005/8/layout/orgChart1"/>
    <dgm:cxn modelId="{5805C64B-FB5A-46B8-9274-0E1A1A361F41}" type="presParOf" srcId="{385AF64B-4878-49AF-BB34-3F012067394B}" destId="{03864CF9-7B53-4B08-8E2A-D1D6CFCD74A7}" srcOrd="2" destOrd="0" presId="urn:microsoft.com/office/officeart/2005/8/layout/orgChart1"/>
    <dgm:cxn modelId="{02E0F069-6F94-41DE-82AA-EBE78184B8BB}" type="presParOf" srcId="{7F944FE0-D2A2-405B-BDFF-D1897631706E}" destId="{58BDADBE-4402-4E6F-AB6F-E215C5F98D3B}" srcOrd="8" destOrd="0" presId="urn:microsoft.com/office/officeart/2005/8/layout/orgChart1"/>
    <dgm:cxn modelId="{F0A76E12-6B1D-4B90-B339-3CDBE076D939}" type="presParOf" srcId="{7F944FE0-D2A2-405B-BDFF-D1897631706E}" destId="{CAC55414-926B-4025-9709-C51A1C0F1BA3}" srcOrd="9" destOrd="0" presId="urn:microsoft.com/office/officeart/2005/8/layout/orgChart1"/>
    <dgm:cxn modelId="{C72C7591-5F82-4B5A-A049-67F20578B50F}" type="presParOf" srcId="{CAC55414-926B-4025-9709-C51A1C0F1BA3}" destId="{84CEA5E3-2733-4C8E-82C3-8E65E6AC6A4F}" srcOrd="0" destOrd="0" presId="urn:microsoft.com/office/officeart/2005/8/layout/orgChart1"/>
    <dgm:cxn modelId="{6A2BBE13-16AC-4523-B4B9-72DE19F73D9C}" type="presParOf" srcId="{84CEA5E3-2733-4C8E-82C3-8E65E6AC6A4F}" destId="{0BF99F41-2B36-4860-856E-9B912562371F}" srcOrd="0" destOrd="0" presId="urn:microsoft.com/office/officeart/2005/8/layout/orgChart1"/>
    <dgm:cxn modelId="{CD06E973-4A2B-463E-8A1D-C87C07C83738}" type="presParOf" srcId="{84CEA5E3-2733-4C8E-82C3-8E65E6AC6A4F}" destId="{9BBA3CDE-9578-436B-BF71-4165D5256392}" srcOrd="1" destOrd="0" presId="urn:microsoft.com/office/officeart/2005/8/layout/orgChart1"/>
    <dgm:cxn modelId="{DAE43EDB-B780-4701-AD57-2D8AAD852608}" type="presParOf" srcId="{CAC55414-926B-4025-9709-C51A1C0F1BA3}" destId="{30CBF445-3176-4871-AE74-8842DAE8EA77}" srcOrd="1" destOrd="0" presId="urn:microsoft.com/office/officeart/2005/8/layout/orgChart1"/>
    <dgm:cxn modelId="{1FDB2F12-5051-470C-AC40-0AB80EF26670}" type="presParOf" srcId="{30CBF445-3176-4871-AE74-8842DAE8EA77}" destId="{56484EBF-27DD-4386-A0D0-1C14F44B1EE2}" srcOrd="0" destOrd="0" presId="urn:microsoft.com/office/officeart/2005/8/layout/orgChart1"/>
    <dgm:cxn modelId="{4290D1E9-341D-44CB-81FB-0A67E0B901B8}" type="presParOf" srcId="{30CBF445-3176-4871-AE74-8842DAE8EA77}" destId="{E63EB971-3061-4937-AAFE-A9B15516E3B4}" srcOrd="1" destOrd="0" presId="urn:microsoft.com/office/officeart/2005/8/layout/orgChart1"/>
    <dgm:cxn modelId="{861DCBBA-DD9F-4B0B-B652-497B503F04F4}" type="presParOf" srcId="{E63EB971-3061-4937-AAFE-A9B15516E3B4}" destId="{2036F450-66E3-430B-8CF0-2641100EEDE6}" srcOrd="0" destOrd="0" presId="urn:microsoft.com/office/officeart/2005/8/layout/orgChart1"/>
    <dgm:cxn modelId="{760C10CC-6B4A-4DEE-8852-A597FA76C508}" type="presParOf" srcId="{2036F450-66E3-430B-8CF0-2641100EEDE6}" destId="{1B7F2636-2E39-4D22-BF8C-4574EEF2DA91}" srcOrd="0" destOrd="0" presId="urn:microsoft.com/office/officeart/2005/8/layout/orgChart1"/>
    <dgm:cxn modelId="{7FDFEFCB-8217-4A4E-8E7F-675631C76F90}" type="presParOf" srcId="{2036F450-66E3-430B-8CF0-2641100EEDE6}" destId="{BE7BA4D1-2AE1-4EE2-9EB8-A1B10CF23D87}" srcOrd="1" destOrd="0" presId="urn:microsoft.com/office/officeart/2005/8/layout/orgChart1"/>
    <dgm:cxn modelId="{E049AEAF-DCAB-43BD-BF8D-93AC1FB0913C}" type="presParOf" srcId="{E63EB971-3061-4937-AAFE-A9B15516E3B4}" destId="{FA9B1E33-E44D-439C-B94A-A4ACF77A3ABE}" srcOrd="1" destOrd="0" presId="urn:microsoft.com/office/officeart/2005/8/layout/orgChart1"/>
    <dgm:cxn modelId="{9367498E-5A29-4AA8-AF86-99BA15FD50A1}" type="presParOf" srcId="{E63EB971-3061-4937-AAFE-A9B15516E3B4}" destId="{0D769C54-31F6-4E75-A1E5-34D1BB6F5B29}" srcOrd="2" destOrd="0" presId="urn:microsoft.com/office/officeart/2005/8/layout/orgChart1"/>
    <dgm:cxn modelId="{DE987850-B32E-4784-B914-A5FBB37AB6D8}" type="presParOf" srcId="{30CBF445-3176-4871-AE74-8842DAE8EA77}" destId="{47A21D83-0961-4F83-B6CA-9111DF4BFE52}" srcOrd="2" destOrd="0" presId="urn:microsoft.com/office/officeart/2005/8/layout/orgChart1"/>
    <dgm:cxn modelId="{67E2D471-5ACD-4E8F-91EE-99F23BC4BCCB}" type="presParOf" srcId="{30CBF445-3176-4871-AE74-8842DAE8EA77}" destId="{27C8648E-06C7-41E1-AB85-24ADACB06DA0}" srcOrd="3" destOrd="0" presId="urn:microsoft.com/office/officeart/2005/8/layout/orgChart1"/>
    <dgm:cxn modelId="{AE5C867B-D958-46D6-BAAC-39DDE124CB01}" type="presParOf" srcId="{27C8648E-06C7-41E1-AB85-24ADACB06DA0}" destId="{7FF5428D-C306-457D-B0CD-DBEC8B50A11D}" srcOrd="0" destOrd="0" presId="urn:microsoft.com/office/officeart/2005/8/layout/orgChart1"/>
    <dgm:cxn modelId="{1B7FB2C9-8947-4F65-BD1D-B5517647009F}" type="presParOf" srcId="{7FF5428D-C306-457D-B0CD-DBEC8B50A11D}" destId="{D2B32FE8-B300-4E27-B7E2-297F3F999D4E}" srcOrd="0" destOrd="0" presId="urn:microsoft.com/office/officeart/2005/8/layout/orgChart1"/>
    <dgm:cxn modelId="{2AD13E75-037C-45DF-ACDA-CF90CBCC82C7}" type="presParOf" srcId="{7FF5428D-C306-457D-B0CD-DBEC8B50A11D}" destId="{9F318731-EE01-4314-B79B-B28E42749C00}" srcOrd="1" destOrd="0" presId="urn:microsoft.com/office/officeart/2005/8/layout/orgChart1"/>
    <dgm:cxn modelId="{D2A9C128-423F-422D-BA90-4EE995BE9C00}" type="presParOf" srcId="{27C8648E-06C7-41E1-AB85-24ADACB06DA0}" destId="{81979E69-6B05-4EC7-AA2F-C9F76EBB2E89}" srcOrd="1" destOrd="0" presId="urn:microsoft.com/office/officeart/2005/8/layout/orgChart1"/>
    <dgm:cxn modelId="{7377343D-32BD-4CFB-B49C-BF1A51EE23AB}" type="presParOf" srcId="{27C8648E-06C7-41E1-AB85-24ADACB06DA0}" destId="{5C6B34E6-E6BA-4C7A-BDB3-963037826DD2}" srcOrd="2" destOrd="0" presId="urn:microsoft.com/office/officeart/2005/8/layout/orgChart1"/>
    <dgm:cxn modelId="{9F08E43E-64E0-48E0-9F97-B8FCF61133D5}" type="presParOf" srcId="{30CBF445-3176-4871-AE74-8842DAE8EA77}" destId="{807FA1CB-C069-4A68-9F5B-ACB3D4C2C7E0}" srcOrd="4" destOrd="0" presId="urn:microsoft.com/office/officeart/2005/8/layout/orgChart1"/>
    <dgm:cxn modelId="{E31466F6-2974-4E95-9608-F9165E799D14}" type="presParOf" srcId="{30CBF445-3176-4871-AE74-8842DAE8EA77}" destId="{D5654D94-4063-4907-90AD-D557FD0FC7D8}" srcOrd="5" destOrd="0" presId="urn:microsoft.com/office/officeart/2005/8/layout/orgChart1"/>
    <dgm:cxn modelId="{EB4B99A6-DB32-4928-A173-8C45F3FB69AA}" type="presParOf" srcId="{D5654D94-4063-4907-90AD-D557FD0FC7D8}" destId="{3B29332E-B997-4913-82FD-7ADE58B37E18}" srcOrd="0" destOrd="0" presId="urn:microsoft.com/office/officeart/2005/8/layout/orgChart1"/>
    <dgm:cxn modelId="{F3BFFA03-8488-496A-AB25-7C43E2D50736}" type="presParOf" srcId="{3B29332E-B997-4913-82FD-7ADE58B37E18}" destId="{0B77889B-AAC5-42E4-AC09-1DCA681BCE85}" srcOrd="0" destOrd="0" presId="urn:microsoft.com/office/officeart/2005/8/layout/orgChart1"/>
    <dgm:cxn modelId="{310FBE1B-E1A3-470B-874F-916F6BBD7246}" type="presParOf" srcId="{3B29332E-B997-4913-82FD-7ADE58B37E18}" destId="{45F7E176-19D1-4464-8B8E-5DA14B89B110}" srcOrd="1" destOrd="0" presId="urn:microsoft.com/office/officeart/2005/8/layout/orgChart1"/>
    <dgm:cxn modelId="{5155367C-192F-4257-939B-EA02AC13F191}" type="presParOf" srcId="{D5654D94-4063-4907-90AD-D557FD0FC7D8}" destId="{B4601DB9-3547-46B7-BCB9-99185FEAFD54}" srcOrd="1" destOrd="0" presId="urn:microsoft.com/office/officeart/2005/8/layout/orgChart1"/>
    <dgm:cxn modelId="{54BC8AEE-6831-4265-959C-D71BA3A76522}" type="presParOf" srcId="{D5654D94-4063-4907-90AD-D557FD0FC7D8}" destId="{A7A4D252-5741-44E4-B403-B75C460BBA4E}" srcOrd="2" destOrd="0" presId="urn:microsoft.com/office/officeart/2005/8/layout/orgChart1"/>
    <dgm:cxn modelId="{B05646DC-D262-4875-BA92-32157A3421D0}" type="presParOf" srcId="{CAC55414-926B-4025-9709-C51A1C0F1BA3}" destId="{06364E07-E5A5-47C1-8783-78E7393DD3C8}" srcOrd="2" destOrd="0" presId="urn:microsoft.com/office/officeart/2005/8/layout/orgChart1"/>
    <dgm:cxn modelId="{87C24E4D-3B70-4B43-9412-557B2797F426}" type="presParOf" srcId="{7F944FE0-D2A2-405B-BDFF-D1897631706E}" destId="{1CAB3E94-5855-4109-A43C-7105AD6B26D0}" srcOrd="10" destOrd="0" presId="urn:microsoft.com/office/officeart/2005/8/layout/orgChart1"/>
    <dgm:cxn modelId="{83469CB4-81DE-430C-B021-14D01E550E04}" type="presParOf" srcId="{7F944FE0-D2A2-405B-BDFF-D1897631706E}" destId="{F9117AA4-539E-4EE3-B164-8174B0B40EC0}" srcOrd="11" destOrd="0" presId="urn:microsoft.com/office/officeart/2005/8/layout/orgChart1"/>
    <dgm:cxn modelId="{F54B7B07-4CD1-41A9-B114-34151EC16ED7}" type="presParOf" srcId="{F9117AA4-539E-4EE3-B164-8174B0B40EC0}" destId="{EAF88972-4E53-4659-94BD-910A092B9148}" srcOrd="0" destOrd="0" presId="urn:microsoft.com/office/officeart/2005/8/layout/orgChart1"/>
    <dgm:cxn modelId="{4DE60D68-2A28-450E-A39E-9C1406F13E5E}" type="presParOf" srcId="{EAF88972-4E53-4659-94BD-910A092B9148}" destId="{3A2A1C1F-CABC-4C98-B728-F262323AA994}" srcOrd="0" destOrd="0" presId="urn:microsoft.com/office/officeart/2005/8/layout/orgChart1"/>
    <dgm:cxn modelId="{45CAFAAB-B05A-4D0D-BC95-D44B903991A6}" type="presParOf" srcId="{EAF88972-4E53-4659-94BD-910A092B9148}" destId="{0393B6C4-B4FB-4B6B-8DB5-37B9B19AABA4}" srcOrd="1" destOrd="0" presId="urn:microsoft.com/office/officeart/2005/8/layout/orgChart1"/>
    <dgm:cxn modelId="{F80F869F-5C9B-4F78-AC0E-3FC632EF3C2B}" type="presParOf" srcId="{F9117AA4-539E-4EE3-B164-8174B0B40EC0}" destId="{977D3813-5412-42A7-8B4D-5447A06AC163}" srcOrd="1" destOrd="0" presId="urn:microsoft.com/office/officeart/2005/8/layout/orgChart1"/>
    <dgm:cxn modelId="{0BE71C7E-9281-427A-99F9-BC5F60C54CDD}" type="presParOf" srcId="{977D3813-5412-42A7-8B4D-5447A06AC163}" destId="{78FA309A-083A-4C64-9477-7A3C69B2784C}" srcOrd="0" destOrd="0" presId="urn:microsoft.com/office/officeart/2005/8/layout/orgChart1"/>
    <dgm:cxn modelId="{1A5C6895-F901-495B-9F34-4F94A1CCE95C}" type="presParOf" srcId="{977D3813-5412-42A7-8B4D-5447A06AC163}" destId="{FEB3D90E-42D2-4AC7-9CB5-35870C299752}" srcOrd="1" destOrd="0" presId="urn:microsoft.com/office/officeart/2005/8/layout/orgChart1"/>
    <dgm:cxn modelId="{018D4DDA-860B-41E4-88BD-73D413F68961}" type="presParOf" srcId="{FEB3D90E-42D2-4AC7-9CB5-35870C299752}" destId="{05080593-A2ED-4379-91EC-55846B4CD50F}" srcOrd="0" destOrd="0" presId="urn:microsoft.com/office/officeart/2005/8/layout/orgChart1"/>
    <dgm:cxn modelId="{16731212-06EA-4BBE-812E-DD6DB5C9C98C}" type="presParOf" srcId="{05080593-A2ED-4379-91EC-55846B4CD50F}" destId="{6BAFA004-7462-4BB3-8CF7-8F0FAE532698}" srcOrd="0" destOrd="0" presId="urn:microsoft.com/office/officeart/2005/8/layout/orgChart1"/>
    <dgm:cxn modelId="{D73ADA14-7D0D-44AD-9B6C-616645AF3626}" type="presParOf" srcId="{05080593-A2ED-4379-91EC-55846B4CD50F}" destId="{C0FC47CA-1988-459D-A473-7CA219823B7E}" srcOrd="1" destOrd="0" presId="urn:microsoft.com/office/officeart/2005/8/layout/orgChart1"/>
    <dgm:cxn modelId="{B4E9CBC1-6BCA-4177-9BF4-F8A933C559BD}" type="presParOf" srcId="{FEB3D90E-42D2-4AC7-9CB5-35870C299752}" destId="{7C2A8F67-B35D-46B9-8CDC-F1C514C733F2}" srcOrd="1" destOrd="0" presId="urn:microsoft.com/office/officeart/2005/8/layout/orgChart1"/>
    <dgm:cxn modelId="{43200C7E-5098-4EB6-9B57-F63C2EACE628}" type="presParOf" srcId="{FEB3D90E-42D2-4AC7-9CB5-35870C299752}" destId="{0D223CD7-96A9-487A-A2F6-A9D48710FA30}" srcOrd="2" destOrd="0" presId="urn:microsoft.com/office/officeart/2005/8/layout/orgChart1"/>
    <dgm:cxn modelId="{1874F35E-5383-4BBD-A724-556040B27330}" type="presParOf" srcId="{977D3813-5412-42A7-8B4D-5447A06AC163}" destId="{679EAA6C-B7F9-45B1-B314-064B1497E450}" srcOrd="2" destOrd="0" presId="urn:microsoft.com/office/officeart/2005/8/layout/orgChart1"/>
    <dgm:cxn modelId="{380344C2-5564-4AFE-A8CE-7319C8B9FB1B}" type="presParOf" srcId="{977D3813-5412-42A7-8B4D-5447A06AC163}" destId="{A65D9E2F-0DF0-4606-978F-4875BE6D73B0}" srcOrd="3" destOrd="0" presId="urn:microsoft.com/office/officeart/2005/8/layout/orgChart1"/>
    <dgm:cxn modelId="{C130EC47-7864-4C0D-99E7-9CFFD1D49836}" type="presParOf" srcId="{A65D9E2F-0DF0-4606-978F-4875BE6D73B0}" destId="{6AF48B43-38E1-44C8-962D-77020524A35A}" srcOrd="0" destOrd="0" presId="urn:microsoft.com/office/officeart/2005/8/layout/orgChart1"/>
    <dgm:cxn modelId="{13289D56-19F0-428D-B184-6E4DF9DCD813}" type="presParOf" srcId="{6AF48B43-38E1-44C8-962D-77020524A35A}" destId="{8214640F-5D66-49B2-997F-5F320E255B10}" srcOrd="0" destOrd="0" presId="urn:microsoft.com/office/officeart/2005/8/layout/orgChart1"/>
    <dgm:cxn modelId="{41EA2354-4E25-4711-B75F-06E05AF7139B}" type="presParOf" srcId="{6AF48B43-38E1-44C8-962D-77020524A35A}" destId="{2B3E1A31-C7DC-446D-8815-E4813D3B56B4}" srcOrd="1" destOrd="0" presId="urn:microsoft.com/office/officeart/2005/8/layout/orgChart1"/>
    <dgm:cxn modelId="{A90C9612-1912-4F04-8B10-F13187BB7E43}" type="presParOf" srcId="{A65D9E2F-0DF0-4606-978F-4875BE6D73B0}" destId="{360721A3-6E7E-4BAF-9E41-ACAEBFCAE7AE}" srcOrd="1" destOrd="0" presId="urn:microsoft.com/office/officeart/2005/8/layout/orgChart1"/>
    <dgm:cxn modelId="{AC5AF2C9-0D57-47E4-9528-786CC5AD9FFC}" type="presParOf" srcId="{A65D9E2F-0DF0-4606-978F-4875BE6D73B0}" destId="{5DADC705-AA0C-45D6-969F-EB7762223FA5}" srcOrd="2" destOrd="0" presId="urn:microsoft.com/office/officeart/2005/8/layout/orgChart1"/>
    <dgm:cxn modelId="{AE139607-DDC9-4688-B238-FD945180775C}" type="presParOf" srcId="{977D3813-5412-42A7-8B4D-5447A06AC163}" destId="{52777498-AA74-4FC2-849F-C626B27A45B4}" srcOrd="4" destOrd="0" presId="urn:microsoft.com/office/officeart/2005/8/layout/orgChart1"/>
    <dgm:cxn modelId="{7B9F6543-286F-4FF4-996C-3EB407699B6C}" type="presParOf" srcId="{977D3813-5412-42A7-8B4D-5447A06AC163}" destId="{9ED8E56C-C0DA-4771-B928-9B8BF0AE6D47}" srcOrd="5" destOrd="0" presId="urn:microsoft.com/office/officeart/2005/8/layout/orgChart1"/>
    <dgm:cxn modelId="{D1E70D9F-6B61-42E9-B9D8-F0430F08CEB8}" type="presParOf" srcId="{9ED8E56C-C0DA-4771-B928-9B8BF0AE6D47}" destId="{866E3ED8-98DF-4099-A051-59DBAC27FD71}" srcOrd="0" destOrd="0" presId="urn:microsoft.com/office/officeart/2005/8/layout/orgChart1"/>
    <dgm:cxn modelId="{435E22A6-6B12-4307-8D21-A4DFC2C374C4}" type="presParOf" srcId="{866E3ED8-98DF-4099-A051-59DBAC27FD71}" destId="{0CE7C8B4-F8E6-429D-8C4A-73E9D60DCB81}" srcOrd="0" destOrd="0" presId="urn:microsoft.com/office/officeart/2005/8/layout/orgChart1"/>
    <dgm:cxn modelId="{83B965FF-0EF2-4F3F-9E0E-00FFA858D730}" type="presParOf" srcId="{866E3ED8-98DF-4099-A051-59DBAC27FD71}" destId="{7568918C-FAD7-4B9E-9AFD-52C33DE56813}" srcOrd="1" destOrd="0" presId="urn:microsoft.com/office/officeart/2005/8/layout/orgChart1"/>
    <dgm:cxn modelId="{FDCB68EF-8FAC-4AEE-8677-F2D28F682FD3}" type="presParOf" srcId="{9ED8E56C-C0DA-4771-B928-9B8BF0AE6D47}" destId="{E194985F-1898-4344-BB7D-4D437304ED4A}" srcOrd="1" destOrd="0" presId="urn:microsoft.com/office/officeart/2005/8/layout/orgChart1"/>
    <dgm:cxn modelId="{9C42EC4E-98C6-4CBE-9EE7-69111EE30B72}" type="presParOf" srcId="{9ED8E56C-C0DA-4771-B928-9B8BF0AE6D47}" destId="{39195D1C-2951-43BA-8692-AC232BEFBB80}" srcOrd="2" destOrd="0" presId="urn:microsoft.com/office/officeart/2005/8/layout/orgChart1"/>
    <dgm:cxn modelId="{614842A3-F0CE-4F6A-81F8-8F24686AEF50}" type="presParOf" srcId="{F9117AA4-539E-4EE3-B164-8174B0B40EC0}" destId="{C8F70C14-7D89-44D7-BB48-3CFE36D1427B}" srcOrd="2" destOrd="0" presId="urn:microsoft.com/office/officeart/2005/8/layout/orgChart1"/>
    <dgm:cxn modelId="{C907E2D6-33AB-482C-B743-AE7615063DD1}" type="presParOf" srcId="{7F944FE0-D2A2-405B-BDFF-D1897631706E}" destId="{82E60BB5-7FD2-4219-AE7C-29971BDCB4BB}" srcOrd="12" destOrd="0" presId="urn:microsoft.com/office/officeart/2005/8/layout/orgChart1"/>
    <dgm:cxn modelId="{DB7CE798-4382-4380-A167-79830B84C402}" type="presParOf" srcId="{7F944FE0-D2A2-405B-BDFF-D1897631706E}" destId="{A7850FBB-26BD-4AD2-A515-BD8832D8474B}" srcOrd="13" destOrd="0" presId="urn:microsoft.com/office/officeart/2005/8/layout/orgChart1"/>
    <dgm:cxn modelId="{0E32880C-1336-4D00-A633-0B826051E2FD}" type="presParOf" srcId="{A7850FBB-26BD-4AD2-A515-BD8832D8474B}" destId="{4B54CD39-71A9-47B6-B354-9E2E224A5749}" srcOrd="0" destOrd="0" presId="urn:microsoft.com/office/officeart/2005/8/layout/orgChart1"/>
    <dgm:cxn modelId="{D866C402-4E53-4D39-986B-1B777D6CFDD6}" type="presParOf" srcId="{4B54CD39-71A9-47B6-B354-9E2E224A5749}" destId="{9A681887-5350-4EBE-BD43-C7E4297AB1BB}" srcOrd="0" destOrd="0" presId="urn:microsoft.com/office/officeart/2005/8/layout/orgChart1"/>
    <dgm:cxn modelId="{E39456E2-019D-4676-A428-847482F5C95F}" type="presParOf" srcId="{4B54CD39-71A9-47B6-B354-9E2E224A5749}" destId="{14354306-A96D-4F9B-B8CB-A1923889D20A}" srcOrd="1" destOrd="0" presId="urn:microsoft.com/office/officeart/2005/8/layout/orgChart1"/>
    <dgm:cxn modelId="{E46856CC-C6A0-476C-8569-81382005C0E5}" type="presParOf" srcId="{A7850FBB-26BD-4AD2-A515-BD8832D8474B}" destId="{60EE685C-BCD2-4AF8-9900-DC7BE1C8761E}" srcOrd="1" destOrd="0" presId="urn:microsoft.com/office/officeart/2005/8/layout/orgChart1"/>
    <dgm:cxn modelId="{8767A536-B3F9-41C8-AE90-F2A60780DE6B}" type="presParOf" srcId="{60EE685C-BCD2-4AF8-9900-DC7BE1C8761E}" destId="{6185FE85-F6F3-47C8-BC28-BFB1B081D47E}" srcOrd="0" destOrd="0" presId="urn:microsoft.com/office/officeart/2005/8/layout/orgChart1"/>
    <dgm:cxn modelId="{E3B3DF91-D2BA-4AC9-A1CA-C82C48186F37}" type="presParOf" srcId="{60EE685C-BCD2-4AF8-9900-DC7BE1C8761E}" destId="{8116A3A0-2E0B-4D77-B5A2-B6CBCF7ADB15}" srcOrd="1" destOrd="0" presId="urn:microsoft.com/office/officeart/2005/8/layout/orgChart1"/>
    <dgm:cxn modelId="{66345AC3-AB78-4F16-9932-8C939ECEB4AB}" type="presParOf" srcId="{8116A3A0-2E0B-4D77-B5A2-B6CBCF7ADB15}" destId="{81199921-AF0E-4033-957C-9C1B01D1C91B}" srcOrd="0" destOrd="0" presId="urn:microsoft.com/office/officeart/2005/8/layout/orgChart1"/>
    <dgm:cxn modelId="{31859D6F-1F18-469C-B68B-56F4B85B8641}" type="presParOf" srcId="{81199921-AF0E-4033-957C-9C1B01D1C91B}" destId="{A4073290-40FA-4447-A63D-A2A271E69369}" srcOrd="0" destOrd="0" presId="urn:microsoft.com/office/officeart/2005/8/layout/orgChart1"/>
    <dgm:cxn modelId="{0F4E58AB-0ED1-40A7-9115-3308EAA0D8BE}" type="presParOf" srcId="{81199921-AF0E-4033-957C-9C1B01D1C91B}" destId="{8DE7EDC3-030C-4699-90B7-316F8F127CEA}" srcOrd="1" destOrd="0" presId="urn:microsoft.com/office/officeart/2005/8/layout/orgChart1"/>
    <dgm:cxn modelId="{4377DD22-1C9B-475C-A34B-0D1AE36503C3}" type="presParOf" srcId="{8116A3A0-2E0B-4D77-B5A2-B6CBCF7ADB15}" destId="{8EE53B03-8214-420C-9321-FEE828B4616A}" srcOrd="1" destOrd="0" presId="urn:microsoft.com/office/officeart/2005/8/layout/orgChart1"/>
    <dgm:cxn modelId="{1EAF1539-3F3A-4638-8F22-C09C6CF2E203}" type="presParOf" srcId="{8116A3A0-2E0B-4D77-B5A2-B6CBCF7ADB15}" destId="{CAF7050B-39E0-4667-AEBF-9E47F60B4B83}" srcOrd="2" destOrd="0" presId="urn:microsoft.com/office/officeart/2005/8/layout/orgChart1"/>
    <dgm:cxn modelId="{8EE5CBB7-1625-48F7-ABA7-D969671D0F8E}" type="presParOf" srcId="{60EE685C-BCD2-4AF8-9900-DC7BE1C8761E}" destId="{BA5F9E80-3D5F-4248-9517-86F91EE0B8E9}" srcOrd="2" destOrd="0" presId="urn:microsoft.com/office/officeart/2005/8/layout/orgChart1"/>
    <dgm:cxn modelId="{E8FC6515-C9CE-48B2-93F6-D7D9D2442B0F}" type="presParOf" srcId="{60EE685C-BCD2-4AF8-9900-DC7BE1C8761E}" destId="{352CBE99-8B60-4598-A01C-4B9A74376B3F}" srcOrd="3" destOrd="0" presId="urn:microsoft.com/office/officeart/2005/8/layout/orgChart1"/>
    <dgm:cxn modelId="{49F418D1-1E3C-49C6-A251-D890C0A41A03}" type="presParOf" srcId="{352CBE99-8B60-4598-A01C-4B9A74376B3F}" destId="{DC9B8021-D8A5-43E4-AC56-C6AE77A81C33}" srcOrd="0" destOrd="0" presId="urn:microsoft.com/office/officeart/2005/8/layout/orgChart1"/>
    <dgm:cxn modelId="{91E7F17E-CB7B-485D-A580-6A3FF09CFBA8}" type="presParOf" srcId="{DC9B8021-D8A5-43E4-AC56-C6AE77A81C33}" destId="{CC7BE9CC-9E44-4B05-9B0E-850124C3547A}" srcOrd="0" destOrd="0" presId="urn:microsoft.com/office/officeart/2005/8/layout/orgChart1"/>
    <dgm:cxn modelId="{5C0814DB-5981-45F3-9BB1-F801BCBED83E}" type="presParOf" srcId="{DC9B8021-D8A5-43E4-AC56-C6AE77A81C33}" destId="{521FEAC1-E658-4130-BFDF-12AE10471782}" srcOrd="1" destOrd="0" presId="urn:microsoft.com/office/officeart/2005/8/layout/orgChart1"/>
    <dgm:cxn modelId="{26FE3B7D-8F01-4D23-9F7C-15C1BD13A40B}" type="presParOf" srcId="{352CBE99-8B60-4598-A01C-4B9A74376B3F}" destId="{2E10A84D-28AC-4389-B262-EEC5AC14DF6E}" srcOrd="1" destOrd="0" presId="urn:microsoft.com/office/officeart/2005/8/layout/orgChart1"/>
    <dgm:cxn modelId="{130AE3F7-4532-4C44-8910-5F769B5B90FB}" type="presParOf" srcId="{352CBE99-8B60-4598-A01C-4B9A74376B3F}" destId="{96841731-AA54-4777-9CA5-E03DBB960C6B}" srcOrd="2" destOrd="0" presId="urn:microsoft.com/office/officeart/2005/8/layout/orgChart1"/>
    <dgm:cxn modelId="{A32B1028-0252-4B6C-BF91-2EDBC92F3B1C}" type="presParOf" srcId="{60EE685C-BCD2-4AF8-9900-DC7BE1C8761E}" destId="{86E8989D-6C94-463D-9588-B288E8BD09F3}" srcOrd="4" destOrd="0" presId="urn:microsoft.com/office/officeart/2005/8/layout/orgChart1"/>
    <dgm:cxn modelId="{CA64CD74-9961-48F5-BDFE-319850C020F8}" type="presParOf" srcId="{60EE685C-BCD2-4AF8-9900-DC7BE1C8761E}" destId="{897D0B9E-933E-4446-B30B-688525330F47}" srcOrd="5" destOrd="0" presId="urn:microsoft.com/office/officeart/2005/8/layout/orgChart1"/>
    <dgm:cxn modelId="{0C019D09-9587-4C02-9261-757BB0391560}" type="presParOf" srcId="{897D0B9E-933E-4446-B30B-688525330F47}" destId="{70461A7E-F756-462D-8D14-C27FED726120}" srcOrd="0" destOrd="0" presId="urn:microsoft.com/office/officeart/2005/8/layout/orgChart1"/>
    <dgm:cxn modelId="{7C7723DD-7D5A-4B26-9ACE-E1B461BAB746}" type="presParOf" srcId="{70461A7E-F756-462D-8D14-C27FED726120}" destId="{55EC4157-21BA-4613-8860-42E031585862}" srcOrd="0" destOrd="0" presId="urn:microsoft.com/office/officeart/2005/8/layout/orgChart1"/>
    <dgm:cxn modelId="{BEEC362F-F0D8-4BE1-881D-FBD88C05AF71}" type="presParOf" srcId="{70461A7E-F756-462D-8D14-C27FED726120}" destId="{ABCA2F01-C14C-4548-BBBB-84ED0283C97F}" srcOrd="1" destOrd="0" presId="urn:microsoft.com/office/officeart/2005/8/layout/orgChart1"/>
    <dgm:cxn modelId="{3416BE31-E451-4F6A-B193-3520A4E6AA55}" type="presParOf" srcId="{897D0B9E-933E-4446-B30B-688525330F47}" destId="{E67A4277-2D09-4FAD-9002-FF01C2B652C7}" srcOrd="1" destOrd="0" presId="urn:microsoft.com/office/officeart/2005/8/layout/orgChart1"/>
    <dgm:cxn modelId="{6AC872CB-6562-440F-9AD4-2D48F8FA5E6A}" type="presParOf" srcId="{897D0B9E-933E-4446-B30B-688525330F47}" destId="{6BF51E8D-76E3-4BD5-82A3-F693AB920637}" srcOrd="2" destOrd="0" presId="urn:microsoft.com/office/officeart/2005/8/layout/orgChart1"/>
    <dgm:cxn modelId="{2424F2C3-7709-48AC-A749-05DADFA9EB68}" type="presParOf" srcId="{A7850FBB-26BD-4AD2-A515-BD8832D8474B}" destId="{77E6A972-0C83-4850-8B51-4CF832FCB47F}" srcOrd="2" destOrd="0" presId="urn:microsoft.com/office/officeart/2005/8/layout/orgChart1"/>
    <dgm:cxn modelId="{EE9B5906-9A28-454C-9E35-92CFD820AA22}" type="presParOf" srcId="{7F944FE0-D2A2-405B-BDFF-D1897631706E}" destId="{70257897-199B-45F9-8E97-4C591BBE7B3F}" srcOrd="14" destOrd="0" presId="urn:microsoft.com/office/officeart/2005/8/layout/orgChart1"/>
    <dgm:cxn modelId="{2F3B5C15-D986-4FF0-879B-869D3C5A681D}" type="presParOf" srcId="{7F944FE0-D2A2-405B-BDFF-D1897631706E}" destId="{1A481C3A-726B-47D4-9D7B-FCF69649D262}" srcOrd="15" destOrd="0" presId="urn:microsoft.com/office/officeart/2005/8/layout/orgChart1"/>
    <dgm:cxn modelId="{08F44702-F8BB-4A1C-ADB9-707701C3BAE4}" type="presParOf" srcId="{1A481C3A-726B-47D4-9D7B-FCF69649D262}" destId="{45347127-FB9E-44B6-B492-91D4020B1E35}" srcOrd="0" destOrd="0" presId="urn:microsoft.com/office/officeart/2005/8/layout/orgChart1"/>
    <dgm:cxn modelId="{DA02CB6E-BF42-47FD-B3D2-6B4FF310EE83}" type="presParOf" srcId="{45347127-FB9E-44B6-B492-91D4020B1E35}" destId="{36F65EB3-A93B-4BDE-AD59-D991F66D50DB}" srcOrd="0" destOrd="0" presId="urn:microsoft.com/office/officeart/2005/8/layout/orgChart1"/>
    <dgm:cxn modelId="{BEEE1ED9-76F9-4AD2-9234-0D47225307BF}" type="presParOf" srcId="{45347127-FB9E-44B6-B492-91D4020B1E35}" destId="{826A7F83-80B8-45B1-B66F-D6D09AC2C066}" srcOrd="1" destOrd="0" presId="urn:microsoft.com/office/officeart/2005/8/layout/orgChart1"/>
    <dgm:cxn modelId="{0A00FCF6-2925-4D72-A2AC-A6FEE80F64FA}" type="presParOf" srcId="{1A481C3A-726B-47D4-9D7B-FCF69649D262}" destId="{A3EF5188-FB3C-4934-BB09-246D4D5078CE}" srcOrd="1" destOrd="0" presId="urn:microsoft.com/office/officeart/2005/8/layout/orgChart1"/>
    <dgm:cxn modelId="{0699F500-8A7E-47D8-81BE-57BD664EB300}" type="presParOf" srcId="{A3EF5188-FB3C-4934-BB09-246D4D5078CE}" destId="{3CB9AA48-4DCA-4619-BFC8-64D366B147BD}" srcOrd="0" destOrd="0" presId="urn:microsoft.com/office/officeart/2005/8/layout/orgChart1"/>
    <dgm:cxn modelId="{4FACB274-B5F5-4A9C-9BB0-074E909E542B}" type="presParOf" srcId="{A3EF5188-FB3C-4934-BB09-246D4D5078CE}" destId="{2EDBCA8B-07DE-4449-A088-AACE44912C64}" srcOrd="1" destOrd="0" presId="urn:microsoft.com/office/officeart/2005/8/layout/orgChart1"/>
    <dgm:cxn modelId="{7502436E-FD2F-4F42-9232-A04C265F0AF2}" type="presParOf" srcId="{2EDBCA8B-07DE-4449-A088-AACE44912C64}" destId="{958B1EFD-E2EF-4221-AB92-43FC5E2D2409}" srcOrd="0" destOrd="0" presId="urn:microsoft.com/office/officeart/2005/8/layout/orgChart1"/>
    <dgm:cxn modelId="{7FCBC6D8-014D-4B4B-AC69-0CDBA6146356}" type="presParOf" srcId="{958B1EFD-E2EF-4221-AB92-43FC5E2D2409}" destId="{26279B3F-32AE-429E-8F6A-E74283514EA0}" srcOrd="0" destOrd="0" presId="urn:microsoft.com/office/officeart/2005/8/layout/orgChart1"/>
    <dgm:cxn modelId="{6BC8B51B-4AE2-4E45-B982-E9D41A865139}" type="presParOf" srcId="{958B1EFD-E2EF-4221-AB92-43FC5E2D2409}" destId="{3E384659-83D8-423C-BB17-F82A4F217F6D}" srcOrd="1" destOrd="0" presId="urn:microsoft.com/office/officeart/2005/8/layout/orgChart1"/>
    <dgm:cxn modelId="{E6B8A303-A8ED-4386-942D-176691A8478A}" type="presParOf" srcId="{2EDBCA8B-07DE-4449-A088-AACE44912C64}" destId="{377B847C-99F1-4BC5-8FFF-7E1F4C0431B2}" srcOrd="1" destOrd="0" presId="urn:microsoft.com/office/officeart/2005/8/layout/orgChart1"/>
    <dgm:cxn modelId="{506A3A37-3776-4F61-A9D5-988483715190}" type="presParOf" srcId="{2EDBCA8B-07DE-4449-A088-AACE44912C64}" destId="{B1DB0582-F24F-4CD8-90DF-8BAD77F3785D}" srcOrd="2" destOrd="0" presId="urn:microsoft.com/office/officeart/2005/8/layout/orgChart1"/>
    <dgm:cxn modelId="{228DE94E-CB7E-4C68-B79E-722D40B7897E}" type="presParOf" srcId="{A3EF5188-FB3C-4934-BB09-246D4D5078CE}" destId="{BFBC2126-85D5-4905-9E09-CD7F082453CB}" srcOrd="2" destOrd="0" presId="urn:microsoft.com/office/officeart/2005/8/layout/orgChart1"/>
    <dgm:cxn modelId="{E008BCDB-7417-4665-A10A-0C1411E1F879}" type="presParOf" srcId="{A3EF5188-FB3C-4934-BB09-246D4D5078CE}" destId="{6D1751FF-08CF-4C8A-9130-AB710414D12A}" srcOrd="3" destOrd="0" presId="urn:microsoft.com/office/officeart/2005/8/layout/orgChart1"/>
    <dgm:cxn modelId="{7A4FE7E1-C242-43E1-9E1B-B863CF3B6DDD}" type="presParOf" srcId="{6D1751FF-08CF-4C8A-9130-AB710414D12A}" destId="{CC07FEE9-35FB-4014-9CEC-B70F58552A9B}" srcOrd="0" destOrd="0" presId="urn:microsoft.com/office/officeart/2005/8/layout/orgChart1"/>
    <dgm:cxn modelId="{FEE0AECE-4668-4D9F-A397-3036ADA7B330}" type="presParOf" srcId="{CC07FEE9-35FB-4014-9CEC-B70F58552A9B}" destId="{463E7EE2-DBFC-4EC0-BC5D-9271F221CF32}" srcOrd="0" destOrd="0" presId="urn:microsoft.com/office/officeart/2005/8/layout/orgChart1"/>
    <dgm:cxn modelId="{33529371-D9E6-4326-B400-9261A4D02BF7}" type="presParOf" srcId="{CC07FEE9-35FB-4014-9CEC-B70F58552A9B}" destId="{F6623B5E-28CD-4799-A9B4-EF636C566661}" srcOrd="1" destOrd="0" presId="urn:microsoft.com/office/officeart/2005/8/layout/orgChart1"/>
    <dgm:cxn modelId="{CB4686AA-73AD-4504-A2C5-686B3AF4775A}" type="presParOf" srcId="{6D1751FF-08CF-4C8A-9130-AB710414D12A}" destId="{7A0BD660-4546-460D-9E6B-F3F854B7DC92}" srcOrd="1" destOrd="0" presId="urn:microsoft.com/office/officeart/2005/8/layout/orgChart1"/>
    <dgm:cxn modelId="{B50D4E11-721F-415E-A8D1-8FEFA3E60B6E}" type="presParOf" srcId="{6D1751FF-08CF-4C8A-9130-AB710414D12A}" destId="{59812310-0E22-4722-86D4-BDD21C2AA230}" srcOrd="2" destOrd="0" presId="urn:microsoft.com/office/officeart/2005/8/layout/orgChart1"/>
    <dgm:cxn modelId="{1DD29B46-F2A7-42CD-AD55-D493ED63FBFC}" type="presParOf" srcId="{A3EF5188-FB3C-4934-BB09-246D4D5078CE}" destId="{2E30FFB8-D40D-42E9-AC77-18EF4B8DF612}" srcOrd="4" destOrd="0" presId="urn:microsoft.com/office/officeart/2005/8/layout/orgChart1"/>
    <dgm:cxn modelId="{8082FF84-5A8F-40DB-9E2F-49BE9A8FE069}" type="presParOf" srcId="{A3EF5188-FB3C-4934-BB09-246D4D5078CE}" destId="{B68FF941-43D8-4872-9387-7FE17CC00603}" srcOrd="5" destOrd="0" presId="urn:microsoft.com/office/officeart/2005/8/layout/orgChart1"/>
    <dgm:cxn modelId="{B01AB838-0567-4D7E-AD74-4EDDF92DE944}" type="presParOf" srcId="{B68FF941-43D8-4872-9387-7FE17CC00603}" destId="{11FD2BA7-1C29-4BC1-B624-210B5F266C15}" srcOrd="0" destOrd="0" presId="urn:microsoft.com/office/officeart/2005/8/layout/orgChart1"/>
    <dgm:cxn modelId="{A3689D8E-209B-4474-B0BC-A596FE563DBB}" type="presParOf" srcId="{11FD2BA7-1C29-4BC1-B624-210B5F266C15}" destId="{133F1FC1-C5F4-4978-BE80-4F349F36D878}" srcOrd="0" destOrd="0" presId="urn:microsoft.com/office/officeart/2005/8/layout/orgChart1"/>
    <dgm:cxn modelId="{0BB885A1-A2B0-4805-A4A2-9C5E2694B5CD}" type="presParOf" srcId="{11FD2BA7-1C29-4BC1-B624-210B5F266C15}" destId="{5A747205-C3F6-4D4A-B739-6135E3BDFDEF}" srcOrd="1" destOrd="0" presId="urn:microsoft.com/office/officeart/2005/8/layout/orgChart1"/>
    <dgm:cxn modelId="{ED9CD99A-141F-4741-B90A-BDCA7D1EE25D}" type="presParOf" srcId="{B68FF941-43D8-4872-9387-7FE17CC00603}" destId="{4688A203-31C8-4F6D-8E07-CBF05F576CB7}" srcOrd="1" destOrd="0" presId="urn:microsoft.com/office/officeart/2005/8/layout/orgChart1"/>
    <dgm:cxn modelId="{8A55B11A-0C24-47F8-9B94-BAD58C67589F}" type="presParOf" srcId="{B68FF941-43D8-4872-9387-7FE17CC00603}" destId="{013542E4-FA51-4362-BEF1-28DA7C204773}" srcOrd="2" destOrd="0" presId="urn:microsoft.com/office/officeart/2005/8/layout/orgChart1"/>
    <dgm:cxn modelId="{6D07DDC8-D9DA-4C23-A93A-EDC1333CE06C}" type="presParOf" srcId="{1A481C3A-726B-47D4-9D7B-FCF69649D262}" destId="{44626B8E-D9CC-4D64-A0A9-A870DD812824}" srcOrd="2" destOrd="0" presId="urn:microsoft.com/office/officeart/2005/8/layout/orgChart1"/>
    <dgm:cxn modelId="{2F2229B2-0C70-42B1-B87C-DA9B36A6399C}" type="presParOf" srcId="{7F944FE0-D2A2-405B-BDFF-D1897631706E}" destId="{95E2F74E-F847-4663-BDD7-0A5BE67FBABA}" srcOrd="16" destOrd="0" presId="urn:microsoft.com/office/officeart/2005/8/layout/orgChart1"/>
    <dgm:cxn modelId="{8DA24D95-58D3-4BB0-893B-5F6D5BC3ACE5}" type="presParOf" srcId="{7F944FE0-D2A2-405B-BDFF-D1897631706E}" destId="{58CA9A7A-FBFD-42DB-B4A3-D56704AA6977}" srcOrd="17" destOrd="0" presId="urn:microsoft.com/office/officeart/2005/8/layout/orgChart1"/>
    <dgm:cxn modelId="{D2A2D0D9-1149-4EDC-9153-E7352355EA0F}" type="presParOf" srcId="{58CA9A7A-FBFD-42DB-B4A3-D56704AA6977}" destId="{039843FC-32B3-4C06-BF76-AD0E8557F518}" srcOrd="0" destOrd="0" presId="urn:microsoft.com/office/officeart/2005/8/layout/orgChart1"/>
    <dgm:cxn modelId="{B5B9C8EB-9322-4BB4-B929-4AEBC777E7FD}" type="presParOf" srcId="{039843FC-32B3-4C06-BF76-AD0E8557F518}" destId="{66215115-E87F-416B-87DA-9B997A3EC349}" srcOrd="0" destOrd="0" presId="urn:microsoft.com/office/officeart/2005/8/layout/orgChart1"/>
    <dgm:cxn modelId="{3F68D68D-26F0-44C3-8ABF-2D8629B8374A}" type="presParOf" srcId="{039843FC-32B3-4C06-BF76-AD0E8557F518}" destId="{09DDE27A-7945-43B7-A1B3-41101585F0CD}" srcOrd="1" destOrd="0" presId="urn:microsoft.com/office/officeart/2005/8/layout/orgChart1"/>
    <dgm:cxn modelId="{58E37AAB-1A97-4751-A4D5-37003E7B6110}" type="presParOf" srcId="{58CA9A7A-FBFD-42DB-B4A3-D56704AA6977}" destId="{2A9EE20B-950C-4346-8C81-41F64B0AED1C}" srcOrd="1" destOrd="0" presId="urn:microsoft.com/office/officeart/2005/8/layout/orgChart1"/>
    <dgm:cxn modelId="{D896AC17-C174-4989-BDFD-191867CB2DD8}" type="presParOf" srcId="{2A9EE20B-950C-4346-8C81-41F64B0AED1C}" destId="{3C4B0898-FEC4-425E-A62E-7F6211895D7C}" srcOrd="0" destOrd="0" presId="urn:microsoft.com/office/officeart/2005/8/layout/orgChart1"/>
    <dgm:cxn modelId="{0B83ED84-B830-4D79-927D-BBBD54386224}" type="presParOf" srcId="{2A9EE20B-950C-4346-8C81-41F64B0AED1C}" destId="{6D8BE0E7-C739-48D4-94CD-B3A729367ADF}" srcOrd="1" destOrd="0" presId="urn:microsoft.com/office/officeart/2005/8/layout/orgChart1"/>
    <dgm:cxn modelId="{0D485E21-F476-45E6-83A7-470B1453F762}" type="presParOf" srcId="{6D8BE0E7-C739-48D4-94CD-B3A729367ADF}" destId="{BF6A829C-3E52-4A79-858E-4B245123D10B}" srcOrd="0" destOrd="0" presId="urn:microsoft.com/office/officeart/2005/8/layout/orgChart1"/>
    <dgm:cxn modelId="{3D5D7B36-2BEF-4FA4-A517-2FA2E1A5622A}" type="presParOf" srcId="{BF6A829C-3E52-4A79-858E-4B245123D10B}" destId="{526919F3-C1E6-4952-AA9E-1BBFD8E73B82}" srcOrd="0" destOrd="0" presId="urn:microsoft.com/office/officeart/2005/8/layout/orgChart1"/>
    <dgm:cxn modelId="{E07F20DE-562C-4329-B659-65B6678891BA}" type="presParOf" srcId="{BF6A829C-3E52-4A79-858E-4B245123D10B}" destId="{37D81D16-9FA0-4B40-B026-416F10041A47}" srcOrd="1" destOrd="0" presId="urn:microsoft.com/office/officeart/2005/8/layout/orgChart1"/>
    <dgm:cxn modelId="{FE839F69-6E12-45BB-8B6C-BF6866CCE179}" type="presParOf" srcId="{6D8BE0E7-C739-48D4-94CD-B3A729367ADF}" destId="{E3A87363-8253-4DFD-B5DA-1375CF1BE0E3}" srcOrd="1" destOrd="0" presId="urn:microsoft.com/office/officeart/2005/8/layout/orgChart1"/>
    <dgm:cxn modelId="{505D5A80-861E-4124-8E12-3CB7AA8E7260}" type="presParOf" srcId="{6D8BE0E7-C739-48D4-94CD-B3A729367ADF}" destId="{A68BCB51-F41E-4D84-B0EA-CA82DA6E0B69}" srcOrd="2" destOrd="0" presId="urn:microsoft.com/office/officeart/2005/8/layout/orgChart1"/>
    <dgm:cxn modelId="{4073E161-2684-4914-BF07-8C542C2D3120}" type="presParOf" srcId="{2A9EE20B-950C-4346-8C81-41F64B0AED1C}" destId="{0F5DED51-8461-4FB1-B14E-D45B6BB35082}" srcOrd="2" destOrd="0" presId="urn:microsoft.com/office/officeart/2005/8/layout/orgChart1"/>
    <dgm:cxn modelId="{908FAB28-B6E7-46B8-9F1B-7D8A5E9B04FE}" type="presParOf" srcId="{2A9EE20B-950C-4346-8C81-41F64B0AED1C}" destId="{555A9E2F-CBF6-45C9-9C64-61FB46C9D944}" srcOrd="3" destOrd="0" presId="urn:microsoft.com/office/officeart/2005/8/layout/orgChart1"/>
    <dgm:cxn modelId="{E54AA13A-BA6C-4B35-AD97-9711F11C1475}" type="presParOf" srcId="{555A9E2F-CBF6-45C9-9C64-61FB46C9D944}" destId="{AB771391-DF63-4BD7-9D22-9BD806234214}" srcOrd="0" destOrd="0" presId="urn:microsoft.com/office/officeart/2005/8/layout/orgChart1"/>
    <dgm:cxn modelId="{DB861184-CF6F-4CB5-9294-F486F0E5258F}" type="presParOf" srcId="{AB771391-DF63-4BD7-9D22-9BD806234214}" destId="{ECADA643-1779-4DA2-8AA6-C1EAF32B0C15}" srcOrd="0" destOrd="0" presId="urn:microsoft.com/office/officeart/2005/8/layout/orgChart1"/>
    <dgm:cxn modelId="{CE9A22D1-BC94-465A-87FF-9809050AC588}" type="presParOf" srcId="{AB771391-DF63-4BD7-9D22-9BD806234214}" destId="{F770A9C2-2252-4D51-A331-8617B1485A2E}" srcOrd="1" destOrd="0" presId="urn:microsoft.com/office/officeart/2005/8/layout/orgChart1"/>
    <dgm:cxn modelId="{535A0945-A25F-4E30-81C4-70F95D694DB8}" type="presParOf" srcId="{555A9E2F-CBF6-45C9-9C64-61FB46C9D944}" destId="{75D89AAE-808D-4720-9DDC-7EDBA7447EF7}" srcOrd="1" destOrd="0" presId="urn:microsoft.com/office/officeart/2005/8/layout/orgChart1"/>
    <dgm:cxn modelId="{8D65AAFB-BD73-486C-B163-0EC0D8303014}" type="presParOf" srcId="{555A9E2F-CBF6-45C9-9C64-61FB46C9D944}" destId="{676BBFF2-9E97-4095-9520-F80CAF882694}" srcOrd="2" destOrd="0" presId="urn:microsoft.com/office/officeart/2005/8/layout/orgChart1"/>
    <dgm:cxn modelId="{E653A018-71F0-4B9F-B48B-B67737D77A7F}" type="presParOf" srcId="{2A9EE20B-950C-4346-8C81-41F64B0AED1C}" destId="{9B6FEAED-F609-4ABD-9830-664C2D6F7BC4}" srcOrd="4" destOrd="0" presId="urn:microsoft.com/office/officeart/2005/8/layout/orgChart1"/>
    <dgm:cxn modelId="{D57A92C6-76DB-442B-B9ED-489D9147A161}" type="presParOf" srcId="{2A9EE20B-950C-4346-8C81-41F64B0AED1C}" destId="{D8DEFD14-83E4-4BB6-8FE0-D4EA6BAA21BB}" srcOrd="5" destOrd="0" presId="urn:microsoft.com/office/officeart/2005/8/layout/orgChart1"/>
    <dgm:cxn modelId="{7BA9BCFF-B485-4156-9B38-6D965BF214AC}" type="presParOf" srcId="{D8DEFD14-83E4-4BB6-8FE0-D4EA6BAA21BB}" destId="{551A77EE-2883-4BF6-8447-54DA232B9A0F}" srcOrd="0" destOrd="0" presId="urn:microsoft.com/office/officeart/2005/8/layout/orgChart1"/>
    <dgm:cxn modelId="{63CB2C7F-2B33-46A6-8306-65B317E0D152}" type="presParOf" srcId="{551A77EE-2883-4BF6-8447-54DA232B9A0F}" destId="{77F7510F-B277-4906-B909-89B1197C6DDE}" srcOrd="0" destOrd="0" presId="urn:microsoft.com/office/officeart/2005/8/layout/orgChart1"/>
    <dgm:cxn modelId="{E79388C4-C010-4DB6-8553-23364202AF06}" type="presParOf" srcId="{551A77EE-2883-4BF6-8447-54DA232B9A0F}" destId="{58BCE5B8-AC2E-43FA-B884-A8172ED4A1EB}" srcOrd="1" destOrd="0" presId="urn:microsoft.com/office/officeart/2005/8/layout/orgChart1"/>
    <dgm:cxn modelId="{63A75D40-4E48-475C-A023-477287B4942B}" type="presParOf" srcId="{D8DEFD14-83E4-4BB6-8FE0-D4EA6BAA21BB}" destId="{372C23E0-3C22-4331-A3CB-CA9B4A603276}" srcOrd="1" destOrd="0" presId="urn:microsoft.com/office/officeart/2005/8/layout/orgChart1"/>
    <dgm:cxn modelId="{1DECFBBF-C89D-4C3F-91A5-C1FC696ED8AC}" type="presParOf" srcId="{D8DEFD14-83E4-4BB6-8FE0-D4EA6BAA21BB}" destId="{A9F5020C-DCC7-4A5D-A3FC-09601CD9B78A}" srcOrd="2" destOrd="0" presId="urn:microsoft.com/office/officeart/2005/8/layout/orgChart1"/>
    <dgm:cxn modelId="{C770BFE6-EAA6-42EA-8985-73505ACE64AA}" type="presParOf" srcId="{58CA9A7A-FBFD-42DB-B4A3-D56704AA6977}" destId="{3833F1C6-A6B1-46E6-8A15-F930B1F8D329}" srcOrd="2" destOrd="0" presId="urn:microsoft.com/office/officeart/2005/8/layout/orgChart1"/>
    <dgm:cxn modelId="{A03D1E97-1B5D-4A18-B833-EE08C7F9467D}" type="presParOf" srcId="{7F944FE0-D2A2-405B-BDFF-D1897631706E}" destId="{6859BE2E-B830-41FF-B86E-79A6F3BD7732}" srcOrd="18" destOrd="0" presId="urn:microsoft.com/office/officeart/2005/8/layout/orgChart1"/>
    <dgm:cxn modelId="{CA1E3C5F-CAD1-45DB-85C6-19E65F1EBACC}" type="presParOf" srcId="{7F944FE0-D2A2-405B-BDFF-D1897631706E}" destId="{8D866DCF-59CC-4DD5-B28E-62F3EE38D392}" srcOrd="19" destOrd="0" presId="urn:microsoft.com/office/officeart/2005/8/layout/orgChart1"/>
    <dgm:cxn modelId="{CABD4B23-CEB8-42AB-9B7A-8FD738AAAC45}" type="presParOf" srcId="{8D866DCF-59CC-4DD5-B28E-62F3EE38D392}" destId="{8AA59441-871E-4CB9-974F-BBB2590582D3}" srcOrd="0" destOrd="0" presId="urn:microsoft.com/office/officeart/2005/8/layout/orgChart1"/>
    <dgm:cxn modelId="{491E19C8-1E3B-491B-9C05-7A86E3CD71B8}" type="presParOf" srcId="{8AA59441-871E-4CB9-974F-BBB2590582D3}" destId="{9A7C5AEB-3E05-469A-95FE-22BE39540AE1}" srcOrd="0" destOrd="0" presId="urn:microsoft.com/office/officeart/2005/8/layout/orgChart1"/>
    <dgm:cxn modelId="{FE3ABCA3-79F6-4968-A6DC-73034FE0ED41}" type="presParOf" srcId="{8AA59441-871E-4CB9-974F-BBB2590582D3}" destId="{43608A5B-3808-436B-B5E2-C7A7C19E947A}" srcOrd="1" destOrd="0" presId="urn:microsoft.com/office/officeart/2005/8/layout/orgChart1"/>
    <dgm:cxn modelId="{8E37A424-516C-485C-9FA9-133CC35D46ED}" type="presParOf" srcId="{8D866DCF-59CC-4DD5-B28E-62F3EE38D392}" destId="{07619283-906A-4B7F-A688-B948772364C0}" srcOrd="1" destOrd="0" presId="urn:microsoft.com/office/officeart/2005/8/layout/orgChart1"/>
    <dgm:cxn modelId="{42F2D624-D33A-4B5E-B14F-93D877FF69DD}" type="presParOf" srcId="{07619283-906A-4B7F-A688-B948772364C0}" destId="{6B9387C3-2537-4FE2-8085-C859547936ED}" srcOrd="0" destOrd="0" presId="urn:microsoft.com/office/officeart/2005/8/layout/orgChart1"/>
    <dgm:cxn modelId="{0C2BA383-2A8A-44B6-8D34-495381E5FDB4}" type="presParOf" srcId="{07619283-906A-4B7F-A688-B948772364C0}" destId="{19521A41-1468-43CA-8648-B0DAEE5747D7}" srcOrd="1" destOrd="0" presId="urn:microsoft.com/office/officeart/2005/8/layout/orgChart1"/>
    <dgm:cxn modelId="{7F0FD365-487B-4E92-B5E0-6C538B9456EE}" type="presParOf" srcId="{19521A41-1468-43CA-8648-B0DAEE5747D7}" destId="{AC83BF55-15E5-4CA9-8603-040C1C724931}" srcOrd="0" destOrd="0" presId="urn:microsoft.com/office/officeart/2005/8/layout/orgChart1"/>
    <dgm:cxn modelId="{251E7661-41C4-47CF-A9D0-B203C54113C7}" type="presParOf" srcId="{AC83BF55-15E5-4CA9-8603-040C1C724931}" destId="{250F3822-B3AA-4407-90AE-B2B8D5EF00A9}" srcOrd="0" destOrd="0" presId="urn:microsoft.com/office/officeart/2005/8/layout/orgChart1"/>
    <dgm:cxn modelId="{24620278-71A8-4E39-B546-D2E67B52F72A}" type="presParOf" srcId="{AC83BF55-15E5-4CA9-8603-040C1C724931}" destId="{3D5DCA66-EC03-4D13-94BA-59130EF8F053}" srcOrd="1" destOrd="0" presId="urn:microsoft.com/office/officeart/2005/8/layout/orgChart1"/>
    <dgm:cxn modelId="{08D14196-6382-4DA0-AA3D-907080B11260}" type="presParOf" srcId="{19521A41-1468-43CA-8648-B0DAEE5747D7}" destId="{DC06BBD4-9CFE-43AB-B5BD-BC44CD6E3076}" srcOrd="1" destOrd="0" presId="urn:microsoft.com/office/officeart/2005/8/layout/orgChart1"/>
    <dgm:cxn modelId="{03F405BB-CC51-4A6D-A3FF-ED7909132C25}" type="presParOf" srcId="{19521A41-1468-43CA-8648-B0DAEE5747D7}" destId="{4976DE3A-1E73-4C99-A568-953ACA700A8A}" srcOrd="2" destOrd="0" presId="urn:microsoft.com/office/officeart/2005/8/layout/orgChart1"/>
    <dgm:cxn modelId="{73BEC947-13DF-45BE-BC37-85E52CDFB9B6}" type="presParOf" srcId="{07619283-906A-4B7F-A688-B948772364C0}" destId="{89695C53-1190-42FF-86CC-6209DC216241}" srcOrd="2" destOrd="0" presId="urn:microsoft.com/office/officeart/2005/8/layout/orgChart1"/>
    <dgm:cxn modelId="{56103642-50B6-4E67-BB45-2FC1426A7736}" type="presParOf" srcId="{07619283-906A-4B7F-A688-B948772364C0}" destId="{2091A16D-1C0D-4F82-A103-83C5761C684D}" srcOrd="3" destOrd="0" presId="urn:microsoft.com/office/officeart/2005/8/layout/orgChart1"/>
    <dgm:cxn modelId="{EFC9D930-DFE3-4B43-A2C6-84B4B9BC7E6B}" type="presParOf" srcId="{2091A16D-1C0D-4F82-A103-83C5761C684D}" destId="{EED680E5-5D13-4D31-96F1-F5C06ADCAF46}" srcOrd="0" destOrd="0" presId="urn:microsoft.com/office/officeart/2005/8/layout/orgChart1"/>
    <dgm:cxn modelId="{D9F32052-715E-407A-9D91-5910A974A133}" type="presParOf" srcId="{EED680E5-5D13-4D31-96F1-F5C06ADCAF46}" destId="{9BEC86F9-D6A7-4983-86A8-08577B7FE900}" srcOrd="0" destOrd="0" presId="urn:microsoft.com/office/officeart/2005/8/layout/orgChart1"/>
    <dgm:cxn modelId="{F19338DA-0732-433B-8E1B-74CFA4493220}" type="presParOf" srcId="{EED680E5-5D13-4D31-96F1-F5C06ADCAF46}" destId="{BAE3A63D-44E0-41CC-9D09-F10B1732475A}" srcOrd="1" destOrd="0" presId="urn:microsoft.com/office/officeart/2005/8/layout/orgChart1"/>
    <dgm:cxn modelId="{E450A112-C7BE-456E-B62D-572669ED9418}" type="presParOf" srcId="{2091A16D-1C0D-4F82-A103-83C5761C684D}" destId="{E48E0602-2F06-48C0-8919-CE0533050729}" srcOrd="1" destOrd="0" presId="urn:microsoft.com/office/officeart/2005/8/layout/orgChart1"/>
    <dgm:cxn modelId="{3A32D58C-7BEB-4A8D-9F8F-382169299D8F}" type="presParOf" srcId="{2091A16D-1C0D-4F82-A103-83C5761C684D}" destId="{EB7A1FFC-E249-429A-A32C-B391C7308432}" srcOrd="2" destOrd="0" presId="urn:microsoft.com/office/officeart/2005/8/layout/orgChart1"/>
    <dgm:cxn modelId="{DBE7322F-8400-4FBF-8497-AC275DD3849C}" type="presParOf" srcId="{07619283-906A-4B7F-A688-B948772364C0}" destId="{F7AFC83A-F643-4B31-A648-492A9D843CA2}" srcOrd="4" destOrd="0" presId="urn:microsoft.com/office/officeart/2005/8/layout/orgChart1"/>
    <dgm:cxn modelId="{D6CA2C51-38BC-4FA0-A23A-7B94C216F406}" type="presParOf" srcId="{07619283-906A-4B7F-A688-B948772364C0}" destId="{835ADFDF-C842-46B1-B54A-B1FA59F9D79F}" srcOrd="5" destOrd="0" presId="urn:microsoft.com/office/officeart/2005/8/layout/orgChart1"/>
    <dgm:cxn modelId="{AE7CFF1C-896E-4DB7-B7B0-F352716E60C2}" type="presParOf" srcId="{835ADFDF-C842-46B1-B54A-B1FA59F9D79F}" destId="{5BAB1841-5EAE-4680-B0F4-7AF885288287}" srcOrd="0" destOrd="0" presId="urn:microsoft.com/office/officeart/2005/8/layout/orgChart1"/>
    <dgm:cxn modelId="{A5EFE328-00A8-4E20-92A5-6572ECB47EB0}" type="presParOf" srcId="{5BAB1841-5EAE-4680-B0F4-7AF885288287}" destId="{68D73AD6-74BD-4C2E-A75E-08E466B13B32}" srcOrd="0" destOrd="0" presId="urn:microsoft.com/office/officeart/2005/8/layout/orgChart1"/>
    <dgm:cxn modelId="{FB47A05C-E22C-48EA-B0AC-CC2E9248120B}" type="presParOf" srcId="{5BAB1841-5EAE-4680-B0F4-7AF885288287}" destId="{4DEEC77A-A0DC-4AFB-B445-C99CA3365BBD}" srcOrd="1" destOrd="0" presId="urn:microsoft.com/office/officeart/2005/8/layout/orgChart1"/>
    <dgm:cxn modelId="{B91E1543-3B4F-48A1-900B-EC8FFFBFC0F1}" type="presParOf" srcId="{835ADFDF-C842-46B1-B54A-B1FA59F9D79F}" destId="{B4291639-8210-4D83-99F7-E61BAB130FDE}" srcOrd="1" destOrd="0" presId="urn:microsoft.com/office/officeart/2005/8/layout/orgChart1"/>
    <dgm:cxn modelId="{91A6298D-A619-4429-997C-529D5B633F3B}" type="presParOf" srcId="{835ADFDF-C842-46B1-B54A-B1FA59F9D79F}" destId="{84752CA9-C509-44F7-AB05-F333616F1CFD}" srcOrd="2" destOrd="0" presId="urn:microsoft.com/office/officeart/2005/8/layout/orgChart1"/>
    <dgm:cxn modelId="{CC32EEBB-F100-493D-A648-AB655DCA662B}" type="presParOf" srcId="{8D866DCF-59CC-4DD5-B28E-62F3EE38D392}" destId="{836B10AC-82D9-4DB4-A773-693582BDB9D0}" srcOrd="2" destOrd="0" presId="urn:microsoft.com/office/officeart/2005/8/layout/orgChart1"/>
    <dgm:cxn modelId="{02F39377-92C5-426F-9EC8-ECB703EC5533}" type="presParOf" srcId="{7F944FE0-D2A2-405B-BDFF-D1897631706E}" destId="{7009101D-659E-4AC4-B6A0-8312127BD0D5}" srcOrd="20" destOrd="0" presId="urn:microsoft.com/office/officeart/2005/8/layout/orgChart1"/>
    <dgm:cxn modelId="{FDC8EE08-BF7D-4834-B60E-1643A82992FD}" type="presParOf" srcId="{7F944FE0-D2A2-405B-BDFF-D1897631706E}" destId="{5AD6FC9D-6064-445F-8A06-CCA400DB3B08}" srcOrd="21" destOrd="0" presId="urn:microsoft.com/office/officeart/2005/8/layout/orgChart1"/>
    <dgm:cxn modelId="{F44909BA-543B-4BB0-B388-1B1A92059515}" type="presParOf" srcId="{5AD6FC9D-6064-445F-8A06-CCA400DB3B08}" destId="{15F16340-459A-4A27-A204-D236E8C20740}" srcOrd="0" destOrd="0" presId="urn:microsoft.com/office/officeart/2005/8/layout/orgChart1"/>
    <dgm:cxn modelId="{0FC81F14-E612-4048-B122-94831D25E39A}" type="presParOf" srcId="{15F16340-459A-4A27-A204-D236E8C20740}" destId="{F5C5F184-CBCA-49BB-BB7E-3A0146C211EB}" srcOrd="0" destOrd="0" presId="urn:microsoft.com/office/officeart/2005/8/layout/orgChart1"/>
    <dgm:cxn modelId="{9708D7C6-99F8-47BD-8D65-D33047C7806B}" type="presParOf" srcId="{15F16340-459A-4A27-A204-D236E8C20740}" destId="{7E0A6FE1-6E00-44A1-81D8-0EA2A6CD2AF3}" srcOrd="1" destOrd="0" presId="urn:microsoft.com/office/officeart/2005/8/layout/orgChart1"/>
    <dgm:cxn modelId="{E2921464-8ABF-418B-9640-28BCA311B362}" type="presParOf" srcId="{5AD6FC9D-6064-445F-8A06-CCA400DB3B08}" destId="{5ACBC9EB-3255-4183-99C6-36BFA4DB898A}" srcOrd="1" destOrd="0" presId="urn:microsoft.com/office/officeart/2005/8/layout/orgChart1"/>
    <dgm:cxn modelId="{682882C6-0FD8-4A7B-BE6F-A4DB648BD6FB}" type="presParOf" srcId="{5ACBC9EB-3255-4183-99C6-36BFA4DB898A}" destId="{D6F69DBC-B0FC-4A08-AC6B-4A6F9030A7BD}" srcOrd="0" destOrd="0" presId="urn:microsoft.com/office/officeart/2005/8/layout/orgChart1"/>
    <dgm:cxn modelId="{9132731C-0CDE-4E06-B32C-D3C8592E8111}" type="presParOf" srcId="{5ACBC9EB-3255-4183-99C6-36BFA4DB898A}" destId="{F66A1E48-16A7-4FB5-8156-CD2E1045FFBE}" srcOrd="1" destOrd="0" presId="urn:microsoft.com/office/officeart/2005/8/layout/orgChart1"/>
    <dgm:cxn modelId="{9F958FF3-D143-4E24-8285-437F3E0CCCC0}" type="presParOf" srcId="{F66A1E48-16A7-4FB5-8156-CD2E1045FFBE}" destId="{3F7CDCDE-6C8D-4873-91F7-40BD160249CE}" srcOrd="0" destOrd="0" presId="urn:microsoft.com/office/officeart/2005/8/layout/orgChart1"/>
    <dgm:cxn modelId="{7EF17C4C-0D46-4BB4-B36B-DCA6F8EFA148}" type="presParOf" srcId="{3F7CDCDE-6C8D-4873-91F7-40BD160249CE}" destId="{3E37B074-43F2-410D-A821-9E917734EEF5}" srcOrd="0" destOrd="0" presId="urn:microsoft.com/office/officeart/2005/8/layout/orgChart1"/>
    <dgm:cxn modelId="{F785D7D1-B258-4947-BB80-AEF7755657DA}" type="presParOf" srcId="{3F7CDCDE-6C8D-4873-91F7-40BD160249CE}" destId="{18956CBC-7222-4318-87FC-278CA4BA3768}" srcOrd="1" destOrd="0" presId="urn:microsoft.com/office/officeart/2005/8/layout/orgChart1"/>
    <dgm:cxn modelId="{89121800-9DD3-45EA-9D4B-FC865ACD7A65}" type="presParOf" srcId="{F66A1E48-16A7-4FB5-8156-CD2E1045FFBE}" destId="{D1A1BB6E-75BB-4B08-90C4-382CBCE3ACAC}" srcOrd="1" destOrd="0" presId="urn:microsoft.com/office/officeart/2005/8/layout/orgChart1"/>
    <dgm:cxn modelId="{2DB72CA4-8AB6-4099-BCE1-613232559A49}" type="presParOf" srcId="{F66A1E48-16A7-4FB5-8156-CD2E1045FFBE}" destId="{8D5B18A0-80A4-4C22-87BC-EEB3E6785EB2}" srcOrd="2" destOrd="0" presId="urn:microsoft.com/office/officeart/2005/8/layout/orgChart1"/>
    <dgm:cxn modelId="{86B90D90-27A8-40DD-B4D1-C01A66CA92EE}" type="presParOf" srcId="{5ACBC9EB-3255-4183-99C6-36BFA4DB898A}" destId="{1F22369C-0260-40DE-A3B5-80071F47CFCB}" srcOrd="2" destOrd="0" presId="urn:microsoft.com/office/officeart/2005/8/layout/orgChart1"/>
    <dgm:cxn modelId="{58496954-9366-40F6-8318-4362E843A9CB}" type="presParOf" srcId="{5ACBC9EB-3255-4183-99C6-36BFA4DB898A}" destId="{751DE3A9-98AD-4BB8-9614-99AE6394060E}" srcOrd="3" destOrd="0" presId="urn:microsoft.com/office/officeart/2005/8/layout/orgChart1"/>
    <dgm:cxn modelId="{5B6631BB-8019-42FC-87DF-1517F35EC83D}" type="presParOf" srcId="{751DE3A9-98AD-4BB8-9614-99AE6394060E}" destId="{C7124B80-AFC6-4098-8F7C-B68AC9998F53}" srcOrd="0" destOrd="0" presId="urn:microsoft.com/office/officeart/2005/8/layout/orgChart1"/>
    <dgm:cxn modelId="{E2E284FE-0316-4579-8E4D-F1D4CA25133D}" type="presParOf" srcId="{C7124B80-AFC6-4098-8F7C-B68AC9998F53}" destId="{E1649481-31C2-4E1C-A6F3-BCDF01D59BD2}" srcOrd="0" destOrd="0" presId="urn:microsoft.com/office/officeart/2005/8/layout/orgChart1"/>
    <dgm:cxn modelId="{FB8ABB42-B73B-4CFD-8D8A-26FDAA960DB3}" type="presParOf" srcId="{C7124B80-AFC6-4098-8F7C-B68AC9998F53}" destId="{F7BA7A01-E042-4673-AEEA-303514636AFE}" srcOrd="1" destOrd="0" presId="urn:microsoft.com/office/officeart/2005/8/layout/orgChart1"/>
    <dgm:cxn modelId="{7AB3A8BC-C72E-4EDF-9242-F9B7814945E7}" type="presParOf" srcId="{751DE3A9-98AD-4BB8-9614-99AE6394060E}" destId="{B9732F4F-BE78-4B49-9091-821A719A5806}" srcOrd="1" destOrd="0" presId="urn:microsoft.com/office/officeart/2005/8/layout/orgChart1"/>
    <dgm:cxn modelId="{7C3EA607-F3A6-4274-A156-02E64D1BF0ED}" type="presParOf" srcId="{751DE3A9-98AD-4BB8-9614-99AE6394060E}" destId="{02D762C6-91EC-4FE8-8DD5-7C4C3BF95BC3}" srcOrd="2" destOrd="0" presId="urn:microsoft.com/office/officeart/2005/8/layout/orgChart1"/>
    <dgm:cxn modelId="{767C4E36-506F-41DD-A4B0-A2B2707B0915}" type="presParOf" srcId="{5ACBC9EB-3255-4183-99C6-36BFA4DB898A}" destId="{9A5CF57C-EB3E-499E-8222-998FF1F3959E}" srcOrd="4" destOrd="0" presId="urn:microsoft.com/office/officeart/2005/8/layout/orgChart1"/>
    <dgm:cxn modelId="{A2FE2B89-7443-40C4-834B-34542BC68D02}" type="presParOf" srcId="{5ACBC9EB-3255-4183-99C6-36BFA4DB898A}" destId="{5704E418-CC6E-4FAE-B4C3-1F565F11B0A5}" srcOrd="5" destOrd="0" presId="urn:microsoft.com/office/officeart/2005/8/layout/orgChart1"/>
    <dgm:cxn modelId="{1012EC9E-C110-4D52-BE35-CB1972B88024}" type="presParOf" srcId="{5704E418-CC6E-4FAE-B4C3-1F565F11B0A5}" destId="{6457224C-B2A9-4E68-93C7-6A30D187AD21}" srcOrd="0" destOrd="0" presId="urn:microsoft.com/office/officeart/2005/8/layout/orgChart1"/>
    <dgm:cxn modelId="{6B2E6228-0A2E-4A61-BC2F-C2EC8406632F}" type="presParOf" srcId="{6457224C-B2A9-4E68-93C7-6A30D187AD21}" destId="{5D899EB1-B601-4B33-9059-E0DEFEEE5318}" srcOrd="0" destOrd="0" presId="urn:microsoft.com/office/officeart/2005/8/layout/orgChart1"/>
    <dgm:cxn modelId="{87A400E9-58BD-43D0-B6E9-3D45D617DF7F}" type="presParOf" srcId="{6457224C-B2A9-4E68-93C7-6A30D187AD21}" destId="{8BDE05C9-053F-4C88-B814-2D8F4E34080D}" srcOrd="1" destOrd="0" presId="urn:microsoft.com/office/officeart/2005/8/layout/orgChart1"/>
    <dgm:cxn modelId="{F6A38076-0FAF-40C6-9B65-E8B83E6ADC36}" type="presParOf" srcId="{5704E418-CC6E-4FAE-B4C3-1F565F11B0A5}" destId="{EBBFD4E0-68FF-4B5E-9CC1-134C676AC247}" srcOrd="1" destOrd="0" presId="urn:microsoft.com/office/officeart/2005/8/layout/orgChart1"/>
    <dgm:cxn modelId="{9ACF2EE1-6E7F-4C65-9887-49FDDBC50035}" type="presParOf" srcId="{5704E418-CC6E-4FAE-B4C3-1F565F11B0A5}" destId="{1511A876-7870-4D0C-96F8-5E48CF5B2D4C}" srcOrd="2" destOrd="0" presId="urn:microsoft.com/office/officeart/2005/8/layout/orgChart1"/>
    <dgm:cxn modelId="{20342A05-CE16-49CC-88CA-1F65EFBA935A}" type="presParOf" srcId="{5AD6FC9D-6064-445F-8A06-CCA400DB3B08}" destId="{75BBA576-24A0-4355-8678-C16C1DF84B6E}" srcOrd="2" destOrd="0" presId="urn:microsoft.com/office/officeart/2005/8/layout/orgChart1"/>
    <dgm:cxn modelId="{9AB3537C-8857-4F5A-93FF-1EF9293FD52B}" type="presParOf" srcId="{0A189367-43EC-4441-BA08-750B899E9469}" destId="{3B9D5E95-1320-46BA-A01E-BC0D01F0FFE2}"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A5CF57C-EB3E-499E-8222-998FF1F3959E}">
      <dsp:nvSpPr>
        <dsp:cNvPr id="0" name=""/>
        <dsp:cNvSpPr/>
      </dsp:nvSpPr>
      <dsp:spPr>
        <a:xfrm>
          <a:off x="13369506" y="1722604"/>
          <a:ext cx="115673" cy="1563750"/>
        </a:xfrm>
        <a:custGeom>
          <a:avLst/>
          <a:gdLst/>
          <a:ahLst/>
          <a:cxnLst/>
          <a:rect l="0" t="0" r="0" b="0"/>
          <a:pathLst>
            <a:path>
              <a:moveTo>
                <a:pt x="0" y="0"/>
              </a:moveTo>
              <a:lnTo>
                <a:pt x="0" y="1563750"/>
              </a:lnTo>
              <a:lnTo>
                <a:pt x="115673" y="1563750"/>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1F22369C-0260-40DE-A3B5-80071F47CFCB}">
      <dsp:nvSpPr>
        <dsp:cNvPr id="0" name=""/>
        <dsp:cNvSpPr/>
      </dsp:nvSpPr>
      <dsp:spPr>
        <a:xfrm>
          <a:off x="13369506" y="1722604"/>
          <a:ext cx="115673" cy="973185"/>
        </a:xfrm>
        <a:custGeom>
          <a:avLst/>
          <a:gdLst/>
          <a:ahLst/>
          <a:cxnLst/>
          <a:rect l="0" t="0" r="0" b="0"/>
          <a:pathLst>
            <a:path>
              <a:moveTo>
                <a:pt x="0" y="0"/>
              </a:moveTo>
              <a:lnTo>
                <a:pt x="0" y="973185"/>
              </a:lnTo>
              <a:lnTo>
                <a:pt x="115673" y="973185"/>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D6F69DBC-B0FC-4A08-AC6B-4A6F9030A7BD}">
      <dsp:nvSpPr>
        <dsp:cNvPr id="0" name=""/>
        <dsp:cNvSpPr/>
      </dsp:nvSpPr>
      <dsp:spPr>
        <a:xfrm>
          <a:off x="13369506" y="1722604"/>
          <a:ext cx="115673" cy="382619"/>
        </a:xfrm>
        <a:custGeom>
          <a:avLst/>
          <a:gdLst/>
          <a:ahLst/>
          <a:cxnLst/>
          <a:rect l="0" t="0" r="0" b="0"/>
          <a:pathLst>
            <a:path>
              <a:moveTo>
                <a:pt x="0" y="0"/>
              </a:moveTo>
              <a:lnTo>
                <a:pt x="0" y="382619"/>
              </a:lnTo>
              <a:lnTo>
                <a:pt x="115673" y="382619"/>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7009101D-659E-4AC4-B6A0-8312127BD0D5}">
      <dsp:nvSpPr>
        <dsp:cNvPr id="0" name=""/>
        <dsp:cNvSpPr/>
      </dsp:nvSpPr>
      <dsp:spPr>
        <a:xfrm>
          <a:off x="6926679" y="571979"/>
          <a:ext cx="6688695" cy="734734"/>
        </a:xfrm>
        <a:custGeom>
          <a:avLst/>
          <a:gdLst/>
          <a:ahLst/>
          <a:cxnLst/>
          <a:rect l="0" t="0" r="0" b="0"/>
          <a:pathLst>
            <a:path>
              <a:moveTo>
                <a:pt x="0" y="0"/>
              </a:moveTo>
              <a:lnTo>
                <a:pt x="0" y="647397"/>
              </a:lnTo>
              <a:lnTo>
                <a:pt x="6688695" y="647397"/>
              </a:lnTo>
              <a:lnTo>
                <a:pt x="6688695" y="734734"/>
              </a:lnTo>
            </a:path>
          </a:pathLst>
        </a:custGeom>
        <a:noFill/>
        <a:ln w="6350" cap="flat" cmpd="sng" algn="ctr">
          <a:solidFill>
            <a:schemeClr val="accent1">
              <a:shade val="6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F7AFC83A-F643-4B31-A648-492A9D843CA2}">
      <dsp:nvSpPr>
        <dsp:cNvPr id="0" name=""/>
        <dsp:cNvSpPr/>
      </dsp:nvSpPr>
      <dsp:spPr>
        <a:xfrm>
          <a:off x="12253568" y="1713683"/>
          <a:ext cx="170105" cy="1572671"/>
        </a:xfrm>
        <a:custGeom>
          <a:avLst/>
          <a:gdLst/>
          <a:ahLst/>
          <a:cxnLst/>
          <a:rect l="0" t="0" r="0" b="0"/>
          <a:pathLst>
            <a:path>
              <a:moveTo>
                <a:pt x="0" y="0"/>
              </a:moveTo>
              <a:lnTo>
                <a:pt x="0" y="1572671"/>
              </a:lnTo>
              <a:lnTo>
                <a:pt x="170105" y="1572671"/>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89695C53-1190-42FF-86CC-6209DC216241}">
      <dsp:nvSpPr>
        <dsp:cNvPr id="0" name=""/>
        <dsp:cNvSpPr/>
      </dsp:nvSpPr>
      <dsp:spPr>
        <a:xfrm>
          <a:off x="12253568" y="1713683"/>
          <a:ext cx="170105" cy="982106"/>
        </a:xfrm>
        <a:custGeom>
          <a:avLst/>
          <a:gdLst/>
          <a:ahLst/>
          <a:cxnLst/>
          <a:rect l="0" t="0" r="0" b="0"/>
          <a:pathLst>
            <a:path>
              <a:moveTo>
                <a:pt x="0" y="0"/>
              </a:moveTo>
              <a:lnTo>
                <a:pt x="0" y="982106"/>
              </a:lnTo>
              <a:lnTo>
                <a:pt x="170105" y="982106"/>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6B9387C3-2537-4FE2-8085-C859547936ED}">
      <dsp:nvSpPr>
        <dsp:cNvPr id="0" name=""/>
        <dsp:cNvSpPr/>
      </dsp:nvSpPr>
      <dsp:spPr>
        <a:xfrm>
          <a:off x="12253568" y="1713683"/>
          <a:ext cx="170105" cy="391540"/>
        </a:xfrm>
        <a:custGeom>
          <a:avLst/>
          <a:gdLst/>
          <a:ahLst/>
          <a:cxnLst/>
          <a:rect l="0" t="0" r="0" b="0"/>
          <a:pathLst>
            <a:path>
              <a:moveTo>
                <a:pt x="0" y="0"/>
              </a:moveTo>
              <a:lnTo>
                <a:pt x="0" y="391540"/>
              </a:lnTo>
              <a:lnTo>
                <a:pt x="170105" y="391540"/>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6859BE2E-B830-41FF-B86E-79A6F3BD7732}">
      <dsp:nvSpPr>
        <dsp:cNvPr id="0" name=""/>
        <dsp:cNvSpPr/>
      </dsp:nvSpPr>
      <dsp:spPr>
        <a:xfrm>
          <a:off x="6926679" y="571979"/>
          <a:ext cx="5717909" cy="725813"/>
        </a:xfrm>
        <a:custGeom>
          <a:avLst/>
          <a:gdLst/>
          <a:ahLst/>
          <a:cxnLst/>
          <a:rect l="0" t="0" r="0" b="0"/>
          <a:pathLst>
            <a:path>
              <a:moveTo>
                <a:pt x="0" y="0"/>
              </a:moveTo>
              <a:lnTo>
                <a:pt x="0" y="638476"/>
              </a:lnTo>
              <a:lnTo>
                <a:pt x="5717909" y="638476"/>
              </a:lnTo>
              <a:lnTo>
                <a:pt x="5717909" y="725813"/>
              </a:lnTo>
            </a:path>
          </a:pathLst>
        </a:custGeom>
        <a:noFill/>
        <a:ln w="6350" cap="flat" cmpd="sng" algn="ctr">
          <a:solidFill>
            <a:schemeClr val="accent1">
              <a:shade val="6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9B6FEAED-F609-4ABD-9830-664C2D6F7BC4}">
      <dsp:nvSpPr>
        <dsp:cNvPr id="0" name=""/>
        <dsp:cNvSpPr/>
      </dsp:nvSpPr>
      <dsp:spPr>
        <a:xfrm>
          <a:off x="11232534" y="1713683"/>
          <a:ext cx="148240" cy="1572671"/>
        </a:xfrm>
        <a:custGeom>
          <a:avLst/>
          <a:gdLst/>
          <a:ahLst/>
          <a:cxnLst/>
          <a:rect l="0" t="0" r="0" b="0"/>
          <a:pathLst>
            <a:path>
              <a:moveTo>
                <a:pt x="0" y="0"/>
              </a:moveTo>
              <a:lnTo>
                <a:pt x="0" y="1572671"/>
              </a:lnTo>
              <a:lnTo>
                <a:pt x="148240" y="1572671"/>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0F5DED51-8461-4FB1-B14E-D45B6BB35082}">
      <dsp:nvSpPr>
        <dsp:cNvPr id="0" name=""/>
        <dsp:cNvSpPr/>
      </dsp:nvSpPr>
      <dsp:spPr>
        <a:xfrm>
          <a:off x="11232534" y="1713683"/>
          <a:ext cx="148240" cy="982106"/>
        </a:xfrm>
        <a:custGeom>
          <a:avLst/>
          <a:gdLst/>
          <a:ahLst/>
          <a:cxnLst/>
          <a:rect l="0" t="0" r="0" b="0"/>
          <a:pathLst>
            <a:path>
              <a:moveTo>
                <a:pt x="0" y="0"/>
              </a:moveTo>
              <a:lnTo>
                <a:pt x="0" y="982106"/>
              </a:lnTo>
              <a:lnTo>
                <a:pt x="148240" y="982106"/>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3C4B0898-FEC4-425E-A62E-7F6211895D7C}">
      <dsp:nvSpPr>
        <dsp:cNvPr id="0" name=""/>
        <dsp:cNvSpPr/>
      </dsp:nvSpPr>
      <dsp:spPr>
        <a:xfrm>
          <a:off x="11232534" y="1713683"/>
          <a:ext cx="148240" cy="391540"/>
        </a:xfrm>
        <a:custGeom>
          <a:avLst/>
          <a:gdLst/>
          <a:ahLst/>
          <a:cxnLst/>
          <a:rect l="0" t="0" r="0" b="0"/>
          <a:pathLst>
            <a:path>
              <a:moveTo>
                <a:pt x="0" y="0"/>
              </a:moveTo>
              <a:lnTo>
                <a:pt x="0" y="391540"/>
              </a:lnTo>
              <a:lnTo>
                <a:pt x="148240" y="391540"/>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95E2F74E-F847-4663-BDD7-0A5BE67FBABA}">
      <dsp:nvSpPr>
        <dsp:cNvPr id="0" name=""/>
        <dsp:cNvSpPr/>
      </dsp:nvSpPr>
      <dsp:spPr>
        <a:xfrm>
          <a:off x="6926679" y="571979"/>
          <a:ext cx="4638567" cy="725813"/>
        </a:xfrm>
        <a:custGeom>
          <a:avLst/>
          <a:gdLst/>
          <a:ahLst/>
          <a:cxnLst/>
          <a:rect l="0" t="0" r="0" b="0"/>
          <a:pathLst>
            <a:path>
              <a:moveTo>
                <a:pt x="0" y="0"/>
              </a:moveTo>
              <a:lnTo>
                <a:pt x="0" y="638476"/>
              </a:lnTo>
              <a:lnTo>
                <a:pt x="4638567" y="638476"/>
              </a:lnTo>
              <a:lnTo>
                <a:pt x="4638567" y="725813"/>
              </a:lnTo>
            </a:path>
          </a:pathLst>
        </a:custGeom>
        <a:noFill/>
        <a:ln w="6350" cap="flat" cmpd="sng" algn="ctr">
          <a:solidFill>
            <a:schemeClr val="accent1">
              <a:shade val="6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2E30FFB8-D40D-42E9-AC77-18EF4B8DF612}">
      <dsp:nvSpPr>
        <dsp:cNvPr id="0" name=""/>
        <dsp:cNvSpPr/>
      </dsp:nvSpPr>
      <dsp:spPr>
        <a:xfrm>
          <a:off x="10249550" y="1713683"/>
          <a:ext cx="124767" cy="1572671"/>
        </a:xfrm>
        <a:custGeom>
          <a:avLst/>
          <a:gdLst/>
          <a:ahLst/>
          <a:cxnLst/>
          <a:rect l="0" t="0" r="0" b="0"/>
          <a:pathLst>
            <a:path>
              <a:moveTo>
                <a:pt x="0" y="0"/>
              </a:moveTo>
              <a:lnTo>
                <a:pt x="0" y="1572671"/>
              </a:lnTo>
              <a:lnTo>
                <a:pt x="124767" y="1572671"/>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BFBC2126-85D5-4905-9E09-CD7F082453CB}">
      <dsp:nvSpPr>
        <dsp:cNvPr id="0" name=""/>
        <dsp:cNvSpPr/>
      </dsp:nvSpPr>
      <dsp:spPr>
        <a:xfrm>
          <a:off x="10249550" y="1713683"/>
          <a:ext cx="124767" cy="982106"/>
        </a:xfrm>
        <a:custGeom>
          <a:avLst/>
          <a:gdLst/>
          <a:ahLst/>
          <a:cxnLst/>
          <a:rect l="0" t="0" r="0" b="0"/>
          <a:pathLst>
            <a:path>
              <a:moveTo>
                <a:pt x="0" y="0"/>
              </a:moveTo>
              <a:lnTo>
                <a:pt x="0" y="982106"/>
              </a:lnTo>
              <a:lnTo>
                <a:pt x="124767" y="982106"/>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3CB9AA48-4DCA-4619-BFC8-64D366B147BD}">
      <dsp:nvSpPr>
        <dsp:cNvPr id="0" name=""/>
        <dsp:cNvSpPr/>
      </dsp:nvSpPr>
      <dsp:spPr>
        <a:xfrm>
          <a:off x="10249550" y="1713683"/>
          <a:ext cx="124767" cy="391540"/>
        </a:xfrm>
        <a:custGeom>
          <a:avLst/>
          <a:gdLst/>
          <a:ahLst/>
          <a:cxnLst/>
          <a:rect l="0" t="0" r="0" b="0"/>
          <a:pathLst>
            <a:path>
              <a:moveTo>
                <a:pt x="0" y="0"/>
              </a:moveTo>
              <a:lnTo>
                <a:pt x="0" y="391540"/>
              </a:lnTo>
              <a:lnTo>
                <a:pt x="124767" y="391540"/>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70257897-199B-45F9-8E97-4C591BBE7B3F}">
      <dsp:nvSpPr>
        <dsp:cNvPr id="0" name=""/>
        <dsp:cNvSpPr/>
      </dsp:nvSpPr>
      <dsp:spPr>
        <a:xfrm>
          <a:off x="6926679" y="571979"/>
          <a:ext cx="3655583" cy="725813"/>
        </a:xfrm>
        <a:custGeom>
          <a:avLst/>
          <a:gdLst/>
          <a:ahLst/>
          <a:cxnLst/>
          <a:rect l="0" t="0" r="0" b="0"/>
          <a:pathLst>
            <a:path>
              <a:moveTo>
                <a:pt x="0" y="0"/>
              </a:moveTo>
              <a:lnTo>
                <a:pt x="0" y="638476"/>
              </a:lnTo>
              <a:lnTo>
                <a:pt x="3655583" y="638476"/>
              </a:lnTo>
              <a:lnTo>
                <a:pt x="3655583" y="725813"/>
              </a:lnTo>
            </a:path>
          </a:pathLst>
        </a:custGeom>
        <a:noFill/>
        <a:ln w="6350" cap="flat" cmpd="sng" algn="ctr">
          <a:solidFill>
            <a:schemeClr val="accent1">
              <a:shade val="6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86E8989D-6C94-463D-9588-B288E8BD09F3}">
      <dsp:nvSpPr>
        <dsp:cNvPr id="0" name=""/>
        <dsp:cNvSpPr/>
      </dsp:nvSpPr>
      <dsp:spPr>
        <a:xfrm>
          <a:off x="9243094" y="1713683"/>
          <a:ext cx="124767" cy="1572671"/>
        </a:xfrm>
        <a:custGeom>
          <a:avLst/>
          <a:gdLst/>
          <a:ahLst/>
          <a:cxnLst/>
          <a:rect l="0" t="0" r="0" b="0"/>
          <a:pathLst>
            <a:path>
              <a:moveTo>
                <a:pt x="0" y="0"/>
              </a:moveTo>
              <a:lnTo>
                <a:pt x="0" y="1572671"/>
              </a:lnTo>
              <a:lnTo>
                <a:pt x="124767" y="1572671"/>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BA5F9E80-3D5F-4248-9517-86F91EE0B8E9}">
      <dsp:nvSpPr>
        <dsp:cNvPr id="0" name=""/>
        <dsp:cNvSpPr/>
      </dsp:nvSpPr>
      <dsp:spPr>
        <a:xfrm>
          <a:off x="9243094" y="1713683"/>
          <a:ext cx="124767" cy="982106"/>
        </a:xfrm>
        <a:custGeom>
          <a:avLst/>
          <a:gdLst/>
          <a:ahLst/>
          <a:cxnLst/>
          <a:rect l="0" t="0" r="0" b="0"/>
          <a:pathLst>
            <a:path>
              <a:moveTo>
                <a:pt x="0" y="0"/>
              </a:moveTo>
              <a:lnTo>
                <a:pt x="0" y="982106"/>
              </a:lnTo>
              <a:lnTo>
                <a:pt x="124767" y="982106"/>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6185FE85-F6F3-47C8-BC28-BFB1B081D47E}">
      <dsp:nvSpPr>
        <dsp:cNvPr id="0" name=""/>
        <dsp:cNvSpPr/>
      </dsp:nvSpPr>
      <dsp:spPr>
        <a:xfrm>
          <a:off x="9243094" y="1713683"/>
          <a:ext cx="124767" cy="391540"/>
        </a:xfrm>
        <a:custGeom>
          <a:avLst/>
          <a:gdLst/>
          <a:ahLst/>
          <a:cxnLst/>
          <a:rect l="0" t="0" r="0" b="0"/>
          <a:pathLst>
            <a:path>
              <a:moveTo>
                <a:pt x="0" y="0"/>
              </a:moveTo>
              <a:lnTo>
                <a:pt x="0" y="391540"/>
              </a:lnTo>
              <a:lnTo>
                <a:pt x="124767" y="391540"/>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82E60BB5-7FD2-4219-AE7C-29971BDCB4BB}">
      <dsp:nvSpPr>
        <dsp:cNvPr id="0" name=""/>
        <dsp:cNvSpPr/>
      </dsp:nvSpPr>
      <dsp:spPr>
        <a:xfrm>
          <a:off x="6926679" y="571979"/>
          <a:ext cx="2649127" cy="725813"/>
        </a:xfrm>
        <a:custGeom>
          <a:avLst/>
          <a:gdLst/>
          <a:ahLst/>
          <a:cxnLst/>
          <a:rect l="0" t="0" r="0" b="0"/>
          <a:pathLst>
            <a:path>
              <a:moveTo>
                <a:pt x="0" y="0"/>
              </a:moveTo>
              <a:lnTo>
                <a:pt x="0" y="638476"/>
              </a:lnTo>
              <a:lnTo>
                <a:pt x="2649127" y="638476"/>
              </a:lnTo>
              <a:lnTo>
                <a:pt x="2649127" y="725813"/>
              </a:lnTo>
            </a:path>
          </a:pathLst>
        </a:custGeom>
        <a:noFill/>
        <a:ln w="6350" cap="flat" cmpd="sng" algn="ctr">
          <a:solidFill>
            <a:schemeClr val="accent1">
              <a:shade val="6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52777498-AA74-4FC2-849F-C626B27A45B4}">
      <dsp:nvSpPr>
        <dsp:cNvPr id="0" name=""/>
        <dsp:cNvSpPr/>
      </dsp:nvSpPr>
      <dsp:spPr>
        <a:xfrm>
          <a:off x="8175760" y="1713683"/>
          <a:ext cx="134913" cy="1572671"/>
        </a:xfrm>
        <a:custGeom>
          <a:avLst/>
          <a:gdLst/>
          <a:ahLst/>
          <a:cxnLst/>
          <a:rect l="0" t="0" r="0" b="0"/>
          <a:pathLst>
            <a:path>
              <a:moveTo>
                <a:pt x="0" y="0"/>
              </a:moveTo>
              <a:lnTo>
                <a:pt x="0" y="1572671"/>
              </a:lnTo>
              <a:lnTo>
                <a:pt x="134913" y="1572671"/>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679EAA6C-B7F9-45B1-B314-064B1497E450}">
      <dsp:nvSpPr>
        <dsp:cNvPr id="0" name=""/>
        <dsp:cNvSpPr/>
      </dsp:nvSpPr>
      <dsp:spPr>
        <a:xfrm>
          <a:off x="8175760" y="1713683"/>
          <a:ext cx="134913" cy="982106"/>
        </a:xfrm>
        <a:custGeom>
          <a:avLst/>
          <a:gdLst/>
          <a:ahLst/>
          <a:cxnLst/>
          <a:rect l="0" t="0" r="0" b="0"/>
          <a:pathLst>
            <a:path>
              <a:moveTo>
                <a:pt x="0" y="0"/>
              </a:moveTo>
              <a:lnTo>
                <a:pt x="0" y="982106"/>
              </a:lnTo>
              <a:lnTo>
                <a:pt x="134913" y="982106"/>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78FA309A-083A-4C64-9477-7A3C69B2784C}">
      <dsp:nvSpPr>
        <dsp:cNvPr id="0" name=""/>
        <dsp:cNvSpPr/>
      </dsp:nvSpPr>
      <dsp:spPr>
        <a:xfrm>
          <a:off x="8175760" y="1713683"/>
          <a:ext cx="134913" cy="391540"/>
        </a:xfrm>
        <a:custGeom>
          <a:avLst/>
          <a:gdLst/>
          <a:ahLst/>
          <a:cxnLst/>
          <a:rect l="0" t="0" r="0" b="0"/>
          <a:pathLst>
            <a:path>
              <a:moveTo>
                <a:pt x="0" y="0"/>
              </a:moveTo>
              <a:lnTo>
                <a:pt x="0" y="391540"/>
              </a:lnTo>
              <a:lnTo>
                <a:pt x="134913" y="391540"/>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1CAB3E94-5855-4109-A43C-7105AD6B26D0}">
      <dsp:nvSpPr>
        <dsp:cNvPr id="0" name=""/>
        <dsp:cNvSpPr/>
      </dsp:nvSpPr>
      <dsp:spPr>
        <a:xfrm>
          <a:off x="6926679" y="571979"/>
          <a:ext cx="1608850" cy="725813"/>
        </a:xfrm>
        <a:custGeom>
          <a:avLst/>
          <a:gdLst/>
          <a:ahLst/>
          <a:cxnLst/>
          <a:rect l="0" t="0" r="0" b="0"/>
          <a:pathLst>
            <a:path>
              <a:moveTo>
                <a:pt x="0" y="0"/>
              </a:moveTo>
              <a:lnTo>
                <a:pt x="0" y="638476"/>
              </a:lnTo>
              <a:lnTo>
                <a:pt x="1608850" y="638476"/>
              </a:lnTo>
              <a:lnTo>
                <a:pt x="1608850" y="725813"/>
              </a:lnTo>
            </a:path>
          </a:pathLst>
        </a:custGeom>
        <a:noFill/>
        <a:ln w="6350" cap="flat" cmpd="sng" algn="ctr">
          <a:solidFill>
            <a:schemeClr val="accent1">
              <a:shade val="6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807FA1CB-C069-4A68-9F5B-ACB3D4C2C7E0}">
      <dsp:nvSpPr>
        <dsp:cNvPr id="0" name=""/>
        <dsp:cNvSpPr/>
      </dsp:nvSpPr>
      <dsp:spPr>
        <a:xfrm>
          <a:off x="7075237" y="1713683"/>
          <a:ext cx="139317" cy="1572671"/>
        </a:xfrm>
        <a:custGeom>
          <a:avLst/>
          <a:gdLst/>
          <a:ahLst/>
          <a:cxnLst/>
          <a:rect l="0" t="0" r="0" b="0"/>
          <a:pathLst>
            <a:path>
              <a:moveTo>
                <a:pt x="0" y="0"/>
              </a:moveTo>
              <a:lnTo>
                <a:pt x="0" y="1572671"/>
              </a:lnTo>
              <a:lnTo>
                <a:pt x="139317" y="1572671"/>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47A21D83-0961-4F83-B6CA-9111DF4BFE52}">
      <dsp:nvSpPr>
        <dsp:cNvPr id="0" name=""/>
        <dsp:cNvSpPr/>
      </dsp:nvSpPr>
      <dsp:spPr>
        <a:xfrm>
          <a:off x="7075237" y="1713683"/>
          <a:ext cx="139317" cy="982106"/>
        </a:xfrm>
        <a:custGeom>
          <a:avLst/>
          <a:gdLst/>
          <a:ahLst/>
          <a:cxnLst/>
          <a:rect l="0" t="0" r="0" b="0"/>
          <a:pathLst>
            <a:path>
              <a:moveTo>
                <a:pt x="0" y="0"/>
              </a:moveTo>
              <a:lnTo>
                <a:pt x="0" y="982106"/>
              </a:lnTo>
              <a:lnTo>
                <a:pt x="139317" y="982106"/>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56484EBF-27DD-4386-A0D0-1C14F44B1EE2}">
      <dsp:nvSpPr>
        <dsp:cNvPr id="0" name=""/>
        <dsp:cNvSpPr/>
      </dsp:nvSpPr>
      <dsp:spPr>
        <a:xfrm>
          <a:off x="7075237" y="1713683"/>
          <a:ext cx="139317" cy="391540"/>
        </a:xfrm>
        <a:custGeom>
          <a:avLst/>
          <a:gdLst/>
          <a:ahLst/>
          <a:cxnLst/>
          <a:rect l="0" t="0" r="0" b="0"/>
          <a:pathLst>
            <a:path>
              <a:moveTo>
                <a:pt x="0" y="0"/>
              </a:moveTo>
              <a:lnTo>
                <a:pt x="0" y="391540"/>
              </a:lnTo>
              <a:lnTo>
                <a:pt x="139317" y="391540"/>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58BDADBE-4402-4E6F-AB6F-E215C5F98D3B}">
      <dsp:nvSpPr>
        <dsp:cNvPr id="0" name=""/>
        <dsp:cNvSpPr/>
      </dsp:nvSpPr>
      <dsp:spPr>
        <a:xfrm>
          <a:off x="6926679" y="571979"/>
          <a:ext cx="520071" cy="725813"/>
        </a:xfrm>
        <a:custGeom>
          <a:avLst/>
          <a:gdLst/>
          <a:ahLst/>
          <a:cxnLst/>
          <a:rect l="0" t="0" r="0" b="0"/>
          <a:pathLst>
            <a:path>
              <a:moveTo>
                <a:pt x="0" y="0"/>
              </a:moveTo>
              <a:lnTo>
                <a:pt x="0" y="638476"/>
              </a:lnTo>
              <a:lnTo>
                <a:pt x="520071" y="638476"/>
              </a:lnTo>
              <a:lnTo>
                <a:pt x="520071" y="725813"/>
              </a:lnTo>
            </a:path>
          </a:pathLst>
        </a:custGeom>
        <a:noFill/>
        <a:ln w="6350" cap="flat" cmpd="sng" algn="ctr">
          <a:solidFill>
            <a:schemeClr val="accent1">
              <a:shade val="6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DE31F5CA-37EC-464B-A0E1-9AB790904E0E}">
      <dsp:nvSpPr>
        <dsp:cNvPr id="0" name=""/>
        <dsp:cNvSpPr/>
      </dsp:nvSpPr>
      <dsp:spPr>
        <a:xfrm>
          <a:off x="6083331" y="2313170"/>
          <a:ext cx="124767" cy="2154316"/>
        </a:xfrm>
        <a:custGeom>
          <a:avLst/>
          <a:gdLst/>
          <a:ahLst/>
          <a:cxnLst/>
          <a:rect l="0" t="0" r="0" b="0"/>
          <a:pathLst>
            <a:path>
              <a:moveTo>
                <a:pt x="0" y="0"/>
              </a:moveTo>
              <a:lnTo>
                <a:pt x="0" y="2154316"/>
              </a:lnTo>
              <a:lnTo>
                <a:pt x="124767" y="2154316"/>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2B3AD1B7-C2FA-429C-81C3-2B93654B4988}">
      <dsp:nvSpPr>
        <dsp:cNvPr id="0" name=""/>
        <dsp:cNvSpPr/>
      </dsp:nvSpPr>
      <dsp:spPr>
        <a:xfrm>
          <a:off x="6083331" y="2313170"/>
          <a:ext cx="124767" cy="1563750"/>
        </a:xfrm>
        <a:custGeom>
          <a:avLst/>
          <a:gdLst/>
          <a:ahLst/>
          <a:cxnLst/>
          <a:rect l="0" t="0" r="0" b="0"/>
          <a:pathLst>
            <a:path>
              <a:moveTo>
                <a:pt x="0" y="0"/>
              </a:moveTo>
              <a:lnTo>
                <a:pt x="0" y="1563750"/>
              </a:lnTo>
              <a:lnTo>
                <a:pt x="124767" y="1563750"/>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C3FAA0F3-7CCC-449C-A82C-F68F70EE100B}">
      <dsp:nvSpPr>
        <dsp:cNvPr id="0" name=""/>
        <dsp:cNvSpPr/>
      </dsp:nvSpPr>
      <dsp:spPr>
        <a:xfrm>
          <a:off x="6083331" y="2313170"/>
          <a:ext cx="124767" cy="973185"/>
        </a:xfrm>
        <a:custGeom>
          <a:avLst/>
          <a:gdLst/>
          <a:ahLst/>
          <a:cxnLst/>
          <a:rect l="0" t="0" r="0" b="0"/>
          <a:pathLst>
            <a:path>
              <a:moveTo>
                <a:pt x="0" y="0"/>
              </a:moveTo>
              <a:lnTo>
                <a:pt x="0" y="973185"/>
              </a:lnTo>
              <a:lnTo>
                <a:pt x="124767" y="973185"/>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C53932D4-51E7-41F5-AE16-C6CBB114DFEA}">
      <dsp:nvSpPr>
        <dsp:cNvPr id="0" name=""/>
        <dsp:cNvSpPr/>
      </dsp:nvSpPr>
      <dsp:spPr>
        <a:xfrm>
          <a:off x="6083331" y="2313170"/>
          <a:ext cx="124767" cy="382619"/>
        </a:xfrm>
        <a:custGeom>
          <a:avLst/>
          <a:gdLst/>
          <a:ahLst/>
          <a:cxnLst/>
          <a:rect l="0" t="0" r="0" b="0"/>
          <a:pathLst>
            <a:path>
              <a:moveTo>
                <a:pt x="0" y="0"/>
              </a:moveTo>
              <a:lnTo>
                <a:pt x="0" y="382619"/>
              </a:lnTo>
              <a:lnTo>
                <a:pt x="124767" y="382619"/>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3A9512E9-E1C5-4380-BA7C-8E54B5E137DF}">
      <dsp:nvSpPr>
        <dsp:cNvPr id="0" name=""/>
        <dsp:cNvSpPr/>
      </dsp:nvSpPr>
      <dsp:spPr>
        <a:xfrm>
          <a:off x="5912816" y="1713683"/>
          <a:ext cx="503228" cy="183595"/>
        </a:xfrm>
        <a:custGeom>
          <a:avLst/>
          <a:gdLst/>
          <a:ahLst/>
          <a:cxnLst/>
          <a:rect l="0" t="0" r="0" b="0"/>
          <a:pathLst>
            <a:path>
              <a:moveTo>
                <a:pt x="0" y="0"/>
              </a:moveTo>
              <a:lnTo>
                <a:pt x="0" y="96258"/>
              </a:lnTo>
              <a:lnTo>
                <a:pt x="503228" y="96258"/>
              </a:lnTo>
              <a:lnTo>
                <a:pt x="503228" y="183595"/>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75E9DCE7-BF69-4738-9940-25697E75186B}">
      <dsp:nvSpPr>
        <dsp:cNvPr id="0" name=""/>
        <dsp:cNvSpPr/>
      </dsp:nvSpPr>
      <dsp:spPr>
        <a:xfrm>
          <a:off x="5076874" y="2313170"/>
          <a:ext cx="124767" cy="1563750"/>
        </a:xfrm>
        <a:custGeom>
          <a:avLst/>
          <a:gdLst/>
          <a:ahLst/>
          <a:cxnLst/>
          <a:rect l="0" t="0" r="0" b="0"/>
          <a:pathLst>
            <a:path>
              <a:moveTo>
                <a:pt x="0" y="0"/>
              </a:moveTo>
              <a:lnTo>
                <a:pt x="0" y="1563750"/>
              </a:lnTo>
              <a:lnTo>
                <a:pt x="124767" y="1563750"/>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0E0991F3-3934-47BB-929B-D5CDA7641990}">
      <dsp:nvSpPr>
        <dsp:cNvPr id="0" name=""/>
        <dsp:cNvSpPr/>
      </dsp:nvSpPr>
      <dsp:spPr>
        <a:xfrm>
          <a:off x="5076874" y="2313170"/>
          <a:ext cx="124767" cy="973185"/>
        </a:xfrm>
        <a:custGeom>
          <a:avLst/>
          <a:gdLst/>
          <a:ahLst/>
          <a:cxnLst/>
          <a:rect l="0" t="0" r="0" b="0"/>
          <a:pathLst>
            <a:path>
              <a:moveTo>
                <a:pt x="0" y="0"/>
              </a:moveTo>
              <a:lnTo>
                <a:pt x="0" y="973185"/>
              </a:lnTo>
              <a:lnTo>
                <a:pt x="124767" y="973185"/>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D7968CA6-A26B-43C5-9036-51384CB0A177}">
      <dsp:nvSpPr>
        <dsp:cNvPr id="0" name=""/>
        <dsp:cNvSpPr/>
      </dsp:nvSpPr>
      <dsp:spPr>
        <a:xfrm>
          <a:off x="5076874" y="2313170"/>
          <a:ext cx="124767" cy="382619"/>
        </a:xfrm>
        <a:custGeom>
          <a:avLst/>
          <a:gdLst/>
          <a:ahLst/>
          <a:cxnLst/>
          <a:rect l="0" t="0" r="0" b="0"/>
          <a:pathLst>
            <a:path>
              <a:moveTo>
                <a:pt x="0" y="0"/>
              </a:moveTo>
              <a:lnTo>
                <a:pt x="0" y="382619"/>
              </a:lnTo>
              <a:lnTo>
                <a:pt x="124767" y="382619"/>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6AC18233-7434-428C-A2CE-9E3AFE243EA4}">
      <dsp:nvSpPr>
        <dsp:cNvPr id="0" name=""/>
        <dsp:cNvSpPr/>
      </dsp:nvSpPr>
      <dsp:spPr>
        <a:xfrm>
          <a:off x="5409587" y="1713683"/>
          <a:ext cx="503228" cy="183595"/>
        </a:xfrm>
        <a:custGeom>
          <a:avLst/>
          <a:gdLst/>
          <a:ahLst/>
          <a:cxnLst/>
          <a:rect l="0" t="0" r="0" b="0"/>
          <a:pathLst>
            <a:path>
              <a:moveTo>
                <a:pt x="503228" y="0"/>
              </a:moveTo>
              <a:lnTo>
                <a:pt x="503228" y="96258"/>
              </a:lnTo>
              <a:lnTo>
                <a:pt x="0" y="96258"/>
              </a:lnTo>
              <a:lnTo>
                <a:pt x="0" y="183595"/>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86920179-6629-4A58-BB26-F9023C6AB676}">
      <dsp:nvSpPr>
        <dsp:cNvPr id="0" name=""/>
        <dsp:cNvSpPr/>
      </dsp:nvSpPr>
      <dsp:spPr>
        <a:xfrm>
          <a:off x="5912816" y="571979"/>
          <a:ext cx="1013863" cy="725813"/>
        </a:xfrm>
        <a:custGeom>
          <a:avLst/>
          <a:gdLst/>
          <a:ahLst/>
          <a:cxnLst/>
          <a:rect l="0" t="0" r="0" b="0"/>
          <a:pathLst>
            <a:path>
              <a:moveTo>
                <a:pt x="1013863" y="0"/>
              </a:moveTo>
              <a:lnTo>
                <a:pt x="1013863" y="638476"/>
              </a:lnTo>
              <a:lnTo>
                <a:pt x="0" y="638476"/>
              </a:lnTo>
              <a:lnTo>
                <a:pt x="0" y="725813"/>
              </a:lnTo>
            </a:path>
          </a:pathLst>
        </a:custGeom>
        <a:noFill/>
        <a:ln w="6350" cap="flat" cmpd="sng" algn="ctr">
          <a:solidFill>
            <a:schemeClr val="accent1">
              <a:shade val="6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B1F44040-471C-47E1-AA4C-3975425FBF91}">
      <dsp:nvSpPr>
        <dsp:cNvPr id="0" name=""/>
        <dsp:cNvSpPr/>
      </dsp:nvSpPr>
      <dsp:spPr>
        <a:xfrm>
          <a:off x="4070418" y="2313170"/>
          <a:ext cx="124767" cy="973185"/>
        </a:xfrm>
        <a:custGeom>
          <a:avLst/>
          <a:gdLst/>
          <a:ahLst/>
          <a:cxnLst/>
          <a:rect l="0" t="0" r="0" b="0"/>
          <a:pathLst>
            <a:path>
              <a:moveTo>
                <a:pt x="0" y="0"/>
              </a:moveTo>
              <a:lnTo>
                <a:pt x="0" y="973185"/>
              </a:lnTo>
              <a:lnTo>
                <a:pt x="124767" y="973185"/>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169005B3-517D-446B-8623-5C28558CA7A7}">
      <dsp:nvSpPr>
        <dsp:cNvPr id="0" name=""/>
        <dsp:cNvSpPr/>
      </dsp:nvSpPr>
      <dsp:spPr>
        <a:xfrm>
          <a:off x="4070418" y="2313170"/>
          <a:ext cx="124767" cy="382619"/>
        </a:xfrm>
        <a:custGeom>
          <a:avLst/>
          <a:gdLst/>
          <a:ahLst/>
          <a:cxnLst/>
          <a:rect l="0" t="0" r="0" b="0"/>
          <a:pathLst>
            <a:path>
              <a:moveTo>
                <a:pt x="0" y="0"/>
              </a:moveTo>
              <a:lnTo>
                <a:pt x="0" y="382619"/>
              </a:lnTo>
              <a:lnTo>
                <a:pt x="124767" y="382619"/>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4E82E1CF-9093-4966-8BDC-BA30B6523B53}">
      <dsp:nvSpPr>
        <dsp:cNvPr id="0" name=""/>
        <dsp:cNvSpPr/>
      </dsp:nvSpPr>
      <dsp:spPr>
        <a:xfrm>
          <a:off x="3899902" y="1713683"/>
          <a:ext cx="503228" cy="183595"/>
        </a:xfrm>
        <a:custGeom>
          <a:avLst/>
          <a:gdLst/>
          <a:ahLst/>
          <a:cxnLst/>
          <a:rect l="0" t="0" r="0" b="0"/>
          <a:pathLst>
            <a:path>
              <a:moveTo>
                <a:pt x="0" y="0"/>
              </a:moveTo>
              <a:lnTo>
                <a:pt x="0" y="96258"/>
              </a:lnTo>
              <a:lnTo>
                <a:pt x="503228" y="96258"/>
              </a:lnTo>
              <a:lnTo>
                <a:pt x="503228" y="183595"/>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FB2DB3A0-B135-43F4-88C1-E9985DD92C2D}">
      <dsp:nvSpPr>
        <dsp:cNvPr id="0" name=""/>
        <dsp:cNvSpPr/>
      </dsp:nvSpPr>
      <dsp:spPr>
        <a:xfrm>
          <a:off x="3063961" y="2313170"/>
          <a:ext cx="124767" cy="973185"/>
        </a:xfrm>
        <a:custGeom>
          <a:avLst/>
          <a:gdLst/>
          <a:ahLst/>
          <a:cxnLst/>
          <a:rect l="0" t="0" r="0" b="0"/>
          <a:pathLst>
            <a:path>
              <a:moveTo>
                <a:pt x="0" y="0"/>
              </a:moveTo>
              <a:lnTo>
                <a:pt x="0" y="973185"/>
              </a:lnTo>
              <a:lnTo>
                <a:pt x="124767" y="973185"/>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551EDF52-9700-4415-9C5E-2D5BBD97710A}">
      <dsp:nvSpPr>
        <dsp:cNvPr id="0" name=""/>
        <dsp:cNvSpPr/>
      </dsp:nvSpPr>
      <dsp:spPr>
        <a:xfrm>
          <a:off x="3063961" y="2313170"/>
          <a:ext cx="124767" cy="382619"/>
        </a:xfrm>
        <a:custGeom>
          <a:avLst/>
          <a:gdLst/>
          <a:ahLst/>
          <a:cxnLst/>
          <a:rect l="0" t="0" r="0" b="0"/>
          <a:pathLst>
            <a:path>
              <a:moveTo>
                <a:pt x="0" y="0"/>
              </a:moveTo>
              <a:lnTo>
                <a:pt x="0" y="382619"/>
              </a:lnTo>
              <a:lnTo>
                <a:pt x="124767" y="382619"/>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1BDCF5C3-4938-4F7B-B883-DFE0EA2513F2}">
      <dsp:nvSpPr>
        <dsp:cNvPr id="0" name=""/>
        <dsp:cNvSpPr/>
      </dsp:nvSpPr>
      <dsp:spPr>
        <a:xfrm>
          <a:off x="3396674" y="1713683"/>
          <a:ext cx="503228" cy="183595"/>
        </a:xfrm>
        <a:custGeom>
          <a:avLst/>
          <a:gdLst/>
          <a:ahLst/>
          <a:cxnLst/>
          <a:rect l="0" t="0" r="0" b="0"/>
          <a:pathLst>
            <a:path>
              <a:moveTo>
                <a:pt x="503228" y="0"/>
              </a:moveTo>
              <a:lnTo>
                <a:pt x="503228" y="96258"/>
              </a:lnTo>
              <a:lnTo>
                <a:pt x="0" y="96258"/>
              </a:lnTo>
              <a:lnTo>
                <a:pt x="0" y="183595"/>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146AE877-ED15-459B-B13B-AF077FBB1040}">
      <dsp:nvSpPr>
        <dsp:cNvPr id="0" name=""/>
        <dsp:cNvSpPr/>
      </dsp:nvSpPr>
      <dsp:spPr>
        <a:xfrm>
          <a:off x="3899902" y="571979"/>
          <a:ext cx="3026777" cy="725813"/>
        </a:xfrm>
        <a:custGeom>
          <a:avLst/>
          <a:gdLst/>
          <a:ahLst/>
          <a:cxnLst/>
          <a:rect l="0" t="0" r="0" b="0"/>
          <a:pathLst>
            <a:path>
              <a:moveTo>
                <a:pt x="3026777" y="0"/>
              </a:moveTo>
              <a:lnTo>
                <a:pt x="3026777" y="638476"/>
              </a:lnTo>
              <a:lnTo>
                <a:pt x="0" y="638476"/>
              </a:lnTo>
              <a:lnTo>
                <a:pt x="0" y="725813"/>
              </a:lnTo>
            </a:path>
          </a:pathLst>
        </a:custGeom>
        <a:noFill/>
        <a:ln w="6350" cap="flat" cmpd="sng" algn="ctr">
          <a:solidFill>
            <a:schemeClr val="accent1">
              <a:shade val="6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E6A192A7-97A5-4540-B81A-84E8F308CDFC}">
      <dsp:nvSpPr>
        <dsp:cNvPr id="0" name=""/>
        <dsp:cNvSpPr/>
      </dsp:nvSpPr>
      <dsp:spPr>
        <a:xfrm>
          <a:off x="2094934" y="2313170"/>
          <a:ext cx="503228" cy="174674"/>
        </a:xfrm>
        <a:custGeom>
          <a:avLst/>
          <a:gdLst/>
          <a:ahLst/>
          <a:cxnLst/>
          <a:rect l="0" t="0" r="0" b="0"/>
          <a:pathLst>
            <a:path>
              <a:moveTo>
                <a:pt x="0" y="0"/>
              </a:moveTo>
              <a:lnTo>
                <a:pt x="0" y="87337"/>
              </a:lnTo>
              <a:lnTo>
                <a:pt x="503228" y="87337"/>
              </a:lnTo>
              <a:lnTo>
                <a:pt x="503228" y="174674"/>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8361F233-B12E-43F6-BC39-A98D94AE39A7}">
      <dsp:nvSpPr>
        <dsp:cNvPr id="0" name=""/>
        <dsp:cNvSpPr/>
      </dsp:nvSpPr>
      <dsp:spPr>
        <a:xfrm>
          <a:off x="1293399" y="2903735"/>
          <a:ext cx="91440" cy="2744882"/>
        </a:xfrm>
        <a:custGeom>
          <a:avLst/>
          <a:gdLst/>
          <a:ahLst/>
          <a:cxnLst/>
          <a:rect l="0" t="0" r="0" b="0"/>
          <a:pathLst>
            <a:path>
              <a:moveTo>
                <a:pt x="45720" y="0"/>
              </a:moveTo>
              <a:lnTo>
                <a:pt x="45720" y="2744882"/>
              </a:lnTo>
              <a:lnTo>
                <a:pt x="90361" y="2744882"/>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B894DCF4-CFDB-4655-8C23-F6D06D7FB345}">
      <dsp:nvSpPr>
        <dsp:cNvPr id="0" name=""/>
        <dsp:cNvSpPr/>
      </dsp:nvSpPr>
      <dsp:spPr>
        <a:xfrm>
          <a:off x="1293399" y="2903735"/>
          <a:ext cx="91440" cy="2154316"/>
        </a:xfrm>
        <a:custGeom>
          <a:avLst/>
          <a:gdLst/>
          <a:ahLst/>
          <a:cxnLst/>
          <a:rect l="0" t="0" r="0" b="0"/>
          <a:pathLst>
            <a:path>
              <a:moveTo>
                <a:pt x="45720" y="0"/>
              </a:moveTo>
              <a:lnTo>
                <a:pt x="45720" y="2154316"/>
              </a:lnTo>
              <a:lnTo>
                <a:pt x="90361" y="2154316"/>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B03BF5AB-02EB-4D85-9282-46894415A7C4}">
      <dsp:nvSpPr>
        <dsp:cNvPr id="0" name=""/>
        <dsp:cNvSpPr/>
      </dsp:nvSpPr>
      <dsp:spPr>
        <a:xfrm>
          <a:off x="1293399" y="2903735"/>
          <a:ext cx="91440" cy="1563750"/>
        </a:xfrm>
        <a:custGeom>
          <a:avLst/>
          <a:gdLst/>
          <a:ahLst/>
          <a:cxnLst/>
          <a:rect l="0" t="0" r="0" b="0"/>
          <a:pathLst>
            <a:path>
              <a:moveTo>
                <a:pt x="45720" y="0"/>
              </a:moveTo>
              <a:lnTo>
                <a:pt x="45720" y="1563750"/>
              </a:lnTo>
              <a:lnTo>
                <a:pt x="90361" y="1563750"/>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2BE8EFB2-4965-4609-B1C2-1F507D9025F0}">
      <dsp:nvSpPr>
        <dsp:cNvPr id="0" name=""/>
        <dsp:cNvSpPr/>
      </dsp:nvSpPr>
      <dsp:spPr>
        <a:xfrm>
          <a:off x="1293399" y="2903735"/>
          <a:ext cx="91440" cy="973185"/>
        </a:xfrm>
        <a:custGeom>
          <a:avLst/>
          <a:gdLst/>
          <a:ahLst/>
          <a:cxnLst/>
          <a:rect l="0" t="0" r="0" b="0"/>
          <a:pathLst>
            <a:path>
              <a:moveTo>
                <a:pt x="45720" y="0"/>
              </a:moveTo>
              <a:lnTo>
                <a:pt x="45720" y="973185"/>
              </a:lnTo>
              <a:lnTo>
                <a:pt x="90361" y="973185"/>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6E904246-481F-4578-AD91-764D29E6D564}">
      <dsp:nvSpPr>
        <dsp:cNvPr id="0" name=""/>
        <dsp:cNvSpPr/>
      </dsp:nvSpPr>
      <dsp:spPr>
        <a:xfrm>
          <a:off x="1293399" y="2903735"/>
          <a:ext cx="91440" cy="382619"/>
        </a:xfrm>
        <a:custGeom>
          <a:avLst/>
          <a:gdLst/>
          <a:ahLst/>
          <a:cxnLst/>
          <a:rect l="0" t="0" r="0" b="0"/>
          <a:pathLst>
            <a:path>
              <a:moveTo>
                <a:pt x="45720" y="0"/>
              </a:moveTo>
              <a:lnTo>
                <a:pt x="45720" y="382619"/>
              </a:lnTo>
              <a:lnTo>
                <a:pt x="90361" y="382619"/>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AAF5925E-A439-4734-BFA7-0209F1E034E0}">
      <dsp:nvSpPr>
        <dsp:cNvPr id="0" name=""/>
        <dsp:cNvSpPr/>
      </dsp:nvSpPr>
      <dsp:spPr>
        <a:xfrm>
          <a:off x="1671831" y="2313170"/>
          <a:ext cx="423102" cy="174674"/>
        </a:xfrm>
        <a:custGeom>
          <a:avLst/>
          <a:gdLst/>
          <a:ahLst/>
          <a:cxnLst/>
          <a:rect l="0" t="0" r="0" b="0"/>
          <a:pathLst>
            <a:path>
              <a:moveTo>
                <a:pt x="423102" y="0"/>
              </a:moveTo>
              <a:lnTo>
                <a:pt x="423102" y="87337"/>
              </a:lnTo>
              <a:lnTo>
                <a:pt x="0" y="87337"/>
              </a:lnTo>
              <a:lnTo>
                <a:pt x="0" y="174674"/>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B935FBDA-E2AB-49CA-8CF4-754257839CD4}">
      <dsp:nvSpPr>
        <dsp:cNvPr id="0" name=""/>
        <dsp:cNvSpPr/>
      </dsp:nvSpPr>
      <dsp:spPr>
        <a:xfrm>
          <a:off x="2049214" y="1713683"/>
          <a:ext cx="91440" cy="183595"/>
        </a:xfrm>
        <a:custGeom>
          <a:avLst/>
          <a:gdLst/>
          <a:ahLst/>
          <a:cxnLst/>
          <a:rect l="0" t="0" r="0" b="0"/>
          <a:pathLst>
            <a:path>
              <a:moveTo>
                <a:pt x="45720" y="0"/>
              </a:moveTo>
              <a:lnTo>
                <a:pt x="45720" y="183595"/>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3CD38DC8-3D55-42DE-AD09-72BD953ED7FB}">
      <dsp:nvSpPr>
        <dsp:cNvPr id="0" name=""/>
        <dsp:cNvSpPr/>
      </dsp:nvSpPr>
      <dsp:spPr>
        <a:xfrm>
          <a:off x="2094934" y="571979"/>
          <a:ext cx="4831745" cy="725813"/>
        </a:xfrm>
        <a:custGeom>
          <a:avLst/>
          <a:gdLst/>
          <a:ahLst/>
          <a:cxnLst/>
          <a:rect l="0" t="0" r="0" b="0"/>
          <a:pathLst>
            <a:path>
              <a:moveTo>
                <a:pt x="4831745" y="0"/>
              </a:moveTo>
              <a:lnTo>
                <a:pt x="4831745" y="638476"/>
              </a:lnTo>
              <a:lnTo>
                <a:pt x="0" y="638476"/>
              </a:lnTo>
              <a:lnTo>
                <a:pt x="0" y="725813"/>
              </a:lnTo>
            </a:path>
          </a:pathLst>
        </a:custGeom>
        <a:noFill/>
        <a:ln w="6350" cap="flat" cmpd="sng" algn="ctr">
          <a:solidFill>
            <a:schemeClr val="accent1">
              <a:shade val="6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52430101-410F-429B-8A7E-9D395BDB29C2}">
      <dsp:nvSpPr>
        <dsp:cNvPr id="0" name=""/>
        <dsp:cNvSpPr/>
      </dsp:nvSpPr>
      <dsp:spPr>
        <a:xfrm>
          <a:off x="63995" y="1722604"/>
          <a:ext cx="105362" cy="2744882"/>
        </a:xfrm>
        <a:custGeom>
          <a:avLst/>
          <a:gdLst/>
          <a:ahLst/>
          <a:cxnLst/>
          <a:rect l="0" t="0" r="0" b="0"/>
          <a:pathLst>
            <a:path>
              <a:moveTo>
                <a:pt x="0" y="0"/>
              </a:moveTo>
              <a:lnTo>
                <a:pt x="0" y="2744882"/>
              </a:lnTo>
              <a:lnTo>
                <a:pt x="105362" y="2744882"/>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7257938E-D889-44E8-903E-64F781AD5445}">
      <dsp:nvSpPr>
        <dsp:cNvPr id="0" name=""/>
        <dsp:cNvSpPr/>
      </dsp:nvSpPr>
      <dsp:spPr>
        <a:xfrm>
          <a:off x="63995" y="1722604"/>
          <a:ext cx="105362" cy="2154316"/>
        </a:xfrm>
        <a:custGeom>
          <a:avLst/>
          <a:gdLst/>
          <a:ahLst/>
          <a:cxnLst/>
          <a:rect l="0" t="0" r="0" b="0"/>
          <a:pathLst>
            <a:path>
              <a:moveTo>
                <a:pt x="0" y="0"/>
              </a:moveTo>
              <a:lnTo>
                <a:pt x="0" y="2154316"/>
              </a:lnTo>
              <a:lnTo>
                <a:pt x="105362" y="2154316"/>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A210511E-8313-4F28-990A-429088BA3B3F}">
      <dsp:nvSpPr>
        <dsp:cNvPr id="0" name=""/>
        <dsp:cNvSpPr/>
      </dsp:nvSpPr>
      <dsp:spPr>
        <a:xfrm>
          <a:off x="63995" y="1722604"/>
          <a:ext cx="105362" cy="1563750"/>
        </a:xfrm>
        <a:custGeom>
          <a:avLst/>
          <a:gdLst/>
          <a:ahLst/>
          <a:cxnLst/>
          <a:rect l="0" t="0" r="0" b="0"/>
          <a:pathLst>
            <a:path>
              <a:moveTo>
                <a:pt x="0" y="0"/>
              </a:moveTo>
              <a:lnTo>
                <a:pt x="0" y="1563750"/>
              </a:lnTo>
              <a:lnTo>
                <a:pt x="105362" y="1563750"/>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CC49643F-5CAB-42AD-AC31-F5BF5BED7969}">
      <dsp:nvSpPr>
        <dsp:cNvPr id="0" name=""/>
        <dsp:cNvSpPr/>
      </dsp:nvSpPr>
      <dsp:spPr>
        <a:xfrm>
          <a:off x="63995" y="1722604"/>
          <a:ext cx="105362" cy="973185"/>
        </a:xfrm>
        <a:custGeom>
          <a:avLst/>
          <a:gdLst/>
          <a:ahLst/>
          <a:cxnLst/>
          <a:rect l="0" t="0" r="0" b="0"/>
          <a:pathLst>
            <a:path>
              <a:moveTo>
                <a:pt x="0" y="0"/>
              </a:moveTo>
              <a:lnTo>
                <a:pt x="0" y="973185"/>
              </a:lnTo>
              <a:lnTo>
                <a:pt x="105362" y="973185"/>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7BD786B8-780D-4619-A5E3-357F0EDAE2E4}">
      <dsp:nvSpPr>
        <dsp:cNvPr id="0" name=""/>
        <dsp:cNvSpPr/>
      </dsp:nvSpPr>
      <dsp:spPr>
        <a:xfrm>
          <a:off x="63995" y="1722604"/>
          <a:ext cx="105362" cy="382619"/>
        </a:xfrm>
        <a:custGeom>
          <a:avLst/>
          <a:gdLst/>
          <a:ahLst/>
          <a:cxnLst/>
          <a:rect l="0" t="0" r="0" b="0"/>
          <a:pathLst>
            <a:path>
              <a:moveTo>
                <a:pt x="0" y="0"/>
              </a:moveTo>
              <a:lnTo>
                <a:pt x="0" y="382619"/>
              </a:lnTo>
              <a:lnTo>
                <a:pt x="105362" y="382619"/>
              </a:lnTo>
            </a:path>
          </a:pathLst>
        </a:custGeom>
        <a:noFill/>
        <a:ln w="6350" cap="flat" cmpd="sng" algn="ctr">
          <a:solidFill>
            <a:schemeClr val="accent1">
              <a:shade val="8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7BA6A4CA-F40E-4826-9E97-95062F5DD647}">
      <dsp:nvSpPr>
        <dsp:cNvPr id="0" name=""/>
        <dsp:cNvSpPr/>
      </dsp:nvSpPr>
      <dsp:spPr>
        <a:xfrm>
          <a:off x="319978" y="571979"/>
          <a:ext cx="6606701" cy="734734"/>
        </a:xfrm>
        <a:custGeom>
          <a:avLst/>
          <a:gdLst/>
          <a:ahLst/>
          <a:cxnLst/>
          <a:rect l="0" t="0" r="0" b="0"/>
          <a:pathLst>
            <a:path>
              <a:moveTo>
                <a:pt x="6606701" y="0"/>
              </a:moveTo>
              <a:lnTo>
                <a:pt x="6606701" y="647397"/>
              </a:lnTo>
              <a:lnTo>
                <a:pt x="0" y="647397"/>
              </a:lnTo>
              <a:lnTo>
                <a:pt x="0" y="734734"/>
              </a:lnTo>
            </a:path>
          </a:pathLst>
        </a:custGeom>
        <a:noFill/>
        <a:ln w="6350" cap="flat" cmpd="sng" algn="ctr">
          <a:solidFill>
            <a:schemeClr val="accent1">
              <a:shade val="60000"/>
              <a:hueOff val="0"/>
              <a:satOff val="0"/>
              <a:lumOff val="0"/>
              <a:alphaOff val="0"/>
            </a:schemeClr>
          </a:solidFill>
          <a:prstDash val="solid"/>
          <a:miter lim="800000"/>
        </a:ln>
        <a:effectLst/>
      </dsp:spPr>
      <dsp:style>
        <a:lnRef idx="1">
          <a:scrgbClr r="0" g="0" b="0"/>
        </a:lnRef>
        <a:fillRef idx="0">
          <a:scrgbClr r="0" g="0" b="0"/>
        </a:fillRef>
        <a:effectRef idx="0">
          <a:scrgbClr r="0" g="0" b="0"/>
        </a:effectRef>
        <a:fontRef idx="minor"/>
      </dsp:style>
    </dsp:sp>
    <dsp:sp modelId="{2D883808-430E-40D8-8B07-302E85302A34}">
      <dsp:nvSpPr>
        <dsp:cNvPr id="0" name=""/>
        <dsp:cNvSpPr/>
      </dsp:nvSpPr>
      <dsp:spPr>
        <a:xfrm>
          <a:off x="6302169" y="36261"/>
          <a:ext cx="1249021" cy="535717"/>
        </a:xfrm>
        <a:prstGeom prst="rect">
          <a:avLst/>
        </a:prstGeom>
        <a:solidFill>
          <a:schemeClr val="tx2"/>
        </a:soli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endParaRPr lang="pt-BR" sz="1050" b="1" kern="1200"/>
        </a:p>
      </dsp:txBody>
      <dsp:txXfrm>
        <a:off x="6302169" y="36261"/>
        <a:ext cx="1249021" cy="535717"/>
      </dsp:txXfrm>
    </dsp:sp>
    <dsp:sp modelId="{4C9AEEA8-806B-4221-A8CF-497F84C39D63}">
      <dsp:nvSpPr>
        <dsp:cNvPr id="0" name=""/>
        <dsp:cNvSpPr/>
      </dsp:nvSpPr>
      <dsp:spPr>
        <a:xfrm>
          <a:off x="0" y="1306713"/>
          <a:ext cx="639956" cy="415891"/>
        </a:xfrm>
        <a:prstGeom prst="rect">
          <a:avLst/>
        </a:prstGeom>
        <a:solidFill>
          <a:schemeClr val="accent6">
            <a:lumMod val="75000"/>
          </a:schemeClr>
        </a:soli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b="1" kern="1200"/>
            <a:t>INÍCIO</a:t>
          </a:r>
        </a:p>
      </dsp:txBody>
      <dsp:txXfrm>
        <a:off x="0" y="1306713"/>
        <a:ext cx="639956" cy="415891"/>
      </dsp:txXfrm>
    </dsp:sp>
    <dsp:sp modelId="{CF1CE0D6-2000-45B7-B412-882350AF6F25}">
      <dsp:nvSpPr>
        <dsp:cNvPr id="0" name=""/>
        <dsp:cNvSpPr/>
      </dsp:nvSpPr>
      <dsp:spPr>
        <a:xfrm>
          <a:off x="169358" y="1897279"/>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Cronograma</a:t>
          </a:r>
        </a:p>
      </dsp:txBody>
      <dsp:txXfrm>
        <a:off x="169358" y="1897279"/>
        <a:ext cx="831782" cy="415891"/>
      </dsp:txXfrm>
    </dsp:sp>
    <dsp:sp modelId="{F81015D0-3251-4752-8F0C-11AF1FC46F7B}">
      <dsp:nvSpPr>
        <dsp:cNvPr id="0" name=""/>
        <dsp:cNvSpPr/>
      </dsp:nvSpPr>
      <dsp:spPr>
        <a:xfrm>
          <a:off x="169358" y="2487844"/>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Identificar as principais funcionalidades e recursos a serem incluídos</a:t>
          </a:r>
        </a:p>
      </dsp:txBody>
      <dsp:txXfrm>
        <a:off x="169358" y="2487844"/>
        <a:ext cx="831782" cy="415891"/>
      </dsp:txXfrm>
    </dsp:sp>
    <dsp:sp modelId="{422A5DCC-F310-4179-AC5C-3A5AA9AB3509}">
      <dsp:nvSpPr>
        <dsp:cNvPr id="0" name=""/>
        <dsp:cNvSpPr/>
      </dsp:nvSpPr>
      <dsp:spPr>
        <a:xfrm>
          <a:off x="169358" y="3078410"/>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Plano de respostas e  Riscos</a:t>
          </a:r>
        </a:p>
      </dsp:txBody>
      <dsp:txXfrm>
        <a:off x="169358" y="3078410"/>
        <a:ext cx="831782" cy="415891"/>
      </dsp:txXfrm>
    </dsp:sp>
    <dsp:sp modelId="{FAAD6170-1F04-4FDD-BBA1-0FC91815D8AB}">
      <dsp:nvSpPr>
        <dsp:cNvPr id="0" name=""/>
        <dsp:cNvSpPr/>
      </dsp:nvSpPr>
      <dsp:spPr>
        <a:xfrm>
          <a:off x="169358" y="3668975"/>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Plano de qualidade</a:t>
          </a:r>
        </a:p>
      </dsp:txBody>
      <dsp:txXfrm>
        <a:off x="169358" y="3668975"/>
        <a:ext cx="831782" cy="415891"/>
      </dsp:txXfrm>
    </dsp:sp>
    <dsp:sp modelId="{A0FFCFD9-314D-4AA7-8A74-9E28F81A2E49}">
      <dsp:nvSpPr>
        <dsp:cNvPr id="0" name=""/>
        <dsp:cNvSpPr/>
      </dsp:nvSpPr>
      <dsp:spPr>
        <a:xfrm>
          <a:off x="169358" y="4259541"/>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Apresentação dos planos</a:t>
          </a:r>
        </a:p>
      </dsp:txBody>
      <dsp:txXfrm>
        <a:off x="169358" y="4259541"/>
        <a:ext cx="831782" cy="415891"/>
      </dsp:txXfrm>
    </dsp:sp>
    <dsp:sp modelId="{D170E32D-A43F-4CAB-A215-C289F970862B}">
      <dsp:nvSpPr>
        <dsp:cNvPr id="0" name=""/>
        <dsp:cNvSpPr/>
      </dsp:nvSpPr>
      <dsp:spPr>
        <a:xfrm>
          <a:off x="1677209" y="1297792"/>
          <a:ext cx="835450" cy="415891"/>
        </a:xfrm>
        <a:prstGeom prst="rect">
          <a:avLst/>
        </a:prstGeom>
        <a:solidFill>
          <a:schemeClr val="accent6">
            <a:lumMod val="75000"/>
          </a:schemeClr>
        </a:soli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b="1" kern="1200"/>
            <a:t>Acordos</a:t>
          </a:r>
        </a:p>
      </dsp:txBody>
      <dsp:txXfrm>
        <a:off x="1677209" y="1297792"/>
        <a:ext cx="835450" cy="415891"/>
      </dsp:txXfrm>
    </dsp:sp>
    <dsp:sp modelId="{8D28DA9C-651E-493C-AEB4-8DE7C4670A76}">
      <dsp:nvSpPr>
        <dsp:cNvPr id="0" name=""/>
        <dsp:cNvSpPr/>
      </dsp:nvSpPr>
      <dsp:spPr>
        <a:xfrm>
          <a:off x="1679043" y="1897279"/>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Permissões e</a:t>
          </a:r>
        </a:p>
        <a:p>
          <a:pPr marL="0" lvl="0" indent="0" algn="ctr" defTabSz="266700">
            <a:lnSpc>
              <a:spcPct val="90000"/>
            </a:lnSpc>
            <a:spcBef>
              <a:spcPct val="0"/>
            </a:spcBef>
            <a:spcAft>
              <a:spcPct val="35000"/>
            </a:spcAft>
            <a:buNone/>
          </a:pPr>
          <a:r>
            <a:rPr lang="pt-BR" sz="600" kern="1200"/>
            <a:t>restrições</a:t>
          </a:r>
        </a:p>
      </dsp:txBody>
      <dsp:txXfrm>
        <a:off x="1679043" y="1897279"/>
        <a:ext cx="831782" cy="415891"/>
      </dsp:txXfrm>
    </dsp:sp>
    <dsp:sp modelId="{72AC346F-2F4E-444E-8C03-BD2A3B5A48DE}">
      <dsp:nvSpPr>
        <dsp:cNvPr id="0" name=""/>
        <dsp:cNvSpPr/>
      </dsp:nvSpPr>
      <dsp:spPr>
        <a:xfrm>
          <a:off x="1255940" y="2487844"/>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Pesquisa de</a:t>
          </a:r>
        </a:p>
        <a:p>
          <a:pPr marL="0" lvl="0" indent="0" algn="ctr" defTabSz="266700">
            <a:lnSpc>
              <a:spcPct val="90000"/>
            </a:lnSpc>
            <a:spcBef>
              <a:spcPct val="0"/>
            </a:spcBef>
            <a:spcAft>
              <a:spcPct val="35000"/>
            </a:spcAft>
            <a:buNone/>
          </a:pPr>
          <a:r>
            <a:rPr lang="pt-BR" sz="600" kern="1200"/>
            <a:t>viabilidade</a:t>
          </a:r>
        </a:p>
      </dsp:txBody>
      <dsp:txXfrm>
        <a:off x="1255940" y="2487844"/>
        <a:ext cx="831782" cy="415891"/>
      </dsp:txXfrm>
    </dsp:sp>
    <dsp:sp modelId="{3C105CD6-BA5F-4296-9ADF-C21FEB294665}">
      <dsp:nvSpPr>
        <dsp:cNvPr id="0" name=""/>
        <dsp:cNvSpPr/>
      </dsp:nvSpPr>
      <dsp:spPr>
        <a:xfrm>
          <a:off x="1383760" y="3078410"/>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Pesquisa</a:t>
          </a:r>
        </a:p>
        <a:p>
          <a:pPr marL="0" lvl="0" indent="0" algn="ctr" defTabSz="266700">
            <a:lnSpc>
              <a:spcPct val="90000"/>
            </a:lnSpc>
            <a:spcBef>
              <a:spcPct val="0"/>
            </a:spcBef>
            <a:spcAft>
              <a:spcPct val="35000"/>
            </a:spcAft>
            <a:buNone/>
          </a:pPr>
          <a:r>
            <a:rPr lang="pt-BR" sz="600" kern="1200"/>
            <a:t>com</a:t>
          </a:r>
        </a:p>
        <a:p>
          <a:pPr marL="0" lvl="0" indent="0" algn="ctr" defTabSz="266700">
            <a:lnSpc>
              <a:spcPct val="90000"/>
            </a:lnSpc>
            <a:spcBef>
              <a:spcPct val="0"/>
            </a:spcBef>
            <a:spcAft>
              <a:spcPct val="35000"/>
            </a:spcAft>
            <a:buNone/>
          </a:pPr>
          <a:r>
            <a:rPr lang="pt-BR" sz="600" kern="1200"/>
            <a:t>consumidores</a:t>
          </a:r>
        </a:p>
      </dsp:txBody>
      <dsp:txXfrm>
        <a:off x="1383760" y="3078410"/>
        <a:ext cx="831782" cy="415891"/>
      </dsp:txXfrm>
    </dsp:sp>
    <dsp:sp modelId="{539C43EC-88FB-4101-BFC8-2FBEBDCB1CFF}">
      <dsp:nvSpPr>
        <dsp:cNvPr id="0" name=""/>
        <dsp:cNvSpPr/>
      </dsp:nvSpPr>
      <dsp:spPr>
        <a:xfrm>
          <a:off x="1383760" y="3668975"/>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b="0" kern="1200"/>
            <a:t>Avaliação de</a:t>
          </a:r>
        </a:p>
        <a:p>
          <a:pPr marL="0" lvl="0" indent="0" algn="ctr" defTabSz="266700">
            <a:lnSpc>
              <a:spcPct val="90000"/>
            </a:lnSpc>
            <a:spcBef>
              <a:spcPct val="0"/>
            </a:spcBef>
            <a:spcAft>
              <a:spcPct val="35000"/>
            </a:spcAft>
            <a:buNone/>
          </a:pPr>
          <a:r>
            <a:rPr lang="pt-BR" sz="600" b="0" kern="1200"/>
            <a:t>custos</a:t>
          </a:r>
        </a:p>
      </dsp:txBody>
      <dsp:txXfrm>
        <a:off x="1383760" y="3668975"/>
        <a:ext cx="831782" cy="415891"/>
      </dsp:txXfrm>
    </dsp:sp>
    <dsp:sp modelId="{042C9D99-30E8-4921-9EB9-EBE3CC59CEFA}">
      <dsp:nvSpPr>
        <dsp:cNvPr id="0" name=""/>
        <dsp:cNvSpPr/>
      </dsp:nvSpPr>
      <dsp:spPr>
        <a:xfrm>
          <a:off x="1383760" y="4259541"/>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Relatorio de</a:t>
          </a:r>
        </a:p>
        <a:p>
          <a:pPr marL="0" lvl="0" indent="0" algn="ctr" defTabSz="266700">
            <a:lnSpc>
              <a:spcPct val="90000"/>
            </a:lnSpc>
            <a:spcBef>
              <a:spcPct val="0"/>
            </a:spcBef>
            <a:spcAft>
              <a:spcPct val="35000"/>
            </a:spcAft>
            <a:buNone/>
          </a:pPr>
          <a:r>
            <a:rPr lang="pt-BR" sz="600" kern="1200"/>
            <a:t>viabilidade</a:t>
          </a:r>
        </a:p>
      </dsp:txBody>
      <dsp:txXfrm>
        <a:off x="1383760" y="4259541"/>
        <a:ext cx="831782" cy="415891"/>
      </dsp:txXfrm>
    </dsp:sp>
    <dsp:sp modelId="{D7E2BE4B-D731-4C2D-BA0A-37C902784000}">
      <dsp:nvSpPr>
        <dsp:cNvPr id="0" name=""/>
        <dsp:cNvSpPr/>
      </dsp:nvSpPr>
      <dsp:spPr>
        <a:xfrm>
          <a:off x="1383760" y="4850106"/>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INTEGRAÇÃO COM SISTEMAS DE MONITORAMENTO </a:t>
          </a:r>
        </a:p>
      </dsp:txBody>
      <dsp:txXfrm>
        <a:off x="1383760" y="4850106"/>
        <a:ext cx="831782" cy="415891"/>
      </dsp:txXfrm>
    </dsp:sp>
    <dsp:sp modelId="{85AD923B-4E2C-411D-9E05-6D278E6E3C31}">
      <dsp:nvSpPr>
        <dsp:cNvPr id="0" name=""/>
        <dsp:cNvSpPr/>
      </dsp:nvSpPr>
      <dsp:spPr>
        <a:xfrm>
          <a:off x="1383760" y="5440672"/>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CRIAÇÃO DE CRONOGRAMAS E METAS</a:t>
          </a:r>
        </a:p>
      </dsp:txBody>
      <dsp:txXfrm>
        <a:off x="1383760" y="5440672"/>
        <a:ext cx="831782" cy="415891"/>
      </dsp:txXfrm>
    </dsp:sp>
    <dsp:sp modelId="{6AF35474-32B5-434B-BA60-39ACB08BD7D8}">
      <dsp:nvSpPr>
        <dsp:cNvPr id="0" name=""/>
        <dsp:cNvSpPr/>
      </dsp:nvSpPr>
      <dsp:spPr>
        <a:xfrm>
          <a:off x="2182271" y="2487844"/>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Revisão do prject charter</a:t>
          </a:r>
        </a:p>
      </dsp:txBody>
      <dsp:txXfrm>
        <a:off x="2182271" y="2487844"/>
        <a:ext cx="831782" cy="415891"/>
      </dsp:txXfrm>
    </dsp:sp>
    <dsp:sp modelId="{5368EF9E-E26F-497A-B704-8C2CE5D835FD}">
      <dsp:nvSpPr>
        <dsp:cNvPr id="0" name=""/>
        <dsp:cNvSpPr/>
      </dsp:nvSpPr>
      <dsp:spPr>
        <a:xfrm>
          <a:off x="3388996" y="1297792"/>
          <a:ext cx="1021811" cy="415891"/>
        </a:xfrm>
        <a:prstGeom prst="rect">
          <a:avLst/>
        </a:prstGeom>
        <a:solidFill>
          <a:schemeClr val="accent6">
            <a:lumMod val="75000"/>
          </a:schemeClr>
        </a:soli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DESIGN</a:t>
          </a:r>
        </a:p>
        <a:p>
          <a:pPr marL="0" lvl="0" indent="0" algn="ctr" defTabSz="355600">
            <a:lnSpc>
              <a:spcPct val="90000"/>
            </a:lnSpc>
            <a:spcBef>
              <a:spcPct val="0"/>
            </a:spcBef>
            <a:spcAft>
              <a:spcPct val="35000"/>
            </a:spcAft>
            <a:buNone/>
          </a:pPr>
          <a:r>
            <a:rPr lang="pt-BR" sz="800" b="1" kern="1200"/>
            <a:t>PROTOTIPAGEM</a:t>
          </a:r>
        </a:p>
      </dsp:txBody>
      <dsp:txXfrm>
        <a:off x="3388996" y="1297792"/>
        <a:ext cx="1021811" cy="415891"/>
      </dsp:txXfrm>
    </dsp:sp>
    <dsp:sp modelId="{3CB81659-FE3C-423B-9CBD-B42FC5FE3EA0}">
      <dsp:nvSpPr>
        <dsp:cNvPr id="0" name=""/>
        <dsp:cNvSpPr/>
      </dsp:nvSpPr>
      <dsp:spPr>
        <a:xfrm>
          <a:off x="2980783" y="1897279"/>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DESIGN UI </a:t>
          </a:r>
        </a:p>
      </dsp:txBody>
      <dsp:txXfrm>
        <a:off x="2980783" y="1897279"/>
        <a:ext cx="831782" cy="415891"/>
      </dsp:txXfrm>
    </dsp:sp>
    <dsp:sp modelId="{07D3882F-C235-4ADF-85FA-E879C777A8BD}">
      <dsp:nvSpPr>
        <dsp:cNvPr id="0" name=""/>
        <dsp:cNvSpPr/>
      </dsp:nvSpPr>
      <dsp:spPr>
        <a:xfrm>
          <a:off x="3188728" y="2487844"/>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NAVEGAÇÃO E FUNCIONALIDADES</a:t>
          </a:r>
        </a:p>
      </dsp:txBody>
      <dsp:txXfrm>
        <a:off x="3188728" y="2487844"/>
        <a:ext cx="831782" cy="415891"/>
      </dsp:txXfrm>
    </dsp:sp>
    <dsp:sp modelId="{D7DDDDF0-F44F-4B11-B08B-89295DEA0D9B}">
      <dsp:nvSpPr>
        <dsp:cNvPr id="0" name=""/>
        <dsp:cNvSpPr/>
      </dsp:nvSpPr>
      <dsp:spPr>
        <a:xfrm>
          <a:off x="3188728" y="3078410"/>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b="1" kern="1200"/>
            <a:t>Protótipo interativo</a:t>
          </a:r>
          <a:endParaRPr lang="pt-BR" sz="600" kern="1200"/>
        </a:p>
      </dsp:txBody>
      <dsp:txXfrm>
        <a:off x="3188728" y="3078410"/>
        <a:ext cx="831782" cy="415891"/>
      </dsp:txXfrm>
    </dsp:sp>
    <dsp:sp modelId="{12FDCBF9-3BED-482D-906E-5A09DB8EAF1F}">
      <dsp:nvSpPr>
        <dsp:cNvPr id="0" name=""/>
        <dsp:cNvSpPr/>
      </dsp:nvSpPr>
      <dsp:spPr>
        <a:xfrm>
          <a:off x="3987239" y="1897279"/>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DESIGN UX</a:t>
          </a:r>
        </a:p>
      </dsp:txBody>
      <dsp:txXfrm>
        <a:off x="3987239" y="1897279"/>
        <a:ext cx="831782" cy="415891"/>
      </dsp:txXfrm>
    </dsp:sp>
    <dsp:sp modelId="{1E535ECD-9FA0-4E48-A66D-29FFB2AB3B70}">
      <dsp:nvSpPr>
        <dsp:cNvPr id="0" name=""/>
        <dsp:cNvSpPr/>
      </dsp:nvSpPr>
      <dsp:spPr>
        <a:xfrm>
          <a:off x="4195185" y="2487844"/>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INTERFACE LIMPA E INTUITIVA</a:t>
          </a:r>
        </a:p>
      </dsp:txBody>
      <dsp:txXfrm>
        <a:off x="4195185" y="2487844"/>
        <a:ext cx="831782" cy="415891"/>
      </dsp:txXfrm>
    </dsp:sp>
    <dsp:sp modelId="{0A7F2A46-750F-45A2-923B-D1292802EFDC}">
      <dsp:nvSpPr>
        <dsp:cNvPr id="0" name=""/>
        <dsp:cNvSpPr/>
      </dsp:nvSpPr>
      <dsp:spPr>
        <a:xfrm>
          <a:off x="4195185" y="3078410"/>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b="1" kern="1200"/>
            <a:t>Teste de UX/UI</a:t>
          </a:r>
          <a:endParaRPr lang="pt-BR" sz="600" kern="1200"/>
        </a:p>
      </dsp:txBody>
      <dsp:txXfrm>
        <a:off x="4195185" y="3078410"/>
        <a:ext cx="831782" cy="415891"/>
      </dsp:txXfrm>
    </dsp:sp>
    <dsp:sp modelId="{34D49AA9-33AD-4664-ADD5-58DB46EB9889}">
      <dsp:nvSpPr>
        <dsp:cNvPr id="0" name=""/>
        <dsp:cNvSpPr/>
      </dsp:nvSpPr>
      <dsp:spPr>
        <a:xfrm>
          <a:off x="5320466" y="1297792"/>
          <a:ext cx="1184699" cy="415891"/>
        </a:xfrm>
        <a:prstGeom prst="rect">
          <a:avLst/>
        </a:prstGeom>
        <a:solidFill>
          <a:schemeClr val="accent6">
            <a:lumMod val="75000"/>
          </a:schemeClr>
        </a:soli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b="1" kern="1200"/>
            <a:t>DESENVOLVIMENTO</a:t>
          </a:r>
        </a:p>
      </dsp:txBody>
      <dsp:txXfrm>
        <a:off x="5320466" y="1297792"/>
        <a:ext cx="1184699" cy="415891"/>
      </dsp:txXfrm>
    </dsp:sp>
    <dsp:sp modelId="{DA2E93DC-BB1D-4564-889B-BA004AC786E0}">
      <dsp:nvSpPr>
        <dsp:cNvPr id="0" name=""/>
        <dsp:cNvSpPr/>
      </dsp:nvSpPr>
      <dsp:spPr>
        <a:xfrm>
          <a:off x="4993696" y="1897279"/>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b="1" kern="1200"/>
            <a:t>arquitetura do app</a:t>
          </a:r>
          <a:endParaRPr lang="pt-BR" sz="600" kern="1200"/>
        </a:p>
      </dsp:txBody>
      <dsp:txXfrm>
        <a:off x="4993696" y="1897279"/>
        <a:ext cx="831782" cy="415891"/>
      </dsp:txXfrm>
    </dsp:sp>
    <dsp:sp modelId="{47D7B08E-C006-4337-AFA5-B2B6AB5330E7}">
      <dsp:nvSpPr>
        <dsp:cNvPr id="0" name=""/>
        <dsp:cNvSpPr/>
      </dsp:nvSpPr>
      <dsp:spPr>
        <a:xfrm>
          <a:off x="5201642" y="2487844"/>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CÓDIGO FRONT-END</a:t>
          </a:r>
        </a:p>
      </dsp:txBody>
      <dsp:txXfrm>
        <a:off x="5201642" y="2487844"/>
        <a:ext cx="831782" cy="415891"/>
      </dsp:txXfrm>
    </dsp:sp>
    <dsp:sp modelId="{43E1BAD0-C612-479E-A76D-9ADDAE663A0D}">
      <dsp:nvSpPr>
        <dsp:cNvPr id="0" name=""/>
        <dsp:cNvSpPr/>
      </dsp:nvSpPr>
      <dsp:spPr>
        <a:xfrm>
          <a:off x="5201642" y="3078410"/>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CÓDIGO BACK-END</a:t>
          </a:r>
        </a:p>
      </dsp:txBody>
      <dsp:txXfrm>
        <a:off x="5201642" y="3078410"/>
        <a:ext cx="831782" cy="415891"/>
      </dsp:txXfrm>
    </dsp:sp>
    <dsp:sp modelId="{2729BD24-0107-4858-9AA3-412C3646129B}">
      <dsp:nvSpPr>
        <dsp:cNvPr id="0" name=""/>
        <dsp:cNvSpPr/>
      </dsp:nvSpPr>
      <dsp:spPr>
        <a:xfrm>
          <a:off x="5201642" y="3668975"/>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 BANCO DE DADOS</a:t>
          </a:r>
        </a:p>
      </dsp:txBody>
      <dsp:txXfrm>
        <a:off x="5201642" y="3668975"/>
        <a:ext cx="831782" cy="415891"/>
      </dsp:txXfrm>
    </dsp:sp>
    <dsp:sp modelId="{4CB3CC10-420D-4678-B4A5-F650FAA65CFC}">
      <dsp:nvSpPr>
        <dsp:cNvPr id="0" name=""/>
        <dsp:cNvSpPr/>
      </dsp:nvSpPr>
      <dsp:spPr>
        <a:xfrm>
          <a:off x="6000153" y="1897279"/>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DESENVOLVER PRINCIPAIS MÓDULOS</a:t>
          </a:r>
        </a:p>
      </dsp:txBody>
      <dsp:txXfrm>
        <a:off x="6000153" y="1897279"/>
        <a:ext cx="831782" cy="415891"/>
      </dsp:txXfrm>
    </dsp:sp>
    <dsp:sp modelId="{4AD3C1C4-D9EA-4B51-B2F8-F5F336E1219A}">
      <dsp:nvSpPr>
        <dsp:cNvPr id="0" name=""/>
        <dsp:cNvSpPr/>
      </dsp:nvSpPr>
      <dsp:spPr>
        <a:xfrm>
          <a:off x="6208098" y="2487844"/>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MÓDULO DE CADASTRO DE CURRÍCULO</a:t>
          </a:r>
        </a:p>
      </dsp:txBody>
      <dsp:txXfrm>
        <a:off x="6208098" y="2487844"/>
        <a:ext cx="831782" cy="415891"/>
      </dsp:txXfrm>
    </dsp:sp>
    <dsp:sp modelId="{8106893D-3A89-48AC-99BF-9C6C7C662C1D}">
      <dsp:nvSpPr>
        <dsp:cNvPr id="0" name=""/>
        <dsp:cNvSpPr/>
      </dsp:nvSpPr>
      <dsp:spPr>
        <a:xfrm>
          <a:off x="6208098" y="3078410"/>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GERADOR DE MATCH</a:t>
          </a:r>
        </a:p>
      </dsp:txBody>
      <dsp:txXfrm>
        <a:off x="6208098" y="3078410"/>
        <a:ext cx="831782" cy="415891"/>
      </dsp:txXfrm>
    </dsp:sp>
    <dsp:sp modelId="{36897410-9752-4558-8045-59EAE8009D91}">
      <dsp:nvSpPr>
        <dsp:cNvPr id="0" name=""/>
        <dsp:cNvSpPr/>
      </dsp:nvSpPr>
      <dsp:spPr>
        <a:xfrm>
          <a:off x="6208098" y="3668975"/>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CADASTRAR VAGAS </a:t>
          </a:r>
        </a:p>
      </dsp:txBody>
      <dsp:txXfrm>
        <a:off x="6208098" y="3668975"/>
        <a:ext cx="831782" cy="415891"/>
      </dsp:txXfrm>
    </dsp:sp>
    <dsp:sp modelId="{A197E7E5-E989-4B2D-830A-0E09071FB3E2}">
      <dsp:nvSpPr>
        <dsp:cNvPr id="0" name=""/>
        <dsp:cNvSpPr/>
      </dsp:nvSpPr>
      <dsp:spPr>
        <a:xfrm>
          <a:off x="6208098" y="4259541"/>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INTEGRAÇÃO DE APIS</a:t>
          </a:r>
        </a:p>
      </dsp:txBody>
      <dsp:txXfrm>
        <a:off x="6208098" y="4259541"/>
        <a:ext cx="831782" cy="415891"/>
      </dsp:txXfrm>
    </dsp:sp>
    <dsp:sp modelId="{0BF99F41-2B36-4860-856E-9B912562371F}">
      <dsp:nvSpPr>
        <dsp:cNvPr id="0" name=""/>
        <dsp:cNvSpPr/>
      </dsp:nvSpPr>
      <dsp:spPr>
        <a:xfrm>
          <a:off x="6982359" y="1297792"/>
          <a:ext cx="928784" cy="415891"/>
        </a:xfrm>
        <a:prstGeom prst="rect">
          <a:avLst/>
        </a:prstGeom>
        <a:solidFill>
          <a:schemeClr val="accent6">
            <a:lumMod val="75000"/>
          </a:schemeClr>
        </a:soli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b="1" kern="1200"/>
            <a:t>INTEGRAÇÃO COM SISTEMAS DE VAGAS DE EMPREGOS</a:t>
          </a:r>
        </a:p>
      </dsp:txBody>
      <dsp:txXfrm>
        <a:off x="6982359" y="1297792"/>
        <a:ext cx="928784" cy="415891"/>
      </dsp:txXfrm>
    </dsp:sp>
    <dsp:sp modelId="{1B7F2636-2E39-4D22-BF8C-4574EEF2DA91}">
      <dsp:nvSpPr>
        <dsp:cNvPr id="0" name=""/>
        <dsp:cNvSpPr/>
      </dsp:nvSpPr>
      <dsp:spPr>
        <a:xfrm>
          <a:off x="7214555" y="1897279"/>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INTEGRAÇÃO COM DIVERSOS SISTEMAS</a:t>
          </a:r>
        </a:p>
      </dsp:txBody>
      <dsp:txXfrm>
        <a:off x="7214555" y="1897279"/>
        <a:ext cx="831782" cy="415891"/>
      </dsp:txXfrm>
    </dsp:sp>
    <dsp:sp modelId="{D2B32FE8-B300-4E27-B7E2-297F3F999D4E}">
      <dsp:nvSpPr>
        <dsp:cNvPr id="0" name=""/>
        <dsp:cNvSpPr/>
      </dsp:nvSpPr>
      <dsp:spPr>
        <a:xfrm>
          <a:off x="7214555" y="2487844"/>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GARANTIR A SEGURANÇA E PRIVACIDADE </a:t>
          </a:r>
        </a:p>
      </dsp:txBody>
      <dsp:txXfrm>
        <a:off x="7214555" y="2487844"/>
        <a:ext cx="831782" cy="415891"/>
      </dsp:txXfrm>
    </dsp:sp>
    <dsp:sp modelId="{0B77889B-AAC5-42E4-AC09-1DCA681BCE85}">
      <dsp:nvSpPr>
        <dsp:cNvPr id="0" name=""/>
        <dsp:cNvSpPr/>
      </dsp:nvSpPr>
      <dsp:spPr>
        <a:xfrm>
          <a:off x="7214555" y="3078410"/>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INTEGRAÇÃO E SINCRONIZAÇÃO DE DADOS</a:t>
          </a:r>
        </a:p>
      </dsp:txBody>
      <dsp:txXfrm>
        <a:off x="7214555" y="3078410"/>
        <a:ext cx="831782" cy="415891"/>
      </dsp:txXfrm>
    </dsp:sp>
    <dsp:sp modelId="{3A2A1C1F-CABC-4C98-B728-F262323AA994}">
      <dsp:nvSpPr>
        <dsp:cNvPr id="0" name=""/>
        <dsp:cNvSpPr/>
      </dsp:nvSpPr>
      <dsp:spPr>
        <a:xfrm>
          <a:off x="8085818" y="1297792"/>
          <a:ext cx="899422" cy="415891"/>
        </a:xfrm>
        <a:prstGeom prst="rect">
          <a:avLst/>
        </a:prstGeom>
        <a:solidFill>
          <a:schemeClr val="accent6">
            <a:lumMod val="75000"/>
          </a:schemeClr>
        </a:soli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b="1" kern="1200"/>
            <a:t>TESTES</a:t>
          </a:r>
        </a:p>
      </dsp:txBody>
      <dsp:txXfrm>
        <a:off x="8085818" y="1297792"/>
        <a:ext cx="899422" cy="415891"/>
      </dsp:txXfrm>
    </dsp:sp>
    <dsp:sp modelId="{6BAFA004-7462-4BB3-8CF7-8F0FAE532698}">
      <dsp:nvSpPr>
        <dsp:cNvPr id="0" name=""/>
        <dsp:cNvSpPr/>
      </dsp:nvSpPr>
      <dsp:spPr>
        <a:xfrm>
          <a:off x="8310674" y="1897279"/>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TESTES DE QUALIDADE E DESEMPENHO</a:t>
          </a:r>
        </a:p>
      </dsp:txBody>
      <dsp:txXfrm>
        <a:off x="8310674" y="1897279"/>
        <a:ext cx="831782" cy="415891"/>
      </dsp:txXfrm>
    </dsp:sp>
    <dsp:sp modelId="{8214640F-5D66-49B2-997F-5F320E255B10}">
      <dsp:nvSpPr>
        <dsp:cNvPr id="0" name=""/>
        <dsp:cNvSpPr/>
      </dsp:nvSpPr>
      <dsp:spPr>
        <a:xfrm>
          <a:off x="8310674" y="2487844"/>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TESTES DE USABILIDADE</a:t>
          </a:r>
        </a:p>
      </dsp:txBody>
      <dsp:txXfrm>
        <a:off x="8310674" y="2487844"/>
        <a:ext cx="831782" cy="415891"/>
      </dsp:txXfrm>
    </dsp:sp>
    <dsp:sp modelId="{0CE7C8B4-F8E6-429D-8C4A-73E9D60DCB81}">
      <dsp:nvSpPr>
        <dsp:cNvPr id="0" name=""/>
        <dsp:cNvSpPr/>
      </dsp:nvSpPr>
      <dsp:spPr>
        <a:xfrm>
          <a:off x="8310674" y="3078410"/>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IDENTIFICAÇÃO E CORREÇÃO DE BUGS</a:t>
          </a:r>
        </a:p>
      </dsp:txBody>
      <dsp:txXfrm>
        <a:off x="8310674" y="3078410"/>
        <a:ext cx="831782" cy="415891"/>
      </dsp:txXfrm>
    </dsp:sp>
    <dsp:sp modelId="{9A681887-5350-4EBE-BD43-C7E4297AB1BB}">
      <dsp:nvSpPr>
        <dsp:cNvPr id="0" name=""/>
        <dsp:cNvSpPr/>
      </dsp:nvSpPr>
      <dsp:spPr>
        <a:xfrm>
          <a:off x="9159915" y="1297792"/>
          <a:ext cx="831782" cy="415891"/>
        </a:xfrm>
        <a:prstGeom prst="rect">
          <a:avLst/>
        </a:prstGeom>
        <a:solidFill>
          <a:schemeClr val="accent6">
            <a:lumMod val="75000"/>
          </a:schemeClr>
        </a:soli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b="1" kern="1200"/>
            <a:t>LANÇAMENTO</a:t>
          </a:r>
        </a:p>
      </dsp:txBody>
      <dsp:txXfrm>
        <a:off x="9159915" y="1297792"/>
        <a:ext cx="831782" cy="415891"/>
      </dsp:txXfrm>
    </dsp:sp>
    <dsp:sp modelId="{A4073290-40FA-4447-A63D-A2A271E69369}">
      <dsp:nvSpPr>
        <dsp:cNvPr id="0" name=""/>
        <dsp:cNvSpPr/>
      </dsp:nvSpPr>
      <dsp:spPr>
        <a:xfrm>
          <a:off x="9367861" y="1897279"/>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CRIAR MATERIAIS DE VENDAS/MARKETING</a:t>
          </a:r>
        </a:p>
      </dsp:txBody>
      <dsp:txXfrm>
        <a:off x="9367861" y="1897279"/>
        <a:ext cx="831782" cy="415891"/>
      </dsp:txXfrm>
    </dsp:sp>
    <dsp:sp modelId="{CC7BE9CC-9E44-4B05-9B0E-850124C3547A}">
      <dsp:nvSpPr>
        <dsp:cNvPr id="0" name=""/>
        <dsp:cNvSpPr/>
      </dsp:nvSpPr>
      <dsp:spPr>
        <a:xfrm>
          <a:off x="9367861" y="2487844"/>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PREPARAR INFRAESTRUTURA NO MARKETPLACE</a:t>
          </a:r>
        </a:p>
      </dsp:txBody>
      <dsp:txXfrm>
        <a:off x="9367861" y="2487844"/>
        <a:ext cx="831782" cy="415891"/>
      </dsp:txXfrm>
    </dsp:sp>
    <dsp:sp modelId="{55EC4157-21BA-4613-8860-42E031585862}">
      <dsp:nvSpPr>
        <dsp:cNvPr id="0" name=""/>
        <dsp:cNvSpPr/>
      </dsp:nvSpPr>
      <dsp:spPr>
        <a:xfrm>
          <a:off x="9367861" y="3078410"/>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AVALIAÇÃO DO APP NAS LOJAS DE APLICATIVOS</a:t>
          </a:r>
        </a:p>
      </dsp:txBody>
      <dsp:txXfrm>
        <a:off x="9367861" y="3078410"/>
        <a:ext cx="831782" cy="415891"/>
      </dsp:txXfrm>
    </dsp:sp>
    <dsp:sp modelId="{36F65EB3-A93B-4BDE-AD59-D991F66D50DB}">
      <dsp:nvSpPr>
        <dsp:cNvPr id="0" name=""/>
        <dsp:cNvSpPr/>
      </dsp:nvSpPr>
      <dsp:spPr>
        <a:xfrm>
          <a:off x="10166372" y="1297792"/>
          <a:ext cx="831782" cy="415891"/>
        </a:xfrm>
        <a:prstGeom prst="rect">
          <a:avLst/>
        </a:prstGeom>
        <a:solidFill>
          <a:schemeClr val="accent6">
            <a:lumMod val="75000"/>
          </a:schemeClr>
        </a:soli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b="1" kern="1200"/>
            <a:t>PÓS-LANÇAMENTO</a:t>
          </a:r>
        </a:p>
      </dsp:txBody>
      <dsp:txXfrm>
        <a:off x="10166372" y="1297792"/>
        <a:ext cx="831782" cy="415891"/>
      </dsp:txXfrm>
    </dsp:sp>
    <dsp:sp modelId="{26279B3F-32AE-429E-8F6A-E74283514EA0}">
      <dsp:nvSpPr>
        <dsp:cNvPr id="0" name=""/>
        <dsp:cNvSpPr/>
      </dsp:nvSpPr>
      <dsp:spPr>
        <a:xfrm>
          <a:off x="10374318" y="1897279"/>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MONITORAÇÃO DE MÉTRICAS E FEEDBACK</a:t>
          </a:r>
        </a:p>
      </dsp:txBody>
      <dsp:txXfrm>
        <a:off x="10374318" y="1897279"/>
        <a:ext cx="831782" cy="415891"/>
      </dsp:txXfrm>
    </dsp:sp>
    <dsp:sp modelId="{463E7EE2-DBFC-4EC0-BC5D-9271F221CF32}">
      <dsp:nvSpPr>
        <dsp:cNvPr id="0" name=""/>
        <dsp:cNvSpPr/>
      </dsp:nvSpPr>
      <dsp:spPr>
        <a:xfrm>
          <a:off x="10374318" y="2487844"/>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REALIZAÇÃO DE ATUALIZAÇÕES E MELHORIAS CONTÍNUAS</a:t>
          </a:r>
        </a:p>
      </dsp:txBody>
      <dsp:txXfrm>
        <a:off x="10374318" y="2487844"/>
        <a:ext cx="831782" cy="415891"/>
      </dsp:txXfrm>
    </dsp:sp>
    <dsp:sp modelId="{133F1FC1-C5F4-4978-BE80-4F349F36D878}">
      <dsp:nvSpPr>
        <dsp:cNvPr id="0" name=""/>
        <dsp:cNvSpPr/>
      </dsp:nvSpPr>
      <dsp:spPr>
        <a:xfrm>
          <a:off x="10374318" y="3078410"/>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SUPORTE E SOLUÇÃO DE DÚVIDAS</a:t>
          </a:r>
        </a:p>
      </dsp:txBody>
      <dsp:txXfrm>
        <a:off x="10374318" y="3078410"/>
        <a:ext cx="831782" cy="415891"/>
      </dsp:txXfrm>
    </dsp:sp>
    <dsp:sp modelId="{66215115-E87F-416B-87DA-9B997A3EC349}">
      <dsp:nvSpPr>
        <dsp:cNvPr id="0" name=""/>
        <dsp:cNvSpPr/>
      </dsp:nvSpPr>
      <dsp:spPr>
        <a:xfrm>
          <a:off x="11149356" y="1297792"/>
          <a:ext cx="831782" cy="415891"/>
        </a:xfrm>
        <a:prstGeom prst="rect">
          <a:avLst/>
        </a:prstGeom>
        <a:solidFill>
          <a:schemeClr val="accent6">
            <a:lumMod val="75000"/>
          </a:schemeClr>
        </a:soli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b="1" kern="1200"/>
            <a:t>MARKETING </a:t>
          </a:r>
        </a:p>
        <a:p>
          <a:pPr marL="0" lvl="0" indent="0" algn="ctr" defTabSz="266700">
            <a:lnSpc>
              <a:spcPct val="90000"/>
            </a:lnSpc>
            <a:spcBef>
              <a:spcPct val="0"/>
            </a:spcBef>
            <a:spcAft>
              <a:spcPct val="35000"/>
            </a:spcAft>
            <a:buNone/>
          </a:pPr>
          <a:r>
            <a:rPr lang="pt-BR" sz="600" b="1" kern="1200"/>
            <a:t>E DIVULGAÇÃO</a:t>
          </a:r>
        </a:p>
      </dsp:txBody>
      <dsp:txXfrm>
        <a:off x="11149356" y="1297792"/>
        <a:ext cx="831782" cy="415891"/>
      </dsp:txXfrm>
    </dsp:sp>
    <dsp:sp modelId="{526919F3-C1E6-4952-AA9E-1BBFD8E73B82}">
      <dsp:nvSpPr>
        <dsp:cNvPr id="0" name=""/>
        <dsp:cNvSpPr/>
      </dsp:nvSpPr>
      <dsp:spPr>
        <a:xfrm>
          <a:off x="11380774" y="1897279"/>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ESTRATÉGIAS DE MARKETING</a:t>
          </a:r>
        </a:p>
      </dsp:txBody>
      <dsp:txXfrm>
        <a:off x="11380774" y="1897279"/>
        <a:ext cx="831782" cy="415891"/>
      </dsp:txXfrm>
    </dsp:sp>
    <dsp:sp modelId="{ECADA643-1779-4DA2-8AA6-C1EAF32B0C15}">
      <dsp:nvSpPr>
        <dsp:cNvPr id="0" name=""/>
        <dsp:cNvSpPr/>
      </dsp:nvSpPr>
      <dsp:spPr>
        <a:xfrm>
          <a:off x="11380774" y="2487844"/>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COLABORAÇÃO COM EMPRESAS </a:t>
          </a:r>
        </a:p>
      </dsp:txBody>
      <dsp:txXfrm>
        <a:off x="11380774" y="2487844"/>
        <a:ext cx="831782" cy="415891"/>
      </dsp:txXfrm>
    </dsp:sp>
    <dsp:sp modelId="{77F7510F-B277-4906-B909-89B1197C6DDE}">
      <dsp:nvSpPr>
        <dsp:cNvPr id="0" name=""/>
        <dsp:cNvSpPr/>
      </dsp:nvSpPr>
      <dsp:spPr>
        <a:xfrm>
          <a:off x="11380774" y="3078410"/>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CAMPANHAS EM MÍDIAS SOCIAIS E ANÚNCIOS ONLINE</a:t>
          </a:r>
        </a:p>
      </dsp:txBody>
      <dsp:txXfrm>
        <a:off x="11380774" y="3078410"/>
        <a:ext cx="831782" cy="415891"/>
      </dsp:txXfrm>
    </dsp:sp>
    <dsp:sp modelId="{9A7C5AEB-3E05-469A-95FE-22BE39540AE1}">
      <dsp:nvSpPr>
        <dsp:cNvPr id="0" name=""/>
        <dsp:cNvSpPr/>
      </dsp:nvSpPr>
      <dsp:spPr>
        <a:xfrm>
          <a:off x="12155813" y="1297792"/>
          <a:ext cx="977552" cy="415891"/>
        </a:xfrm>
        <a:prstGeom prst="rect">
          <a:avLst/>
        </a:prstGeom>
        <a:solidFill>
          <a:schemeClr val="accent6">
            <a:lumMod val="75000"/>
          </a:schemeClr>
        </a:soli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b="1" kern="1200"/>
            <a:t>AVALIAÇÃO</a:t>
          </a:r>
        </a:p>
        <a:p>
          <a:pPr marL="0" lvl="0" indent="0" algn="ctr" defTabSz="266700">
            <a:lnSpc>
              <a:spcPct val="90000"/>
            </a:lnSpc>
            <a:spcBef>
              <a:spcPct val="0"/>
            </a:spcBef>
            <a:spcAft>
              <a:spcPct val="35000"/>
            </a:spcAft>
            <a:buNone/>
          </a:pPr>
          <a:r>
            <a:rPr lang="pt-BR" sz="600" b="1" kern="1200"/>
            <a:t>E APERFEICOAMENTO</a:t>
          </a:r>
        </a:p>
      </dsp:txBody>
      <dsp:txXfrm>
        <a:off x="12155813" y="1297792"/>
        <a:ext cx="977552" cy="415891"/>
      </dsp:txXfrm>
    </dsp:sp>
    <dsp:sp modelId="{250F3822-B3AA-4407-90AE-B2B8D5EF00A9}">
      <dsp:nvSpPr>
        <dsp:cNvPr id="0" name=""/>
        <dsp:cNvSpPr/>
      </dsp:nvSpPr>
      <dsp:spPr>
        <a:xfrm>
          <a:off x="12423674" y="1897279"/>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ANÁLISE DE DESEMPENHO</a:t>
          </a:r>
        </a:p>
      </dsp:txBody>
      <dsp:txXfrm>
        <a:off x="12423674" y="1897279"/>
        <a:ext cx="831782" cy="415891"/>
      </dsp:txXfrm>
    </dsp:sp>
    <dsp:sp modelId="{9BEC86F9-D6A7-4983-86A8-08577B7FE900}">
      <dsp:nvSpPr>
        <dsp:cNvPr id="0" name=""/>
        <dsp:cNvSpPr/>
      </dsp:nvSpPr>
      <dsp:spPr>
        <a:xfrm>
          <a:off x="12423674" y="2487844"/>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COLETAR FEEDBACK E IMPLEMENTAÇÃO DE MELHORIAS</a:t>
          </a:r>
        </a:p>
      </dsp:txBody>
      <dsp:txXfrm>
        <a:off x="12423674" y="2487844"/>
        <a:ext cx="831782" cy="415891"/>
      </dsp:txXfrm>
    </dsp:sp>
    <dsp:sp modelId="{68D73AD6-74BD-4C2E-A75E-08E466B13B32}">
      <dsp:nvSpPr>
        <dsp:cNvPr id="0" name=""/>
        <dsp:cNvSpPr/>
      </dsp:nvSpPr>
      <dsp:spPr>
        <a:xfrm>
          <a:off x="12423674" y="3078410"/>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ADAPTAÇÃO  AO MERCADO</a:t>
          </a:r>
        </a:p>
      </dsp:txBody>
      <dsp:txXfrm>
        <a:off x="12423674" y="3078410"/>
        <a:ext cx="831782" cy="415891"/>
      </dsp:txXfrm>
    </dsp:sp>
    <dsp:sp modelId="{F5C5F184-CBCA-49BB-BB7E-3A0146C211EB}">
      <dsp:nvSpPr>
        <dsp:cNvPr id="0" name=""/>
        <dsp:cNvSpPr/>
      </dsp:nvSpPr>
      <dsp:spPr>
        <a:xfrm>
          <a:off x="13308039" y="1306713"/>
          <a:ext cx="614670" cy="415891"/>
        </a:xfrm>
        <a:prstGeom prst="rect">
          <a:avLst/>
        </a:prstGeom>
        <a:solidFill>
          <a:schemeClr val="accent6">
            <a:lumMod val="75000"/>
          </a:schemeClr>
        </a:soli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b="1" kern="1200"/>
            <a:t>EXPANSÃO</a:t>
          </a:r>
        </a:p>
      </dsp:txBody>
      <dsp:txXfrm>
        <a:off x="13308039" y="1306713"/>
        <a:ext cx="614670" cy="415891"/>
      </dsp:txXfrm>
    </dsp:sp>
    <dsp:sp modelId="{3E37B074-43F2-410D-A821-9E917734EEF5}">
      <dsp:nvSpPr>
        <dsp:cNvPr id="0" name=""/>
        <dsp:cNvSpPr/>
      </dsp:nvSpPr>
      <dsp:spPr>
        <a:xfrm>
          <a:off x="13485180" y="1897279"/>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ANÁLISE DE EXPANSÃO DE MERCADO</a:t>
          </a:r>
        </a:p>
      </dsp:txBody>
      <dsp:txXfrm>
        <a:off x="13485180" y="1897279"/>
        <a:ext cx="831782" cy="415891"/>
      </dsp:txXfrm>
    </dsp:sp>
    <dsp:sp modelId="{E1649481-31C2-4E1C-A6F3-BCDF01D59BD2}">
      <dsp:nvSpPr>
        <dsp:cNvPr id="0" name=""/>
        <dsp:cNvSpPr/>
      </dsp:nvSpPr>
      <dsp:spPr>
        <a:xfrm>
          <a:off x="13485180" y="2487844"/>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DESENVOLVER PARCERIAS</a:t>
          </a:r>
        </a:p>
      </dsp:txBody>
      <dsp:txXfrm>
        <a:off x="13485180" y="2487844"/>
        <a:ext cx="831782" cy="415891"/>
      </dsp:txXfrm>
    </dsp:sp>
    <dsp:sp modelId="{5D899EB1-B601-4B33-9059-E0DEFEEE5318}">
      <dsp:nvSpPr>
        <dsp:cNvPr id="0" name=""/>
        <dsp:cNvSpPr/>
      </dsp:nvSpPr>
      <dsp:spPr>
        <a:xfrm>
          <a:off x="13485180" y="3078410"/>
          <a:ext cx="831782" cy="415891"/>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DESENVOLVER VERSÕES DE ASSINATURA</a:t>
          </a:r>
        </a:p>
      </dsp:txBody>
      <dsp:txXfrm>
        <a:off x="13485180" y="3078410"/>
        <a:ext cx="831782" cy="415891"/>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4">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25</xdr:col>
      <xdr:colOff>200024</xdr:colOff>
      <xdr:row>38</xdr:row>
      <xdr:rowOff>137077</xdr:rowOff>
    </xdr:to>
    <xdr:graphicFrame macro="">
      <xdr:nvGraphicFramePr>
        <xdr:cNvPr id="2" name="Diagrama 1">
          <a:extLst>
            <a:ext uri="{FF2B5EF4-FFF2-40B4-BE49-F238E27FC236}">
              <a16:creationId xmlns:a16="http://schemas.microsoft.com/office/drawing/2014/main" id="{CCEB9045-0D29-4C5E-AAE6-ADA8CC2620A9}"/>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26</xdr:col>
      <xdr:colOff>9525</xdr:colOff>
      <xdr:row>9</xdr:row>
      <xdr:rowOff>0</xdr:rowOff>
    </xdr:from>
    <xdr:ext cx="1114425" cy="542925"/>
    <xdr:grpSp>
      <xdr:nvGrpSpPr>
        <xdr:cNvPr id="2" name="Shape 2">
          <a:extLst>
            <a:ext uri="{FF2B5EF4-FFF2-40B4-BE49-F238E27FC236}">
              <a16:creationId xmlns:a16="http://schemas.microsoft.com/office/drawing/2014/main" id="{00000000-0008-0000-0500-000002000000}"/>
            </a:ext>
          </a:extLst>
        </xdr:cNvPr>
        <xdr:cNvGrpSpPr/>
      </xdr:nvGrpSpPr>
      <xdr:grpSpPr>
        <a:xfrm>
          <a:off x="18678525" y="1485900"/>
          <a:ext cx="1114425" cy="542925"/>
          <a:chOff x="4788788" y="3508538"/>
          <a:chExt cx="1114425" cy="542925"/>
        </a:xfrm>
      </xdr:grpSpPr>
      <xdr:grpSp>
        <xdr:nvGrpSpPr>
          <xdr:cNvPr id="3" name="Shape 3">
            <a:extLst>
              <a:ext uri="{FF2B5EF4-FFF2-40B4-BE49-F238E27FC236}">
                <a16:creationId xmlns:a16="http://schemas.microsoft.com/office/drawing/2014/main" id="{00000000-0008-0000-0500-000003000000}"/>
              </a:ext>
            </a:extLst>
          </xdr:cNvPr>
          <xdr:cNvGrpSpPr/>
        </xdr:nvGrpSpPr>
        <xdr:grpSpPr>
          <a:xfrm>
            <a:off x="4788788" y="3508538"/>
            <a:ext cx="1114425" cy="542925"/>
            <a:chOff x="4798313" y="3513300"/>
            <a:chExt cx="1095375" cy="5334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4798313" y="3513300"/>
              <a:ext cx="1095375" cy="533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 name="Shape 5">
              <a:extLst>
                <a:ext uri="{FF2B5EF4-FFF2-40B4-BE49-F238E27FC236}">
                  <a16:creationId xmlns:a16="http://schemas.microsoft.com/office/drawing/2014/main" id="{00000000-0008-0000-0500-000005000000}"/>
                </a:ext>
              </a:extLst>
            </xdr:cNvPr>
            <xdr:cNvCxnSpPr/>
          </xdr:nvCxnSpPr>
          <xdr:spPr>
            <a:xfrm rot="10800000" flipH="1">
              <a:off x="4798313" y="3513300"/>
              <a:ext cx="1095375" cy="533400"/>
            </a:xfrm>
            <a:prstGeom prst="straightConnector1">
              <a:avLst/>
            </a:prstGeom>
            <a:noFill/>
            <a:ln w="12700" cap="flat" cmpd="sng">
              <a:solidFill>
                <a:schemeClr val="accent1"/>
              </a:solidFill>
              <a:prstDash val="solid"/>
              <a:round/>
              <a:headEnd type="none" w="sm" len="sm"/>
              <a:tailEnd type="triangle" w="med" len="med"/>
            </a:ln>
          </xdr:spPr>
        </xdr:cxnSp>
      </xdr:grpSp>
    </xdr:grpSp>
    <xdr:clientData fLocksWithSheet="0"/>
  </xdr:oneCellAnchor>
  <xdr:oneCellAnchor>
    <xdr:from>
      <xdr:col>25</xdr:col>
      <xdr:colOff>314325</xdr:colOff>
      <xdr:row>11</xdr:row>
      <xdr:rowOff>142875</xdr:rowOff>
    </xdr:from>
    <xdr:ext cx="1600200" cy="28575"/>
    <xdr:grpSp>
      <xdr:nvGrpSpPr>
        <xdr:cNvPr id="6" name="Shape 2">
          <a:extLst>
            <a:ext uri="{FF2B5EF4-FFF2-40B4-BE49-F238E27FC236}">
              <a16:creationId xmlns:a16="http://schemas.microsoft.com/office/drawing/2014/main" id="{00000000-0008-0000-0500-000006000000}"/>
            </a:ext>
          </a:extLst>
        </xdr:cNvPr>
        <xdr:cNvGrpSpPr/>
      </xdr:nvGrpSpPr>
      <xdr:grpSpPr>
        <a:xfrm>
          <a:off x="18659475" y="2009775"/>
          <a:ext cx="1600200" cy="28575"/>
          <a:chOff x="4545900" y="3765713"/>
          <a:chExt cx="1600200" cy="28575"/>
        </a:xfrm>
      </xdr:grpSpPr>
      <xdr:grpSp>
        <xdr:nvGrpSpPr>
          <xdr:cNvPr id="7" name="Shape 6">
            <a:extLst>
              <a:ext uri="{FF2B5EF4-FFF2-40B4-BE49-F238E27FC236}">
                <a16:creationId xmlns:a16="http://schemas.microsoft.com/office/drawing/2014/main" id="{00000000-0008-0000-0500-000007000000}"/>
              </a:ext>
            </a:extLst>
          </xdr:cNvPr>
          <xdr:cNvGrpSpPr/>
        </xdr:nvGrpSpPr>
        <xdr:grpSpPr>
          <a:xfrm>
            <a:off x="4545900" y="3765713"/>
            <a:ext cx="1600200" cy="28575"/>
            <a:chOff x="4545900" y="3775238"/>
            <a:chExt cx="1600200" cy="9525"/>
          </a:xfrm>
        </xdr:grpSpPr>
        <xdr:sp macro="" textlink="">
          <xdr:nvSpPr>
            <xdr:cNvPr id="8" name="Shape 4">
              <a:extLst>
                <a:ext uri="{FF2B5EF4-FFF2-40B4-BE49-F238E27FC236}">
                  <a16:creationId xmlns:a16="http://schemas.microsoft.com/office/drawing/2014/main" id="{00000000-0008-0000-0500-000008000000}"/>
                </a:ext>
              </a:extLst>
            </xdr:cNvPr>
            <xdr:cNvSpPr/>
          </xdr:nvSpPr>
          <xdr:spPr>
            <a:xfrm>
              <a:off x="4545900" y="3775238"/>
              <a:ext cx="1600200" cy="9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 name="Shape 7">
              <a:extLst>
                <a:ext uri="{FF2B5EF4-FFF2-40B4-BE49-F238E27FC236}">
                  <a16:creationId xmlns:a16="http://schemas.microsoft.com/office/drawing/2014/main" id="{00000000-0008-0000-0500-000009000000}"/>
                </a:ext>
              </a:extLst>
            </xdr:cNvPr>
            <xdr:cNvCxnSpPr/>
          </xdr:nvCxnSpPr>
          <xdr:spPr>
            <a:xfrm rot="10800000" flipH="1">
              <a:off x="4545900" y="3775238"/>
              <a:ext cx="1600200" cy="9525"/>
            </a:xfrm>
            <a:prstGeom prst="straightConnector1">
              <a:avLst/>
            </a:prstGeom>
            <a:noFill/>
            <a:ln w="12700" cap="flat" cmpd="sng">
              <a:solidFill>
                <a:schemeClr val="accent1"/>
              </a:solidFill>
              <a:prstDash val="solid"/>
              <a:round/>
              <a:headEnd type="none" w="sm" len="sm"/>
              <a:tailEnd type="triangle" w="med" len="med"/>
            </a:ln>
          </xdr:spPr>
        </xdr:cxnSp>
      </xdr:grpSp>
    </xdr:grpSp>
    <xdr:clientData fLocksWithSheet="0"/>
  </xdr:oneCellAnchor>
  <xdr:oneCellAnchor>
    <xdr:from>
      <xdr:col>26</xdr:col>
      <xdr:colOff>28575</xdr:colOff>
      <xdr:row>11</xdr:row>
      <xdr:rowOff>200025</xdr:rowOff>
    </xdr:from>
    <xdr:ext cx="2495550" cy="676275"/>
    <xdr:grpSp>
      <xdr:nvGrpSpPr>
        <xdr:cNvPr id="10" name="Shape 2">
          <a:extLst>
            <a:ext uri="{FF2B5EF4-FFF2-40B4-BE49-F238E27FC236}">
              <a16:creationId xmlns:a16="http://schemas.microsoft.com/office/drawing/2014/main" id="{00000000-0008-0000-0500-00000A000000}"/>
            </a:ext>
          </a:extLst>
        </xdr:cNvPr>
        <xdr:cNvGrpSpPr/>
      </xdr:nvGrpSpPr>
      <xdr:grpSpPr>
        <a:xfrm>
          <a:off x="18697575" y="2057400"/>
          <a:ext cx="2495550" cy="676275"/>
          <a:chOff x="4098225" y="3441863"/>
          <a:chExt cx="2495550" cy="676275"/>
        </a:xfrm>
      </xdr:grpSpPr>
      <xdr:grpSp>
        <xdr:nvGrpSpPr>
          <xdr:cNvPr id="11" name="Shape 8">
            <a:extLst>
              <a:ext uri="{FF2B5EF4-FFF2-40B4-BE49-F238E27FC236}">
                <a16:creationId xmlns:a16="http://schemas.microsoft.com/office/drawing/2014/main" id="{00000000-0008-0000-0500-00000B000000}"/>
              </a:ext>
            </a:extLst>
          </xdr:cNvPr>
          <xdr:cNvGrpSpPr/>
        </xdr:nvGrpSpPr>
        <xdr:grpSpPr>
          <a:xfrm>
            <a:off x="4098225" y="3441863"/>
            <a:ext cx="2495550" cy="676275"/>
            <a:chOff x="4102988" y="3446625"/>
            <a:chExt cx="2486025" cy="666750"/>
          </a:xfrm>
        </xdr:grpSpPr>
        <xdr:sp macro="" textlink="">
          <xdr:nvSpPr>
            <xdr:cNvPr id="12" name="Shape 4">
              <a:extLst>
                <a:ext uri="{FF2B5EF4-FFF2-40B4-BE49-F238E27FC236}">
                  <a16:creationId xmlns:a16="http://schemas.microsoft.com/office/drawing/2014/main" id="{00000000-0008-0000-0500-00000C000000}"/>
                </a:ext>
              </a:extLst>
            </xdr:cNvPr>
            <xdr:cNvSpPr/>
          </xdr:nvSpPr>
          <xdr:spPr>
            <a:xfrm>
              <a:off x="4102988" y="3446625"/>
              <a:ext cx="2486025" cy="666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 name="Shape 9">
              <a:extLst>
                <a:ext uri="{FF2B5EF4-FFF2-40B4-BE49-F238E27FC236}">
                  <a16:creationId xmlns:a16="http://schemas.microsoft.com/office/drawing/2014/main" id="{00000000-0008-0000-0500-00000D000000}"/>
                </a:ext>
              </a:extLst>
            </xdr:cNvPr>
            <xdr:cNvCxnSpPr/>
          </xdr:nvCxnSpPr>
          <xdr:spPr>
            <a:xfrm>
              <a:off x="4102988" y="3446625"/>
              <a:ext cx="2486025" cy="666750"/>
            </a:xfrm>
            <a:prstGeom prst="straightConnector1">
              <a:avLst/>
            </a:prstGeom>
            <a:noFill/>
            <a:ln w="12700" cap="flat" cmpd="sng">
              <a:solidFill>
                <a:schemeClr val="accent1"/>
              </a:solidFill>
              <a:prstDash val="solid"/>
              <a:round/>
              <a:headEnd type="none" w="sm" len="sm"/>
              <a:tailEnd type="triangle" w="med" len="med"/>
            </a:ln>
          </xdr:spPr>
        </xdr:cxnSp>
      </xdr:grpSp>
    </xdr:grpSp>
    <xdr:clientData fLocksWithSheet="0"/>
  </xdr:oneCellAnchor>
  <xdr:oneCellAnchor>
    <xdr:from>
      <xdr:col>30</xdr:col>
      <xdr:colOff>0</xdr:colOff>
      <xdr:row>8</xdr:row>
      <xdr:rowOff>228600</xdr:rowOff>
    </xdr:from>
    <xdr:ext cx="2143125" cy="38100"/>
    <xdr:grpSp>
      <xdr:nvGrpSpPr>
        <xdr:cNvPr id="14" name="Shape 2">
          <a:extLst>
            <a:ext uri="{FF2B5EF4-FFF2-40B4-BE49-F238E27FC236}">
              <a16:creationId xmlns:a16="http://schemas.microsoft.com/office/drawing/2014/main" id="{00000000-0008-0000-0500-00000E000000}"/>
            </a:ext>
          </a:extLst>
        </xdr:cNvPr>
        <xdr:cNvGrpSpPr/>
      </xdr:nvGrpSpPr>
      <xdr:grpSpPr>
        <a:xfrm>
          <a:off x="19964400" y="1485900"/>
          <a:ext cx="2143125" cy="38100"/>
          <a:chOff x="4274438" y="3760950"/>
          <a:chExt cx="2143125" cy="38100"/>
        </a:xfrm>
      </xdr:grpSpPr>
      <xdr:grpSp>
        <xdr:nvGrpSpPr>
          <xdr:cNvPr id="15" name="Shape 10">
            <a:extLst>
              <a:ext uri="{FF2B5EF4-FFF2-40B4-BE49-F238E27FC236}">
                <a16:creationId xmlns:a16="http://schemas.microsoft.com/office/drawing/2014/main" id="{00000000-0008-0000-0500-00000F000000}"/>
              </a:ext>
            </a:extLst>
          </xdr:cNvPr>
          <xdr:cNvGrpSpPr/>
        </xdr:nvGrpSpPr>
        <xdr:grpSpPr>
          <a:xfrm>
            <a:off x="4274438" y="3760950"/>
            <a:ext cx="2143125" cy="38100"/>
            <a:chOff x="4274438" y="3727612"/>
            <a:chExt cx="2143125" cy="104775"/>
          </a:xfrm>
        </xdr:grpSpPr>
        <xdr:sp macro="" textlink="">
          <xdr:nvSpPr>
            <xdr:cNvPr id="16" name="Shape 4">
              <a:extLst>
                <a:ext uri="{FF2B5EF4-FFF2-40B4-BE49-F238E27FC236}">
                  <a16:creationId xmlns:a16="http://schemas.microsoft.com/office/drawing/2014/main" id="{00000000-0008-0000-0500-000010000000}"/>
                </a:ext>
              </a:extLst>
            </xdr:cNvPr>
            <xdr:cNvSpPr/>
          </xdr:nvSpPr>
          <xdr:spPr>
            <a:xfrm>
              <a:off x="4274438" y="3727612"/>
              <a:ext cx="214312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 name="Shape 11">
              <a:extLst>
                <a:ext uri="{FF2B5EF4-FFF2-40B4-BE49-F238E27FC236}">
                  <a16:creationId xmlns:a16="http://schemas.microsoft.com/office/drawing/2014/main" id="{00000000-0008-0000-0500-000011000000}"/>
                </a:ext>
              </a:extLst>
            </xdr:cNvPr>
            <xdr:cNvCxnSpPr/>
          </xdr:nvCxnSpPr>
          <xdr:spPr>
            <a:xfrm>
              <a:off x="4274438" y="3727612"/>
              <a:ext cx="2143125" cy="104775"/>
            </a:xfrm>
            <a:prstGeom prst="straightConnector1">
              <a:avLst/>
            </a:prstGeom>
            <a:noFill/>
            <a:ln w="12700" cap="flat" cmpd="sng">
              <a:solidFill>
                <a:schemeClr val="accent1"/>
              </a:solidFill>
              <a:prstDash val="solid"/>
              <a:round/>
              <a:headEnd type="none" w="sm" len="sm"/>
              <a:tailEnd type="triangle" w="med" len="med"/>
            </a:ln>
          </xdr:spPr>
        </xdr:cxnSp>
      </xdr:grpSp>
    </xdr:grpSp>
    <xdr:clientData fLocksWithSheet="0"/>
  </xdr:oneCellAnchor>
  <xdr:oneCellAnchor>
    <xdr:from>
      <xdr:col>29</xdr:col>
      <xdr:colOff>247650</xdr:colOff>
      <xdr:row>9</xdr:row>
      <xdr:rowOff>0</xdr:rowOff>
    </xdr:from>
    <xdr:ext cx="180975" cy="466725"/>
    <xdr:sp macro="" textlink="">
      <xdr:nvSpPr>
        <xdr:cNvPr id="18" name="Shape 12">
          <a:extLst>
            <a:ext uri="{FF2B5EF4-FFF2-40B4-BE49-F238E27FC236}">
              <a16:creationId xmlns:a16="http://schemas.microsoft.com/office/drawing/2014/main" id="{00000000-0008-0000-0500-000012000000}"/>
            </a:ext>
          </a:extLst>
        </xdr:cNvPr>
        <xdr:cNvSpPr/>
      </xdr:nvSpPr>
      <xdr:spPr>
        <a:xfrm>
          <a:off x="5265038" y="3556163"/>
          <a:ext cx="161925" cy="447675"/>
        </a:xfrm>
        <a:prstGeom prst="upArrow">
          <a:avLst>
            <a:gd name="adj1" fmla="val 50000"/>
            <a:gd name="adj2" fmla="val 50000"/>
          </a:avLst>
        </a:prstGeom>
        <a:solidFill>
          <a:schemeClr val="lt1"/>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29</xdr:col>
      <xdr:colOff>0</xdr:colOff>
      <xdr:row>8</xdr:row>
      <xdr:rowOff>171450</xdr:rowOff>
    </xdr:from>
    <xdr:ext cx="304800" cy="57150"/>
    <xdr:sp macro="" textlink="">
      <xdr:nvSpPr>
        <xdr:cNvPr id="19" name="Shape 13">
          <a:extLst>
            <a:ext uri="{FF2B5EF4-FFF2-40B4-BE49-F238E27FC236}">
              <a16:creationId xmlns:a16="http://schemas.microsoft.com/office/drawing/2014/main" id="{00000000-0008-0000-0500-000013000000}"/>
            </a:ext>
          </a:extLst>
        </xdr:cNvPr>
        <xdr:cNvSpPr/>
      </xdr:nvSpPr>
      <xdr:spPr>
        <a:xfrm>
          <a:off x="5203125" y="3760950"/>
          <a:ext cx="285750" cy="38100"/>
        </a:xfrm>
        <a:prstGeom prst="upArrow">
          <a:avLst>
            <a:gd name="adj1" fmla="val 50000"/>
            <a:gd name="adj2" fmla="val 50000"/>
          </a:avLst>
        </a:prstGeom>
        <a:solidFill>
          <a:srgbClr val="FFFFFF"/>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29</xdr:col>
      <xdr:colOff>238125</xdr:colOff>
      <xdr:row>9</xdr:row>
      <xdr:rowOff>-323850</xdr:rowOff>
    </xdr:from>
    <xdr:ext cx="1323975" cy="1276350"/>
    <xdr:sp macro="" textlink="">
      <xdr:nvSpPr>
        <xdr:cNvPr id="20" name="Shape 14">
          <a:extLst>
            <a:ext uri="{FF2B5EF4-FFF2-40B4-BE49-F238E27FC236}">
              <a16:creationId xmlns:a16="http://schemas.microsoft.com/office/drawing/2014/main" id="{00000000-0008-0000-0500-000014000000}"/>
            </a:ext>
          </a:extLst>
        </xdr:cNvPr>
        <xdr:cNvSpPr/>
      </xdr:nvSpPr>
      <xdr:spPr>
        <a:xfrm rot="7622551" flipH="1">
          <a:off x="4950713" y="3260888"/>
          <a:ext cx="790575" cy="1038225"/>
        </a:xfrm>
        <a:prstGeom prst="upArrow">
          <a:avLst>
            <a:gd name="adj1" fmla="val 50000"/>
            <a:gd name="adj2" fmla="val 50000"/>
          </a:avLst>
        </a:prstGeom>
        <a:solidFill>
          <a:schemeClr val="lt1"/>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32</xdr:col>
      <xdr:colOff>219075</xdr:colOff>
      <xdr:row>11</xdr:row>
      <xdr:rowOff>123825</xdr:rowOff>
    </xdr:from>
    <xdr:ext cx="238125" cy="647700"/>
    <xdr:sp macro="" textlink="">
      <xdr:nvSpPr>
        <xdr:cNvPr id="21" name="Shape 15">
          <a:extLst>
            <a:ext uri="{FF2B5EF4-FFF2-40B4-BE49-F238E27FC236}">
              <a16:creationId xmlns:a16="http://schemas.microsoft.com/office/drawing/2014/main" id="{00000000-0008-0000-0500-000015000000}"/>
            </a:ext>
          </a:extLst>
        </xdr:cNvPr>
        <xdr:cNvSpPr/>
      </xdr:nvSpPr>
      <xdr:spPr>
        <a:xfrm>
          <a:off x="5236463" y="3465675"/>
          <a:ext cx="219075" cy="628650"/>
        </a:xfrm>
        <a:prstGeom prst="upArrow">
          <a:avLst>
            <a:gd name="adj1" fmla="val 50000"/>
            <a:gd name="adj2" fmla="val 50000"/>
          </a:avLst>
        </a:prstGeom>
        <a:solidFill>
          <a:schemeClr val="lt1"/>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33</xdr:col>
      <xdr:colOff>38100</xdr:colOff>
      <xdr:row>11</xdr:row>
      <xdr:rowOff>104775</xdr:rowOff>
    </xdr:from>
    <xdr:ext cx="1724025" cy="666750"/>
    <xdr:grpSp>
      <xdr:nvGrpSpPr>
        <xdr:cNvPr id="22" name="Shape 2">
          <a:extLst>
            <a:ext uri="{FF2B5EF4-FFF2-40B4-BE49-F238E27FC236}">
              <a16:creationId xmlns:a16="http://schemas.microsoft.com/office/drawing/2014/main" id="{00000000-0008-0000-0500-000016000000}"/>
            </a:ext>
          </a:extLst>
        </xdr:cNvPr>
        <xdr:cNvGrpSpPr/>
      </xdr:nvGrpSpPr>
      <xdr:grpSpPr>
        <a:xfrm>
          <a:off x="20974050" y="1971675"/>
          <a:ext cx="1724025" cy="666750"/>
          <a:chOff x="4483988" y="3446625"/>
          <a:chExt cx="1724025" cy="666750"/>
        </a:xfrm>
      </xdr:grpSpPr>
      <xdr:grpSp>
        <xdr:nvGrpSpPr>
          <xdr:cNvPr id="23" name="Shape 16">
            <a:extLst>
              <a:ext uri="{FF2B5EF4-FFF2-40B4-BE49-F238E27FC236}">
                <a16:creationId xmlns:a16="http://schemas.microsoft.com/office/drawing/2014/main" id="{00000000-0008-0000-0500-000017000000}"/>
              </a:ext>
            </a:extLst>
          </xdr:cNvPr>
          <xdr:cNvGrpSpPr/>
        </xdr:nvGrpSpPr>
        <xdr:grpSpPr>
          <a:xfrm>
            <a:off x="4483988" y="3446625"/>
            <a:ext cx="1724025" cy="666750"/>
            <a:chOff x="4488750" y="3456150"/>
            <a:chExt cx="1714500" cy="647700"/>
          </a:xfrm>
        </xdr:grpSpPr>
        <xdr:sp macro="" textlink="">
          <xdr:nvSpPr>
            <xdr:cNvPr id="24" name="Shape 4">
              <a:extLst>
                <a:ext uri="{FF2B5EF4-FFF2-40B4-BE49-F238E27FC236}">
                  <a16:creationId xmlns:a16="http://schemas.microsoft.com/office/drawing/2014/main" id="{00000000-0008-0000-0500-000018000000}"/>
                </a:ext>
              </a:extLst>
            </xdr:cNvPr>
            <xdr:cNvSpPr/>
          </xdr:nvSpPr>
          <xdr:spPr>
            <a:xfrm>
              <a:off x="4488750" y="3456150"/>
              <a:ext cx="1714500" cy="6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 name="Shape 17">
              <a:extLst>
                <a:ext uri="{FF2B5EF4-FFF2-40B4-BE49-F238E27FC236}">
                  <a16:creationId xmlns:a16="http://schemas.microsoft.com/office/drawing/2014/main" id="{00000000-0008-0000-0500-000019000000}"/>
                </a:ext>
              </a:extLst>
            </xdr:cNvPr>
            <xdr:cNvCxnSpPr/>
          </xdr:nvCxnSpPr>
          <xdr:spPr>
            <a:xfrm rot="10800000" flipH="1">
              <a:off x="4488750" y="3456150"/>
              <a:ext cx="1714500" cy="647700"/>
            </a:xfrm>
            <a:prstGeom prst="straightConnector1">
              <a:avLst/>
            </a:prstGeom>
            <a:noFill/>
            <a:ln w="12700" cap="flat" cmpd="sng">
              <a:solidFill>
                <a:schemeClr val="accent1"/>
              </a:solidFill>
              <a:prstDash val="solid"/>
              <a:round/>
              <a:headEnd type="none" w="sm" len="sm"/>
              <a:tailEnd type="triangle" w="med" len="med"/>
            </a:ln>
          </xdr:spPr>
        </xdr:cxnSp>
      </xdr:grpSp>
    </xdr:grpSp>
    <xdr:clientData fLocksWithSheet="0"/>
  </xdr:oneCellAnchor>
  <xdr:oneCellAnchor>
    <xdr:from>
      <xdr:col>31</xdr:col>
      <xdr:colOff>-352425</xdr:colOff>
      <xdr:row>11</xdr:row>
      <xdr:rowOff>-28575</xdr:rowOff>
    </xdr:from>
    <xdr:ext cx="914400" cy="914400"/>
    <xdr:sp macro="" textlink="">
      <xdr:nvSpPr>
        <xdr:cNvPr id="26" name="Shape 18">
          <a:extLst>
            <a:ext uri="{FF2B5EF4-FFF2-40B4-BE49-F238E27FC236}">
              <a16:creationId xmlns:a16="http://schemas.microsoft.com/office/drawing/2014/main" id="{00000000-0008-0000-0500-00001A000000}"/>
            </a:ext>
          </a:extLst>
        </xdr:cNvPr>
        <xdr:cNvSpPr/>
      </xdr:nvSpPr>
      <xdr:spPr>
        <a:xfrm rot="8119104">
          <a:off x="5026913" y="3465675"/>
          <a:ext cx="638175" cy="628650"/>
        </a:xfrm>
        <a:prstGeom prst="upArrow">
          <a:avLst>
            <a:gd name="adj1" fmla="val 50000"/>
            <a:gd name="adj2" fmla="val 50000"/>
          </a:avLst>
        </a:prstGeom>
        <a:solidFill>
          <a:schemeClr val="lt1"/>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38</xdr:col>
      <xdr:colOff>0</xdr:colOff>
      <xdr:row>11</xdr:row>
      <xdr:rowOff>47625</xdr:rowOff>
    </xdr:from>
    <xdr:ext cx="638175" cy="28575"/>
    <xdr:grpSp>
      <xdr:nvGrpSpPr>
        <xdr:cNvPr id="27" name="Shape 2">
          <a:extLst>
            <a:ext uri="{FF2B5EF4-FFF2-40B4-BE49-F238E27FC236}">
              <a16:creationId xmlns:a16="http://schemas.microsoft.com/office/drawing/2014/main" id="{00000000-0008-0000-0500-00001B000000}"/>
            </a:ext>
          </a:extLst>
        </xdr:cNvPr>
        <xdr:cNvGrpSpPr/>
      </xdr:nvGrpSpPr>
      <xdr:grpSpPr>
        <a:xfrm>
          <a:off x="22555200" y="1914525"/>
          <a:ext cx="638175" cy="28575"/>
          <a:chOff x="5026913" y="3765713"/>
          <a:chExt cx="638175" cy="28575"/>
        </a:xfrm>
      </xdr:grpSpPr>
      <xdr:grpSp>
        <xdr:nvGrpSpPr>
          <xdr:cNvPr id="28" name="Shape 19">
            <a:extLst>
              <a:ext uri="{FF2B5EF4-FFF2-40B4-BE49-F238E27FC236}">
                <a16:creationId xmlns:a16="http://schemas.microsoft.com/office/drawing/2014/main" id="{00000000-0008-0000-0500-00001C000000}"/>
              </a:ext>
            </a:extLst>
          </xdr:cNvPr>
          <xdr:cNvGrpSpPr/>
        </xdr:nvGrpSpPr>
        <xdr:grpSpPr>
          <a:xfrm>
            <a:off x="5026913" y="3765713"/>
            <a:ext cx="638175" cy="28575"/>
            <a:chOff x="5026913" y="3775238"/>
            <a:chExt cx="638175" cy="9525"/>
          </a:xfrm>
        </xdr:grpSpPr>
        <xdr:sp macro="" textlink="">
          <xdr:nvSpPr>
            <xdr:cNvPr id="29" name="Shape 4">
              <a:extLst>
                <a:ext uri="{FF2B5EF4-FFF2-40B4-BE49-F238E27FC236}">
                  <a16:creationId xmlns:a16="http://schemas.microsoft.com/office/drawing/2014/main" id="{00000000-0008-0000-0500-00001D000000}"/>
                </a:ext>
              </a:extLst>
            </xdr:cNvPr>
            <xdr:cNvSpPr/>
          </xdr:nvSpPr>
          <xdr:spPr>
            <a:xfrm>
              <a:off x="5026913" y="3775238"/>
              <a:ext cx="638175" cy="9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 name="Shape 20">
              <a:extLst>
                <a:ext uri="{FF2B5EF4-FFF2-40B4-BE49-F238E27FC236}">
                  <a16:creationId xmlns:a16="http://schemas.microsoft.com/office/drawing/2014/main" id="{00000000-0008-0000-0500-00001E000000}"/>
                </a:ext>
              </a:extLst>
            </xdr:cNvPr>
            <xdr:cNvCxnSpPr/>
          </xdr:nvCxnSpPr>
          <xdr:spPr>
            <a:xfrm>
              <a:off x="5026913" y="3775238"/>
              <a:ext cx="638175" cy="9525"/>
            </a:xfrm>
            <a:prstGeom prst="straightConnector1">
              <a:avLst/>
            </a:prstGeom>
            <a:noFill/>
            <a:ln w="12700" cap="flat" cmpd="sng">
              <a:solidFill>
                <a:schemeClr val="accent1"/>
              </a:solidFill>
              <a:prstDash val="solid"/>
              <a:round/>
              <a:headEnd type="none" w="sm" len="sm"/>
              <a:tailEnd type="triangle" w="med" len="med"/>
            </a:ln>
          </xdr:spPr>
        </xdr:cxnSp>
      </xdr:grpSp>
    </xdr:grpSp>
    <xdr:clientData fLocksWithSheet="0"/>
  </xdr:oneCellAnchor>
  <xdr:oneCellAnchor>
    <xdr:from>
      <xdr:col>36</xdr:col>
      <xdr:colOff>-47625</xdr:colOff>
      <xdr:row>8</xdr:row>
      <xdr:rowOff>95250</xdr:rowOff>
    </xdr:from>
    <xdr:ext cx="742950" cy="742950"/>
    <xdr:sp macro="" textlink="">
      <xdr:nvSpPr>
        <xdr:cNvPr id="31" name="Shape 21">
          <a:extLst>
            <a:ext uri="{FF2B5EF4-FFF2-40B4-BE49-F238E27FC236}">
              <a16:creationId xmlns:a16="http://schemas.microsoft.com/office/drawing/2014/main" id="{00000000-0008-0000-0500-00001F000000}"/>
            </a:ext>
          </a:extLst>
        </xdr:cNvPr>
        <xdr:cNvSpPr/>
      </xdr:nvSpPr>
      <xdr:spPr>
        <a:xfrm rot="8158651" flipH="1">
          <a:off x="5088825" y="3527588"/>
          <a:ext cx="514350" cy="504825"/>
        </a:xfrm>
        <a:prstGeom prst="upArrow">
          <a:avLst>
            <a:gd name="adj1" fmla="val 50000"/>
            <a:gd name="adj2" fmla="val 50000"/>
          </a:avLst>
        </a:prstGeom>
        <a:solidFill>
          <a:schemeClr val="lt1"/>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36</xdr:col>
      <xdr:colOff>0</xdr:colOff>
      <xdr:row>11</xdr:row>
      <xdr:rowOff>0</xdr:rowOff>
    </xdr:from>
    <xdr:ext cx="581025" cy="171450"/>
    <xdr:sp macro="" textlink="">
      <xdr:nvSpPr>
        <xdr:cNvPr id="32" name="Shape 22">
          <a:extLst>
            <a:ext uri="{FF2B5EF4-FFF2-40B4-BE49-F238E27FC236}">
              <a16:creationId xmlns:a16="http://schemas.microsoft.com/office/drawing/2014/main" id="{00000000-0008-0000-0500-000020000000}"/>
            </a:ext>
          </a:extLst>
        </xdr:cNvPr>
        <xdr:cNvSpPr/>
      </xdr:nvSpPr>
      <xdr:spPr>
        <a:xfrm rot="5400000">
          <a:off x="5269800" y="3499013"/>
          <a:ext cx="152400" cy="561975"/>
        </a:xfrm>
        <a:prstGeom prst="upArrow">
          <a:avLst>
            <a:gd name="adj1" fmla="val 50000"/>
            <a:gd name="adj2" fmla="val 50000"/>
          </a:avLst>
        </a:prstGeom>
        <a:solidFill>
          <a:srgbClr val="FFFFFF"/>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28</xdr:col>
      <xdr:colOff>-19050</xdr:colOff>
      <xdr:row>1</xdr:row>
      <xdr:rowOff>-19050</xdr:rowOff>
    </xdr:from>
    <xdr:ext cx="323850" cy="161925"/>
    <xdr:sp macro="" textlink="">
      <xdr:nvSpPr>
        <xdr:cNvPr id="33" name="Shape 23">
          <a:extLst>
            <a:ext uri="{FF2B5EF4-FFF2-40B4-BE49-F238E27FC236}">
              <a16:creationId xmlns:a16="http://schemas.microsoft.com/office/drawing/2014/main" id="{00000000-0008-0000-0500-000021000000}"/>
            </a:ext>
          </a:extLst>
        </xdr:cNvPr>
        <xdr:cNvSpPr/>
      </xdr:nvSpPr>
      <xdr:spPr>
        <a:xfrm rot="5400000">
          <a:off x="5274563" y="3627600"/>
          <a:ext cx="142875" cy="304800"/>
        </a:xfrm>
        <a:prstGeom prst="upArrow">
          <a:avLst>
            <a:gd name="adj1" fmla="val 50000"/>
            <a:gd name="adj2" fmla="val 50000"/>
          </a:avLst>
        </a:prstGeom>
        <a:solidFill>
          <a:srgbClr val="FFFFFF"/>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7</xdr:col>
      <xdr:colOff>38100</xdr:colOff>
      <xdr:row>9</xdr:row>
      <xdr:rowOff>161925</xdr:rowOff>
    </xdr:from>
    <xdr:ext cx="476250" cy="1162050"/>
    <xdr:grpSp>
      <xdr:nvGrpSpPr>
        <xdr:cNvPr id="34" name="Shape 2">
          <a:extLst>
            <a:ext uri="{FF2B5EF4-FFF2-40B4-BE49-F238E27FC236}">
              <a16:creationId xmlns:a16="http://schemas.microsoft.com/office/drawing/2014/main" id="{00000000-0008-0000-0500-000022000000}"/>
            </a:ext>
          </a:extLst>
        </xdr:cNvPr>
        <xdr:cNvGrpSpPr/>
      </xdr:nvGrpSpPr>
      <xdr:grpSpPr>
        <a:xfrm>
          <a:off x="8010525" y="1647825"/>
          <a:ext cx="476250" cy="1162050"/>
          <a:chOff x="5107875" y="3198975"/>
          <a:chExt cx="476250" cy="1162050"/>
        </a:xfrm>
      </xdr:grpSpPr>
      <xdr:grpSp>
        <xdr:nvGrpSpPr>
          <xdr:cNvPr id="35" name="Shape 24">
            <a:extLst>
              <a:ext uri="{FF2B5EF4-FFF2-40B4-BE49-F238E27FC236}">
                <a16:creationId xmlns:a16="http://schemas.microsoft.com/office/drawing/2014/main" id="{00000000-0008-0000-0500-000023000000}"/>
              </a:ext>
            </a:extLst>
          </xdr:cNvPr>
          <xdr:cNvGrpSpPr/>
        </xdr:nvGrpSpPr>
        <xdr:grpSpPr>
          <a:xfrm>
            <a:off x="5107875" y="3198975"/>
            <a:ext cx="476250" cy="1162050"/>
            <a:chOff x="5112638" y="3203738"/>
            <a:chExt cx="466725" cy="1152525"/>
          </a:xfrm>
        </xdr:grpSpPr>
        <xdr:sp macro="" textlink="">
          <xdr:nvSpPr>
            <xdr:cNvPr id="36" name="Shape 4">
              <a:extLst>
                <a:ext uri="{FF2B5EF4-FFF2-40B4-BE49-F238E27FC236}">
                  <a16:creationId xmlns:a16="http://schemas.microsoft.com/office/drawing/2014/main" id="{00000000-0008-0000-0500-000024000000}"/>
                </a:ext>
              </a:extLst>
            </xdr:cNvPr>
            <xdr:cNvSpPr/>
          </xdr:nvSpPr>
          <xdr:spPr>
            <a:xfrm>
              <a:off x="5112638" y="3203738"/>
              <a:ext cx="466725" cy="1152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 name="Shape 25">
              <a:extLst>
                <a:ext uri="{FF2B5EF4-FFF2-40B4-BE49-F238E27FC236}">
                  <a16:creationId xmlns:a16="http://schemas.microsoft.com/office/drawing/2014/main" id="{00000000-0008-0000-0500-000025000000}"/>
                </a:ext>
              </a:extLst>
            </xdr:cNvPr>
            <xdr:cNvCxnSpPr/>
          </xdr:nvCxnSpPr>
          <xdr:spPr>
            <a:xfrm rot="10800000" flipH="1">
              <a:off x="5112638" y="3203738"/>
              <a:ext cx="466725" cy="11525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7</xdr:col>
      <xdr:colOff>76200</xdr:colOff>
      <xdr:row>15</xdr:row>
      <xdr:rowOff>161925</xdr:rowOff>
    </xdr:from>
    <xdr:ext cx="428625" cy="38100"/>
    <xdr:grpSp>
      <xdr:nvGrpSpPr>
        <xdr:cNvPr id="38" name="Shape 2">
          <a:extLst>
            <a:ext uri="{FF2B5EF4-FFF2-40B4-BE49-F238E27FC236}">
              <a16:creationId xmlns:a16="http://schemas.microsoft.com/office/drawing/2014/main" id="{00000000-0008-0000-0500-000026000000}"/>
            </a:ext>
          </a:extLst>
        </xdr:cNvPr>
        <xdr:cNvGrpSpPr/>
      </xdr:nvGrpSpPr>
      <xdr:grpSpPr>
        <a:xfrm>
          <a:off x="8048625" y="2790825"/>
          <a:ext cx="428625" cy="38100"/>
          <a:chOff x="5131688" y="3760950"/>
          <a:chExt cx="428625" cy="38100"/>
        </a:xfrm>
      </xdr:grpSpPr>
      <xdr:grpSp>
        <xdr:nvGrpSpPr>
          <xdr:cNvPr id="39" name="Shape 26">
            <a:extLst>
              <a:ext uri="{FF2B5EF4-FFF2-40B4-BE49-F238E27FC236}">
                <a16:creationId xmlns:a16="http://schemas.microsoft.com/office/drawing/2014/main" id="{00000000-0008-0000-0500-000027000000}"/>
              </a:ext>
            </a:extLst>
          </xdr:cNvPr>
          <xdr:cNvGrpSpPr/>
        </xdr:nvGrpSpPr>
        <xdr:grpSpPr>
          <a:xfrm>
            <a:off x="5131688" y="3760950"/>
            <a:ext cx="428625" cy="38100"/>
            <a:chOff x="5131688" y="3775238"/>
            <a:chExt cx="428625" cy="9525"/>
          </a:xfrm>
        </xdr:grpSpPr>
        <xdr:sp macro="" textlink="">
          <xdr:nvSpPr>
            <xdr:cNvPr id="40" name="Shape 4">
              <a:extLst>
                <a:ext uri="{FF2B5EF4-FFF2-40B4-BE49-F238E27FC236}">
                  <a16:creationId xmlns:a16="http://schemas.microsoft.com/office/drawing/2014/main" id="{00000000-0008-0000-0500-000028000000}"/>
                </a:ext>
              </a:extLst>
            </xdr:cNvPr>
            <xdr:cNvSpPr/>
          </xdr:nvSpPr>
          <xdr:spPr>
            <a:xfrm>
              <a:off x="5131688" y="3775238"/>
              <a:ext cx="428625" cy="9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 name="Shape 27">
              <a:extLst>
                <a:ext uri="{FF2B5EF4-FFF2-40B4-BE49-F238E27FC236}">
                  <a16:creationId xmlns:a16="http://schemas.microsoft.com/office/drawing/2014/main" id="{00000000-0008-0000-0500-000029000000}"/>
                </a:ext>
              </a:extLst>
            </xdr:cNvPr>
            <xdr:cNvCxnSpPr/>
          </xdr:nvCxnSpPr>
          <xdr:spPr>
            <a:xfrm>
              <a:off x="5131688" y="3775238"/>
              <a:ext cx="428625" cy="95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7</xdr:col>
      <xdr:colOff>38100</xdr:colOff>
      <xdr:row>16</xdr:row>
      <xdr:rowOff>0</xdr:rowOff>
    </xdr:from>
    <xdr:ext cx="466725" cy="914400"/>
    <xdr:grpSp>
      <xdr:nvGrpSpPr>
        <xdr:cNvPr id="42" name="Shape 2">
          <a:extLst>
            <a:ext uri="{FF2B5EF4-FFF2-40B4-BE49-F238E27FC236}">
              <a16:creationId xmlns:a16="http://schemas.microsoft.com/office/drawing/2014/main" id="{00000000-0008-0000-0500-00002A000000}"/>
            </a:ext>
          </a:extLst>
        </xdr:cNvPr>
        <xdr:cNvGrpSpPr/>
      </xdr:nvGrpSpPr>
      <xdr:grpSpPr>
        <a:xfrm>
          <a:off x="8010525" y="2819400"/>
          <a:ext cx="466725" cy="914400"/>
          <a:chOff x="5112638" y="3322800"/>
          <a:chExt cx="466725" cy="914400"/>
        </a:xfrm>
      </xdr:grpSpPr>
      <xdr:grpSp>
        <xdr:nvGrpSpPr>
          <xdr:cNvPr id="43" name="Shape 28">
            <a:extLst>
              <a:ext uri="{FF2B5EF4-FFF2-40B4-BE49-F238E27FC236}">
                <a16:creationId xmlns:a16="http://schemas.microsoft.com/office/drawing/2014/main" id="{00000000-0008-0000-0500-00002B000000}"/>
              </a:ext>
            </a:extLst>
          </xdr:cNvPr>
          <xdr:cNvGrpSpPr/>
        </xdr:nvGrpSpPr>
        <xdr:grpSpPr>
          <a:xfrm>
            <a:off x="5112638" y="3322800"/>
            <a:ext cx="466725" cy="914400"/>
            <a:chOff x="5117400" y="3327563"/>
            <a:chExt cx="457200" cy="904875"/>
          </a:xfrm>
        </xdr:grpSpPr>
        <xdr:sp macro="" textlink="">
          <xdr:nvSpPr>
            <xdr:cNvPr id="44" name="Shape 4">
              <a:extLst>
                <a:ext uri="{FF2B5EF4-FFF2-40B4-BE49-F238E27FC236}">
                  <a16:creationId xmlns:a16="http://schemas.microsoft.com/office/drawing/2014/main" id="{00000000-0008-0000-0500-00002C000000}"/>
                </a:ext>
              </a:extLst>
            </xdr:cNvPr>
            <xdr:cNvSpPr/>
          </xdr:nvSpPr>
          <xdr:spPr>
            <a:xfrm>
              <a:off x="5117400" y="3327563"/>
              <a:ext cx="457200" cy="904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 name="Shape 29">
              <a:extLst>
                <a:ext uri="{FF2B5EF4-FFF2-40B4-BE49-F238E27FC236}">
                  <a16:creationId xmlns:a16="http://schemas.microsoft.com/office/drawing/2014/main" id="{00000000-0008-0000-0500-00002D000000}"/>
                </a:ext>
              </a:extLst>
            </xdr:cNvPr>
            <xdr:cNvCxnSpPr/>
          </xdr:nvCxnSpPr>
          <xdr:spPr>
            <a:xfrm>
              <a:off x="5117400" y="3327563"/>
              <a:ext cx="457200" cy="9048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10</xdr:col>
      <xdr:colOff>28575</xdr:colOff>
      <xdr:row>10</xdr:row>
      <xdr:rowOff>9525</xdr:rowOff>
    </xdr:from>
    <xdr:ext cx="857250" cy="857250"/>
    <xdr:grpSp>
      <xdr:nvGrpSpPr>
        <xdr:cNvPr id="46" name="Shape 2">
          <a:extLst>
            <a:ext uri="{FF2B5EF4-FFF2-40B4-BE49-F238E27FC236}">
              <a16:creationId xmlns:a16="http://schemas.microsoft.com/office/drawing/2014/main" id="{00000000-0008-0000-0500-00002E000000}"/>
            </a:ext>
          </a:extLst>
        </xdr:cNvPr>
        <xdr:cNvGrpSpPr/>
      </xdr:nvGrpSpPr>
      <xdr:grpSpPr>
        <a:xfrm>
          <a:off x="9829800" y="1685925"/>
          <a:ext cx="857250" cy="857250"/>
          <a:chOff x="4917375" y="3351375"/>
          <a:chExt cx="857250" cy="857250"/>
        </a:xfrm>
      </xdr:grpSpPr>
      <xdr:grpSp>
        <xdr:nvGrpSpPr>
          <xdr:cNvPr id="47" name="Shape 30">
            <a:extLst>
              <a:ext uri="{FF2B5EF4-FFF2-40B4-BE49-F238E27FC236}">
                <a16:creationId xmlns:a16="http://schemas.microsoft.com/office/drawing/2014/main" id="{00000000-0008-0000-0500-00002F000000}"/>
              </a:ext>
            </a:extLst>
          </xdr:cNvPr>
          <xdr:cNvGrpSpPr/>
        </xdr:nvGrpSpPr>
        <xdr:grpSpPr>
          <a:xfrm>
            <a:off x="4917375" y="3351375"/>
            <a:ext cx="857250" cy="857250"/>
            <a:chOff x="4922138" y="3356138"/>
            <a:chExt cx="847725" cy="847725"/>
          </a:xfrm>
        </xdr:grpSpPr>
        <xdr:sp macro="" textlink="">
          <xdr:nvSpPr>
            <xdr:cNvPr id="48" name="Shape 4">
              <a:extLst>
                <a:ext uri="{FF2B5EF4-FFF2-40B4-BE49-F238E27FC236}">
                  <a16:creationId xmlns:a16="http://schemas.microsoft.com/office/drawing/2014/main" id="{00000000-0008-0000-0500-000030000000}"/>
                </a:ext>
              </a:extLst>
            </xdr:cNvPr>
            <xdr:cNvSpPr/>
          </xdr:nvSpPr>
          <xdr:spPr>
            <a:xfrm>
              <a:off x="4922138" y="3356138"/>
              <a:ext cx="847725" cy="847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 name="Shape 31">
              <a:extLst>
                <a:ext uri="{FF2B5EF4-FFF2-40B4-BE49-F238E27FC236}">
                  <a16:creationId xmlns:a16="http://schemas.microsoft.com/office/drawing/2014/main" id="{00000000-0008-0000-0500-000031000000}"/>
                </a:ext>
              </a:extLst>
            </xdr:cNvPr>
            <xdr:cNvCxnSpPr/>
          </xdr:nvCxnSpPr>
          <xdr:spPr>
            <a:xfrm>
              <a:off x="4922138" y="3356138"/>
              <a:ext cx="847725" cy="847725"/>
            </a:xfrm>
            <a:prstGeom prst="straightConnector1">
              <a:avLst/>
            </a:prstGeom>
            <a:noFill/>
            <a:ln w="9525" cap="flat" cmpd="sng">
              <a:solidFill>
                <a:srgbClr val="E36C09"/>
              </a:solidFill>
              <a:prstDash val="dash"/>
              <a:round/>
              <a:headEnd type="none" w="sm" len="sm"/>
              <a:tailEnd type="triangle" w="med" len="med"/>
            </a:ln>
          </xdr:spPr>
        </xdr:cxnSp>
      </xdr:grpSp>
    </xdr:grpSp>
    <xdr:clientData fLocksWithSheet="0"/>
  </xdr:oneCellAnchor>
  <xdr:oneCellAnchor>
    <xdr:from>
      <xdr:col>10</xdr:col>
      <xdr:colOff>38100</xdr:colOff>
      <xdr:row>10</xdr:row>
      <xdr:rowOff>38100</xdr:rowOff>
    </xdr:from>
    <xdr:ext cx="781050" cy="1133475"/>
    <xdr:grpSp>
      <xdr:nvGrpSpPr>
        <xdr:cNvPr id="50" name="Shape 2">
          <a:extLst>
            <a:ext uri="{FF2B5EF4-FFF2-40B4-BE49-F238E27FC236}">
              <a16:creationId xmlns:a16="http://schemas.microsoft.com/office/drawing/2014/main" id="{00000000-0008-0000-0500-000032000000}"/>
            </a:ext>
          </a:extLst>
        </xdr:cNvPr>
        <xdr:cNvGrpSpPr/>
      </xdr:nvGrpSpPr>
      <xdr:grpSpPr>
        <a:xfrm>
          <a:off x="9839325" y="1714500"/>
          <a:ext cx="781050" cy="1133475"/>
          <a:chOff x="4955475" y="3213263"/>
          <a:chExt cx="781050" cy="1133475"/>
        </a:xfrm>
      </xdr:grpSpPr>
      <xdr:grpSp>
        <xdr:nvGrpSpPr>
          <xdr:cNvPr id="51" name="Shape 32">
            <a:extLst>
              <a:ext uri="{FF2B5EF4-FFF2-40B4-BE49-F238E27FC236}">
                <a16:creationId xmlns:a16="http://schemas.microsoft.com/office/drawing/2014/main" id="{00000000-0008-0000-0500-000033000000}"/>
              </a:ext>
            </a:extLst>
          </xdr:cNvPr>
          <xdr:cNvGrpSpPr/>
        </xdr:nvGrpSpPr>
        <xdr:grpSpPr>
          <a:xfrm>
            <a:off x="4955475" y="3213263"/>
            <a:ext cx="781050" cy="1133475"/>
            <a:chOff x="4960238" y="3218025"/>
            <a:chExt cx="771525" cy="1123950"/>
          </a:xfrm>
        </xdr:grpSpPr>
        <xdr:sp macro="" textlink="">
          <xdr:nvSpPr>
            <xdr:cNvPr id="52" name="Shape 4">
              <a:extLst>
                <a:ext uri="{FF2B5EF4-FFF2-40B4-BE49-F238E27FC236}">
                  <a16:creationId xmlns:a16="http://schemas.microsoft.com/office/drawing/2014/main" id="{00000000-0008-0000-0500-000034000000}"/>
                </a:ext>
              </a:extLst>
            </xdr:cNvPr>
            <xdr:cNvSpPr/>
          </xdr:nvSpPr>
          <xdr:spPr>
            <a:xfrm>
              <a:off x="4960238" y="3218025"/>
              <a:ext cx="771525" cy="1123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 name="Shape 33">
              <a:extLst>
                <a:ext uri="{FF2B5EF4-FFF2-40B4-BE49-F238E27FC236}">
                  <a16:creationId xmlns:a16="http://schemas.microsoft.com/office/drawing/2014/main" id="{00000000-0008-0000-0500-000035000000}"/>
                </a:ext>
              </a:extLst>
            </xdr:cNvPr>
            <xdr:cNvCxnSpPr/>
          </xdr:nvCxnSpPr>
          <xdr:spPr>
            <a:xfrm rot="10800000" flipH="1">
              <a:off x="4960238" y="3218025"/>
              <a:ext cx="771525" cy="1123950"/>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10</xdr:col>
      <xdr:colOff>66675</xdr:colOff>
      <xdr:row>15</xdr:row>
      <xdr:rowOff>9525</xdr:rowOff>
    </xdr:from>
    <xdr:ext cx="781050" cy="180975"/>
    <xdr:grpSp>
      <xdr:nvGrpSpPr>
        <xdr:cNvPr id="54" name="Shape 2">
          <a:extLst>
            <a:ext uri="{FF2B5EF4-FFF2-40B4-BE49-F238E27FC236}">
              <a16:creationId xmlns:a16="http://schemas.microsoft.com/office/drawing/2014/main" id="{00000000-0008-0000-0500-000036000000}"/>
            </a:ext>
          </a:extLst>
        </xdr:cNvPr>
        <xdr:cNvGrpSpPr/>
      </xdr:nvGrpSpPr>
      <xdr:grpSpPr>
        <a:xfrm>
          <a:off x="9867900" y="2638425"/>
          <a:ext cx="781050" cy="180975"/>
          <a:chOff x="4955475" y="3689513"/>
          <a:chExt cx="781050" cy="180975"/>
        </a:xfrm>
      </xdr:grpSpPr>
      <xdr:grpSp>
        <xdr:nvGrpSpPr>
          <xdr:cNvPr id="55" name="Shape 34">
            <a:extLst>
              <a:ext uri="{FF2B5EF4-FFF2-40B4-BE49-F238E27FC236}">
                <a16:creationId xmlns:a16="http://schemas.microsoft.com/office/drawing/2014/main" id="{00000000-0008-0000-0500-000037000000}"/>
              </a:ext>
            </a:extLst>
          </xdr:cNvPr>
          <xdr:cNvGrpSpPr/>
        </xdr:nvGrpSpPr>
        <xdr:grpSpPr>
          <a:xfrm>
            <a:off x="4955475" y="3689513"/>
            <a:ext cx="781050" cy="180975"/>
            <a:chOff x="4960238" y="3694275"/>
            <a:chExt cx="771525" cy="171450"/>
          </a:xfrm>
        </xdr:grpSpPr>
        <xdr:sp macro="" textlink="">
          <xdr:nvSpPr>
            <xdr:cNvPr id="56" name="Shape 4">
              <a:extLst>
                <a:ext uri="{FF2B5EF4-FFF2-40B4-BE49-F238E27FC236}">
                  <a16:creationId xmlns:a16="http://schemas.microsoft.com/office/drawing/2014/main" id="{00000000-0008-0000-0500-000038000000}"/>
                </a:ext>
              </a:extLst>
            </xdr:cNvPr>
            <xdr:cNvSpPr/>
          </xdr:nvSpPr>
          <xdr:spPr>
            <a:xfrm>
              <a:off x="4960238" y="3694275"/>
              <a:ext cx="771525" cy="171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 name="Shape 35">
              <a:extLst>
                <a:ext uri="{FF2B5EF4-FFF2-40B4-BE49-F238E27FC236}">
                  <a16:creationId xmlns:a16="http://schemas.microsoft.com/office/drawing/2014/main" id="{00000000-0008-0000-0500-000039000000}"/>
                </a:ext>
              </a:extLst>
            </xdr:cNvPr>
            <xdr:cNvCxnSpPr/>
          </xdr:nvCxnSpPr>
          <xdr:spPr>
            <a:xfrm rot="10800000" flipH="1">
              <a:off x="4960238" y="3694275"/>
              <a:ext cx="771525" cy="171450"/>
            </a:xfrm>
            <a:prstGeom prst="straightConnector1">
              <a:avLst/>
            </a:prstGeom>
            <a:noFill/>
            <a:ln w="9525" cap="flat" cmpd="sng">
              <a:solidFill>
                <a:srgbClr val="E36C09"/>
              </a:solidFill>
              <a:prstDash val="dash"/>
              <a:round/>
              <a:headEnd type="none" w="sm" len="sm"/>
              <a:tailEnd type="triangle" w="med" len="med"/>
            </a:ln>
          </xdr:spPr>
        </xdr:cxnSp>
      </xdr:grpSp>
    </xdr:grpSp>
    <xdr:clientData fLocksWithSheet="0"/>
  </xdr:oneCellAnchor>
  <xdr:oneCellAnchor>
    <xdr:from>
      <xdr:col>10</xdr:col>
      <xdr:colOff>28575</xdr:colOff>
      <xdr:row>16</xdr:row>
      <xdr:rowOff>0</xdr:rowOff>
    </xdr:from>
    <xdr:ext cx="904875" cy="904875"/>
    <xdr:grpSp>
      <xdr:nvGrpSpPr>
        <xdr:cNvPr id="58" name="Shape 2">
          <a:extLst>
            <a:ext uri="{FF2B5EF4-FFF2-40B4-BE49-F238E27FC236}">
              <a16:creationId xmlns:a16="http://schemas.microsoft.com/office/drawing/2014/main" id="{00000000-0008-0000-0500-00003A000000}"/>
            </a:ext>
          </a:extLst>
        </xdr:cNvPr>
        <xdr:cNvGrpSpPr/>
      </xdr:nvGrpSpPr>
      <xdr:grpSpPr>
        <a:xfrm>
          <a:off x="9829800" y="2819400"/>
          <a:ext cx="904875" cy="904875"/>
          <a:chOff x="4893563" y="3327563"/>
          <a:chExt cx="904875" cy="904875"/>
        </a:xfrm>
      </xdr:grpSpPr>
      <xdr:grpSp>
        <xdr:nvGrpSpPr>
          <xdr:cNvPr id="59" name="Shape 36">
            <a:extLst>
              <a:ext uri="{FF2B5EF4-FFF2-40B4-BE49-F238E27FC236}">
                <a16:creationId xmlns:a16="http://schemas.microsoft.com/office/drawing/2014/main" id="{00000000-0008-0000-0500-00003B000000}"/>
              </a:ext>
            </a:extLst>
          </xdr:cNvPr>
          <xdr:cNvGrpSpPr/>
        </xdr:nvGrpSpPr>
        <xdr:grpSpPr>
          <a:xfrm>
            <a:off x="4893563" y="3327563"/>
            <a:ext cx="904875" cy="904875"/>
            <a:chOff x="4898325" y="3327563"/>
            <a:chExt cx="895350" cy="904875"/>
          </a:xfrm>
        </xdr:grpSpPr>
        <xdr:sp macro="" textlink="">
          <xdr:nvSpPr>
            <xdr:cNvPr id="60" name="Shape 4">
              <a:extLst>
                <a:ext uri="{FF2B5EF4-FFF2-40B4-BE49-F238E27FC236}">
                  <a16:creationId xmlns:a16="http://schemas.microsoft.com/office/drawing/2014/main" id="{00000000-0008-0000-0500-00003C000000}"/>
                </a:ext>
              </a:extLst>
            </xdr:cNvPr>
            <xdr:cNvSpPr/>
          </xdr:nvSpPr>
          <xdr:spPr>
            <a:xfrm>
              <a:off x="4898325" y="3327563"/>
              <a:ext cx="895350" cy="904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 name="Shape 37">
              <a:extLst>
                <a:ext uri="{FF2B5EF4-FFF2-40B4-BE49-F238E27FC236}">
                  <a16:creationId xmlns:a16="http://schemas.microsoft.com/office/drawing/2014/main" id="{00000000-0008-0000-0500-00003D000000}"/>
                </a:ext>
              </a:extLst>
            </xdr:cNvPr>
            <xdr:cNvCxnSpPr/>
          </xdr:nvCxnSpPr>
          <xdr:spPr>
            <a:xfrm>
              <a:off x="4898325" y="3327563"/>
              <a:ext cx="895350" cy="904875"/>
            </a:xfrm>
            <a:prstGeom prst="straightConnector1">
              <a:avLst/>
            </a:prstGeom>
            <a:noFill/>
            <a:ln w="9525" cap="flat" cmpd="sng">
              <a:solidFill>
                <a:srgbClr val="E36C09"/>
              </a:solidFill>
              <a:prstDash val="dash"/>
              <a:round/>
              <a:headEnd type="none" w="sm" len="sm"/>
              <a:tailEnd type="triangle" w="med" len="med"/>
            </a:ln>
          </xdr:spPr>
        </xdr:cxnSp>
      </xdr:grpSp>
    </xdr:grpSp>
    <xdr:clientData fLocksWithSheet="0"/>
  </xdr:oneCellAnchor>
  <xdr:oneCellAnchor>
    <xdr:from>
      <xdr:col>14</xdr:col>
      <xdr:colOff>38100</xdr:colOff>
      <xdr:row>10</xdr:row>
      <xdr:rowOff>9525</xdr:rowOff>
    </xdr:from>
    <xdr:ext cx="1228725" cy="771525"/>
    <xdr:grpSp>
      <xdr:nvGrpSpPr>
        <xdr:cNvPr id="62" name="Shape 2">
          <a:extLst>
            <a:ext uri="{FF2B5EF4-FFF2-40B4-BE49-F238E27FC236}">
              <a16:creationId xmlns:a16="http://schemas.microsoft.com/office/drawing/2014/main" id="{00000000-0008-0000-0500-00003E000000}"/>
            </a:ext>
          </a:extLst>
        </xdr:cNvPr>
        <xdr:cNvGrpSpPr/>
      </xdr:nvGrpSpPr>
      <xdr:grpSpPr>
        <a:xfrm>
          <a:off x="11963400" y="1685925"/>
          <a:ext cx="1228725" cy="771525"/>
          <a:chOff x="4731638" y="3394238"/>
          <a:chExt cx="1228725" cy="771525"/>
        </a:xfrm>
      </xdr:grpSpPr>
      <xdr:grpSp>
        <xdr:nvGrpSpPr>
          <xdr:cNvPr id="63" name="Shape 38">
            <a:extLst>
              <a:ext uri="{FF2B5EF4-FFF2-40B4-BE49-F238E27FC236}">
                <a16:creationId xmlns:a16="http://schemas.microsoft.com/office/drawing/2014/main" id="{00000000-0008-0000-0500-00003F000000}"/>
              </a:ext>
            </a:extLst>
          </xdr:cNvPr>
          <xdr:cNvGrpSpPr/>
        </xdr:nvGrpSpPr>
        <xdr:grpSpPr>
          <a:xfrm>
            <a:off x="4731638" y="3394238"/>
            <a:ext cx="1228725" cy="771525"/>
            <a:chOff x="4736400" y="3399000"/>
            <a:chExt cx="1219200" cy="762000"/>
          </a:xfrm>
        </xdr:grpSpPr>
        <xdr:sp macro="" textlink="">
          <xdr:nvSpPr>
            <xdr:cNvPr id="64" name="Shape 4">
              <a:extLst>
                <a:ext uri="{FF2B5EF4-FFF2-40B4-BE49-F238E27FC236}">
                  <a16:creationId xmlns:a16="http://schemas.microsoft.com/office/drawing/2014/main" id="{00000000-0008-0000-0500-000040000000}"/>
                </a:ext>
              </a:extLst>
            </xdr:cNvPr>
            <xdr:cNvSpPr/>
          </xdr:nvSpPr>
          <xdr:spPr>
            <a:xfrm>
              <a:off x="4736400" y="3399000"/>
              <a:ext cx="121920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 name="Shape 39">
              <a:extLst>
                <a:ext uri="{FF2B5EF4-FFF2-40B4-BE49-F238E27FC236}">
                  <a16:creationId xmlns:a16="http://schemas.microsoft.com/office/drawing/2014/main" id="{00000000-0008-0000-0500-000041000000}"/>
                </a:ext>
              </a:extLst>
            </xdr:cNvPr>
            <xdr:cNvCxnSpPr/>
          </xdr:nvCxnSpPr>
          <xdr:spPr>
            <a:xfrm>
              <a:off x="4736400" y="3399000"/>
              <a:ext cx="1219200" cy="762000"/>
            </a:xfrm>
            <a:prstGeom prst="straightConnector1">
              <a:avLst/>
            </a:prstGeom>
            <a:noFill/>
            <a:ln w="9525" cap="flat" cmpd="sng">
              <a:solidFill>
                <a:srgbClr val="E36C09"/>
              </a:solidFill>
              <a:prstDash val="dash"/>
              <a:round/>
              <a:headEnd type="none" w="sm" len="sm"/>
              <a:tailEnd type="triangle" w="med" len="med"/>
            </a:ln>
          </xdr:spPr>
        </xdr:cxnSp>
      </xdr:grpSp>
    </xdr:grpSp>
    <xdr:clientData fLocksWithSheet="0"/>
  </xdr:oneCellAnchor>
  <xdr:oneCellAnchor>
    <xdr:from>
      <xdr:col>14</xdr:col>
      <xdr:colOff>19050</xdr:colOff>
      <xdr:row>14</xdr:row>
      <xdr:rowOff>161925</xdr:rowOff>
    </xdr:from>
    <xdr:ext cx="1257300" cy="933450"/>
    <xdr:grpSp>
      <xdr:nvGrpSpPr>
        <xdr:cNvPr id="66" name="Shape 2">
          <a:extLst>
            <a:ext uri="{FF2B5EF4-FFF2-40B4-BE49-F238E27FC236}">
              <a16:creationId xmlns:a16="http://schemas.microsoft.com/office/drawing/2014/main" id="{00000000-0008-0000-0500-000042000000}"/>
            </a:ext>
          </a:extLst>
        </xdr:cNvPr>
        <xdr:cNvGrpSpPr/>
      </xdr:nvGrpSpPr>
      <xdr:grpSpPr>
        <a:xfrm>
          <a:off x="11944350" y="2600325"/>
          <a:ext cx="1257300" cy="933450"/>
          <a:chOff x="4717350" y="3313275"/>
          <a:chExt cx="1257300" cy="933450"/>
        </a:xfrm>
      </xdr:grpSpPr>
      <xdr:grpSp>
        <xdr:nvGrpSpPr>
          <xdr:cNvPr id="67" name="Shape 40">
            <a:extLst>
              <a:ext uri="{FF2B5EF4-FFF2-40B4-BE49-F238E27FC236}">
                <a16:creationId xmlns:a16="http://schemas.microsoft.com/office/drawing/2014/main" id="{00000000-0008-0000-0500-000043000000}"/>
              </a:ext>
            </a:extLst>
          </xdr:cNvPr>
          <xdr:cNvGrpSpPr/>
        </xdr:nvGrpSpPr>
        <xdr:grpSpPr>
          <a:xfrm>
            <a:off x="4717350" y="3313275"/>
            <a:ext cx="1257300" cy="933450"/>
            <a:chOff x="4722113" y="3318038"/>
            <a:chExt cx="1247775" cy="923925"/>
          </a:xfrm>
        </xdr:grpSpPr>
        <xdr:sp macro="" textlink="">
          <xdr:nvSpPr>
            <xdr:cNvPr id="68" name="Shape 4">
              <a:extLst>
                <a:ext uri="{FF2B5EF4-FFF2-40B4-BE49-F238E27FC236}">
                  <a16:creationId xmlns:a16="http://schemas.microsoft.com/office/drawing/2014/main" id="{00000000-0008-0000-0500-000044000000}"/>
                </a:ext>
              </a:extLst>
            </xdr:cNvPr>
            <xdr:cNvSpPr/>
          </xdr:nvSpPr>
          <xdr:spPr>
            <a:xfrm>
              <a:off x="4722113" y="3318038"/>
              <a:ext cx="1247775" cy="923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 name="Shape 41">
              <a:extLst>
                <a:ext uri="{FF2B5EF4-FFF2-40B4-BE49-F238E27FC236}">
                  <a16:creationId xmlns:a16="http://schemas.microsoft.com/office/drawing/2014/main" id="{00000000-0008-0000-0500-000045000000}"/>
                </a:ext>
              </a:extLst>
            </xdr:cNvPr>
            <xdr:cNvCxnSpPr/>
          </xdr:nvCxnSpPr>
          <xdr:spPr>
            <a:xfrm rot="10800000" flipH="1">
              <a:off x="4722113" y="3318038"/>
              <a:ext cx="1247775" cy="92392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10</xdr:col>
      <xdr:colOff>28575</xdr:colOff>
      <xdr:row>15</xdr:row>
      <xdr:rowOff>47625</xdr:rowOff>
    </xdr:from>
    <xdr:ext cx="847725" cy="1143000"/>
    <xdr:grpSp>
      <xdr:nvGrpSpPr>
        <xdr:cNvPr id="70" name="Shape 2">
          <a:extLst>
            <a:ext uri="{FF2B5EF4-FFF2-40B4-BE49-F238E27FC236}">
              <a16:creationId xmlns:a16="http://schemas.microsoft.com/office/drawing/2014/main" id="{00000000-0008-0000-0500-000046000000}"/>
            </a:ext>
          </a:extLst>
        </xdr:cNvPr>
        <xdr:cNvGrpSpPr/>
      </xdr:nvGrpSpPr>
      <xdr:grpSpPr>
        <a:xfrm>
          <a:off x="9829800" y="2676525"/>
          <a:ext cx="847725" cy="1143000"/>
          <a:chOff x="4922138" y="3208500"/>
          <a:chExt cx="847725" cy="1143000"/>
        </a:xfrm>
      </xdr:grpSpPr>
      <xdr:grpSp>
        <xdr:nvGrpSpPr>
          <xdr:cNvPr id="71" name="Shape 42">
            <a:extLst>
              <a:ext uri="{FF2B5EF4-FFF2-40B4-BE49-F238E27FC236}">
                <a16:creationId xmlns:a16="http://schemas.microsoft.com/office/drawing/2014/main" id="{00000000-0008-0000-0500-000047000000}"/>
              </a:ext>
            </a:extLst>
          </xdr:cNvPr>
          <xdr:cNvGrpSpPr/>
        </xdr:nvGrpSpPr>
        <xdr:grpSpPr>
          <a:xfrm>
            <a:off x="4922138" y="3208500"/>
            <a:ext cx="847725" cy="1143000"/>
            <a:chOff x="4926900" y="3213263"/>
            <a:chExt cx="838200" cy="1133475"/>
          </a:xfrm>
        </xdr:grpSpPr>
        <xdr:sp macro="" textlink="">
          <xdr:nvSpPr>
            <xdr:cNvPr id="72" name="Shape 4">
              <a:extLst>
                <a:ext uri="{FF2B5EF4-FFF2-40B4-BE49-F238E27FC236}">
                  <a16:creationId xmlns:a16="http://schemas.microsoft.com/office/drawing/2014/main" id="{00000000-0008-0000-0500-000048000000}"/>
                </a:ext>
              </a:extLst>
            </xdr:cNvPr>
            <xdr:cNvSpPr/>
          </xdr:nvSpPr>
          <xdr:spPr>
            <a:xfrm>
              <a:off x="4926900" y="3213263"/>
              <a:ext cx="838200" cy="1133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 name="Shape 43">
              <a:extLst>
                <a:ext uri="{FF2B5EF4-FFF2-40B4-BE49-F238E27FC236}">
                  <a16:creationId xmlns:a16="http://schemas.microsoft.com/office/drawing/2014/main" id="{00000000-0008-0000-0500-000049000000}"/>
                </a:ext>
              </a:extLst>
            </xdr:cNvPr>
            <xdr:cNvCxnSpPr/>
          </xdr:nvCxnSpPr>
          <xdr:spPr>
            <a:xfrm rot="10800000" flipH="1">
              <a:off x="4926900" y="3213263"/>
              <a:ext cx="838200" cy="1133475"/>
            </a:xfrm>
            <a:prstGeom prst="straightConnector1">
              <a:avLst/>
            </a:prstGeom>
            <a:noFill/>
            <a:ln w="9525" cap="flat" cmpd="sng">
              <a:solidFill>
                <a:srgbClr val="4A7DBA"/>
              </a:solidFill>
              <a:prstDash val="solid"/>
              <a:round/>
              <a:headEnd type="none" w="sm" len="sm"/>
              <a:tailEnd type="triangle" w="med" len="med"/>
            </a:ln>
          </xdr:spPr>
        </xdr:cxnSp>
      </xdr:grpSp>
    </xdr:grpSp>
    <xdr:clientData fLocksWithSheet="0"/>
  </xdr:oneCellAnchor>
  <xdr:oneCellAnchor>
    <xdr:from>
      <xdr:col>12</xdr:col>
      <xdr:colOff>104775</xdr:colOff>
      <xdr:row>6</xdr:row>
      <xdr:rowOff>57150</xdr:rowOff>
    </xdr:from>
    <xdr:ext cx="733425" cy="38100"/>
    <xdr:grpSp>
      <xdr:nvGrpSpPr>
        <xdr:cNvPr id="74" name="Shape 2">
          <a:extLst>
            <a:ext uri="{FF2B5EF4-FFF2-40B4-BE49-F238E27FC236}">
              <a16:creationId xmlns:a16="http://schemas.microsoft.com/office/drawing/2014/main" id="{00000000-0008-0000-0500-00004A000000}"/>
            </a:ext>
          </a:extLst>
        </xdr:cNvPr>
        <xdr:cNvGrpSpPr/>
      </xdr:nvGrpSpPr>
      <xdr:grpSpPr>
        <a:xfrm>
          <a:off x="10810875" y="1028700"/>
          <a:ext cx="733425" cy="38100"/>
          <a:chOff x="4979288" y="3760950"/>
          <a:chExt cx="733425" cy="38100"/>
        </a:xfrm>
      </xdr:grpSpPr>
      <xdr:grpSp>
        <xdr:nvGrpSpPr>
          <xdr:cNvPr id="75" name="Shape 44">
            <a:extLst>
              <a:ext uri="{FF2B5EF4-FFF2-40B4-BE49-F238E27FC236}">
                <a16:creationId xmlns:a16="http://schemas.microsoft.com/office/drawing/2014/main" id="{00000000-0008-0000-0500-00004B000000}"/>
              </a:ext>
            </a:extLst>
          </xdr:cNvPr>
          <xdr:cNvGrpSpPr/>
        </xdr:nvGrpSpPr>
        <xdr:grpSpPr>
          <a:xfrm>
            <a:off x="4979288" y="3760950"/>
            <a:ext cx="733425" cy="38100"/>
            <a:chOff x="4979288" y="3770475"/>
            <a:chExt cx="733425" cy="19050"/>
          </a:xfrm>
        </xdr:grpSpPr>
        <xdr:sp macro="" textlink="">
          <xdr:nvSpPr>
            <xdr:cNvPr id="76" name="Shape 4">
              <a:extLst>
                <a:ext uri="{FF2B5EF4-FFF2-40B4-BE49-F238E27FC236}">
                  <a16:creationId xmlns:a16="http://schemas.microsoft.com/office/drawing/2014/main" id="{00000000-0008-0000-0500-00004C000000}"/>
                </a:ext>
              </a:extLst>
            </xdr:cNvPr>
            <xdr:cNvSpPr/>
          </xdr:nvSpPr>
          <xdr:spPr>
            <a:xfrm>
              <a:off x="4979288" y="3770475"/>
              <a:ext cx="733425" cy="19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 name="Shape 45">
              <a:extLst>
                <a:ext uri="{FF2B5EF4-FFF2-40B4-BE49-F238E27FC236}">
                  <a16:creationId xmlns:a16="http://schemas.microsoft.com/office/drawing/2014/main" id="{00000000-0008-0000-0500-00004D000000}"/>
                </a:ext>
              </a:extLst>
            </xdr:cNvPr>
            <xdr:cNvCxnSpPr/>
          </xdr:nvCxnSpPr>
          <xdr:spPr>
            <a:xfrm>
              <a:off x="4979288" y="3770475"/>
              <a:ext cx="733425" cy="19050"/>
            </a:xfrm>
            <a:prstGeom prst="straightConnector1">
              <a:avLst/>
            </a:prstGeom>
            <a:noFill/>
            <a:ln w="9525" cap="flat" cmpd="sng">
              <a:solidFill>
                <a:srgbClr val="00B050"/>
              </a:solidFill>
              <a:prstDash val="dash"/>
              <a:round/>
              <a:headEnd type="none" w="sm" len="sm"/>
              <a:tailEnd type="triangle" w="med" len="med"/>
            </a:ln>
          </xdr:spPr>
        </xdr:cxnSp>
      </xdr:grpSp>
    </xdr:grpSp>
    <xdr:clientData fLocksWithSheet="0"/>
  </xdr:oneCellAnchor>
  <xdr:oneCellAnchor>
    <xdr:from>
      <xdr:col>34</xdr:col>
      <xdr:colOff>0</xdr:colOff>
      <xdr:row>13</xdr:row>
      <xdr:rowOff>0</xdr:rowOff>
    </xdr:from>
    <xdr:ext cx="333375" cy="323850"/>
    <xdr:pic>
      <xdr:nvPicPr>
        <xdr:cNvPr id="78" name="image1.png">
          <a:extLst>
            <a:ext uri="{FF2B5EF4-FFF2-40B4-BE49-F238E27FC236}">
              <a16:creationId xmlns:a16="http://schemas.microsoft.com/office/drawing/2014/main" id="{00000000-0008-0000-0500-00004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257175</xdr:colOff>
      <xdr:row>0</xdr:row>
      <xdr:rowOff>95250</xdr:rowOff>
    </xdr:from>
    <xdr:ext cx="971550" cy="828675"/>
    <xdr:pic>
      <xdr:nvPicPr>
        <xdr:cNvPr id="2" name="image2.jpg" descr="Logotipo De Saúde E Bem Estar Design De Logotipo De Centro ...">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duardo/Google%20Drive/Escritorio%20de%20Projetos/Modelos/02-Planejamento/Estimativas%20de%20Custo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sources/directory/32a430fa-0843-4045-aaf0-553c90496470.ExcelAutomationServiceFrontend.WorkingDir/NoAVScans/c3e9926f-4891-4bc7-9551-dd8e77df89b2/in/Gr&#225;fico%20de%20Gantt%20simpl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BS-PROJETO-SAUDE-BEM-ESTAR_templateSAM_SRM%20(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Eduardo/Dropbox/BDS%20-%20Projeto%20B3/Portfolio%20de%20Projeto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Estimativas"/>
      <sheetName val="Param"/>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DeProjeto"/>
      <sheetName val="Sobre"/>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 de Gantt"/>
      <sheetName val="SAM SRM"/>
      <sheetName val="PV_dependência"/>
      <sheetName val="Cronograma_de_Custos (2)"/>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Projetos"/>
      <sheetName val="Budget"/>
      <sheetName val="Config"/>
      <sheetName val="Issues"/>
      <sheetName val="Pendencias"/>
      <sheetName val="Pool"/>
      <sheetName val="Project"/>
      <sheetName val="Param"/>
      <sheetName val="Status"/>
      <sheetName val="SR"/>
      <sheetName val="SR.Modelo"/>
      <sheetName val="Prj-Venc"/>
      <sheetName val="Prj-Andam"/>
      <sheetName val="Prj-Prox"/>
      <sheetName val="Prj-Entr"/>
      <sheetName val="Prj-Concl"/>
      <sheetName val="Prj-FaseAtual"/>
      <sheetName val="Prj-NConc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User" refreshedDate="46110.588993518519" refreshedVersion="8" recordCount="56" xr:uid="{00000000-000A-0000-FFFF-FFFF00000000}">
  <cacheSource type="worksheet">
    <worksheetSource ref="B9:J65" sheet="WBS_Detalhado (ordem etapas)"/>
  </cacheSource>
  <cacheFields count="9">
    <cacheField name="Ref" numFmtId="0">
      <sharedItems containsMixedTypes="1" containsNumber="1" containsInteger="1" minValue="1" maxValue="10" count="56">
        <n v="1"/>
        <s v="1.1"/>
        <s v="1.2"/>
        <s v="1.3"/>
        <s v="1.4"/>
        <s v="1.5"/>
        <n v="2"/>
        <s v="2.1"/>
        <s v="2.2"/>
        <s v="2.3.1"/>
        <s v="2.3.2"/>
        <s v="2.3.3"/>
        <s v="2.3.4"/>
        <s v="2.4"/>
        <n v="3"/>
        <s v="3.1"/>
        <s v="3.1.1"/>
        <s v="3.1.2"/>
        <s v="3.2"/>
        <s v="3.2.1"/>
        <s v="3.2.2"/>
        <n v="4"/>
        <s v="4.1"/>
        <s v="4.1.2"/>
        <s v="4.1.3"/>
        <s v="4.1.4"/>
        <s v="4.2"/>
        <s v="4.2.1"/>
        <s v="4.2.2"/>
        <s v="4.2.3"/>
        <s v="4.2.4"/>
        <n v="5"/>
        <s v="5.0"/>
        <s v="5.1"/>
        <s v="5.2"/>
        <s v="5.3"/>
        <n v="6"/>
        <s v="6.1"/>
        <s v="6.2"/>
        <s v="6.3"/>
        <n v="7"/>
        <s v="7.1"/>
        <s v="7.2"/>
        <s v="7.3"/>
        <n v="8"/>
        <s v="8.1"/>
        <s v="8.2"/>
        <s v="8.3"/>
        <n v="9"/>
        <s v="9.1"/>
        <s v="9.2"/>
        <s v="9.3"/>
        <n v="10"/>
        <s v="10.1"/>
        <s v="10.2"/>
        <s v="10.3"/>
      </sharedItems>
    </cacheField>
    <cacheField name="Etapas – Atividades - " numFmtId="0">
      <sharedItems count="55">
        <s v="Iniciação"/>
        <s v="Definir E Criar O Cronograma"/>
        <s v="Identificar As Principais Funcionalidades E Recursos A Serem Incluídos"/>
        <s v="Plano De Respostas E  Riscos"/>
        <s v="Plano De Qualidade"/>
        <s v="Apresentação Dos Planos"/>
        <s v="Acordos"/>
        <s v="Permissões E Restrições"/>
        <s v="Definir Os Requisitos Detalhados Do Site(Escopo)"/>
        <s v="Pesquisa De Viabilidade"/>
        <s v="Pesquisa Com Consumidores"/>
        <s v="Avaliação De Custos"/>
        <s v="Relatorio De Viabilidade"/>
        <s v="Revisão Do Project Charter"/>
        <s v="Design E Prototipagem"/>
        <s v="Design Ui "/>
        <s v="Navegação Simples Entre As Funcionalidades"/>
        <s v="Criar Protótipos Interativos Para Validar O Fluxo De Usuário"/>
        <s v="Design Ux"/>
        <s v="Interface Limpa E Intuitiva"/>
        <s v="Teste De Ui / Ux"/>
        <s v="Desenvolvimento"/>
        <s v="Desenvolver A Arquitetura Do Site"/>
        <s v="Desenvolver O Código  Front-End"/>
        <s v="Desenvolver O Código  Back-End"/>
        <s v="Criar O Banco De Dados"/>
        <s v="Desenvolver Principais Módulos"/>
        <s v="Módulo De Cadastro De Currículo"/>
        <s v="Desenvolver O Gerador De Match"/>
        <s v="Desenvolver O Cadastro De Vagas "/>
        <s v="Integração De Apis"/>
        <s v="Integração Com Sistemas De Vagas De Empregos"/>
        <s v="Integração Com Diversos Sistemas De Vagas De Empregos "/>
        <s v="Integração Com Sistemas De Monitoramento "/>
        <s v="Garantir A Segurança E Privacidade De Cada Usuarios "/>
        <s v="Testar A Integração E Sincronização De Dados"/>
        <s v="Testes"/>
        <s v="Realizar Testes De Qualidade E Desempenho"/>
        <s v="Testar A Usabilidade Do Site Com Usuários Reais"/>
        <s v="Indentificar E Corrigir Bugs E Problemas De Interface"/>
        <s v="Lançamento (Stakeholders Internos)"/>
        <s v="Realizar Campanhas De Mídia Social E Anúncios Online"/>
        <s v="Criar Materiais De Marketing Digital Para Aumentar A Visibilidade Do Site"/>
        <s v="Submeter O Site Para Revisão Dos Usuários "/>
        <s v="Pós-Lançamento (Stakeholders Internos)"/>
        <s v="Coletar Insights Do Grupo De Teste E Analisar Métricas De Engajamento Do Produto."/>
        <s v="Implementar Ciclos De Atualização Para Integração De Novas Features E Otimização Do Sistema."/>
        <s v="Prestar Suporte Técnico Para Garantir A Resolução De Incidentes E O Sucesso Do Usuário."/>
        <s v="Marketing E Divulgação - Para O Mercado "/>
        <s v="Criar Estratégias De Marketing Digital Para Aumentar A Visibilidade Do Site"/>
        <s v="Colaborar Com Empresas "/>
        <s v="Avaliação E Aperfeiçoamento"/>
        <s v="Realizar Análise Regular Sobre O Desempenho Do Site"/>
        <s v="Coletar Feedback E Implementação De Melhorias "/>
        <s v="Adaptação De Mercado "/>
      </sharedItems>
    </cacheField>
    <cacheField name="Dependência" numFmtId="0">
      <sharedItems containsBlank="1" containsMixedTypes="1" containsNumber="1" containsInteger="1" minValue="0" maxValue="0" count="43">
        <m/>
        <n v="0"/>
        <s v="1.1"/>
        <s v="1.2"/>
        <s v="1.3"/>
        <s v="1.4"/>
        <s v="1.1;1.2;1.3"/>
        <s v="1.3;1.4"/>
        <s v="1.3;1.4;1.5"/>
        <s v="1.2;2.1"/>
        <s v="2.3.1;2.3.2;2.3.3"/>
        <s v="1.1;1.2;1.3;2.2;2.3.1;2.3.2"/>
        <s v="2.2;2.3.2;2.3.3"/>
        <s v="1.2;3.1"/>
        <s v="1.2;3.1.;2.3.2 "/>
        <s v="3.1;3.1.1"/>
        <s v="3.1;3.2"/>
        <s v="3.1;3.1.1;3.1.2;3.2;3.2.1"/>
        <s v="3.2.2"/>
        <s v="3.2.2;4.1"/>
        <s v="4.1;4.1.2"/>
        <s v="4.1;4.1.3"/>
        <s v="4.1;4.1.3;4.2"/>
        <s v="4.1;4.1.3;4.1.4;4.2.1"/>
        <s v="4.1.3;4.1.4"/>
        <s v="4.2.4"/>
        <s v="4.1.4;4.2.2;4.2.3"/>
        <s v="4.1.2;4.1;3;4.2.1;4.2.3"/>
        <s v="4.1.4;4.2.4;5.0;5.1"/>
        <s v="5.3"/>
        <s v="4.1;4.1.2;4.1.3;4.1.4;4.2.4"/>
        <s v="5.3;6.1;6.2"/>
        <s v="1.2;1.5"/>
        <s v="7.1"/>
        <s v="4.1.2;4.1;3;4.1.4;4.2.1;4.2.2;4.2.3;4.2.4;5.0;5.1;5.2;5.3"/>
        <s v="7.3"/>
        <s v="8.1"/>
        <s v="8.2"/>
        <s v="7.2"/>
        <s v="9.1"/>
        <s v="4.1.2;4.1;3;4.1.4;4.2.1;4.2.2;4.2.3;4.2.4;5.0;5.1;5.2;5.3;7.3"/>
        <s v="7.3;8.1;8.2;8.3"/>
        <s v="10.1"/>
      </sharedItems>
    </cacheField>
    <cacheField name="Data inicio " numFmtId="0">
      <sharedItems containsNonDate="0" containsDate="1" containsString="0" containsBlank="1" minDate="2026-02-02T00:00:00" maxDate="2026-05-27T00:00:00"/>
    </cacheField>
    <cacheField name="Data termino " numFmtId="0">
      <sharedItems containsNonDate="0" containsDate="1" containsString="0" containsBlank="1" minDate="2026-02-04T00:00:00" maxDate="2026-06-05T00:00:00"/>
    </cacheField>
    <cacheField name="Duração" numFmtId="0">
      <sharedItems containsString="0" containsBlank="1" containsNumber="1" containsInteger="1" minValue="1" maxValue="12"/>
    </cacheField>
    <cacheField name="Responsável" numFmtId="0">
      <sharedItems containsBlank="1" count="9">
        <m/>
        <s v="GERENTE DE PROJETO"/>
        <s v="DESIGN"/>
        <s v="DESENVOLVIMENTO"/>
        <s v="SEGURANÇA"/>
        <s v="QUALIDADE"/>
        <s v="EQUIPE TÉCNICA"/>
        <s v="Marketing"/>
        <s v="DESEMPENHO"/>
      </sharedItems>
    </cacheField>
    <cacheField name="Recursos                                    " numFmtId="0">
      <sharedItems containsBlank="1"/>
    </cacheField>
    <cacheField name="Custos" numFmtId="0">
      <sharedItems containsString="0" containsBlank="1" containsNumber="1" containsInteger="1" minValue="1000" maxValue="365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x v="0"/>
    <x v="0"/>
    <m/>
    <m/>
    <m/>
    <x v="0"/>
    <m/>
    <m/>
  </r>
  <r>
    <x v="1"/>
    <x v="1"/>
    <x v="1"/>
    <d v="2026-02-02T00:00:00"/>
    <d v="2026-02-04T00:00:00"/>
    <n v="2"/>
    <x v="1"/>
    <s v="Gustavo"/>
    <n v="2500"/>
  </r>
  <r>
    <x v="2"/>
    <x v="2"/>
    <x v="2"/>
    <d v="2026-02-05T00:00:00"/>
    <d v="2026-02-08T00:00:00"/>
    <n v="3"/>
    <x v="1"/>
    <s v="Gustavo"/>
    <n v="2000"/>
  </r>
  <r>
    <x v="3"/>
    <x v="3"/>
    <x v="3"/>
    <d v="2026-02-08T00:00:00"/>
    <d v="2026-02-11T00:00:00"/>
    <n v="3"/>
    <x v="1"/>
    <s v="Gustavo"/>
    <n v="3200"/>
  </r>
  <r>
    <x v="4"/>
    <x v="4"/>
    <x v="4"/>
    <d v="2026-02-12T00:00:00"/>
    <d v="2026-02-15T00:00:00"/>
    <n v="3"/>
    <x v="1"/>
    <s v="João"/>
    <n v="3201"/>
  </r>
  <r>
    <x v="5"/>
    <x v="5"/>
    <x v="5"/>
    <d v="2026-02-16T00:00:00"/>
    <d v="2026-02-18T00:00:00"/>
    <n v="2"/>
    <x v="1"/>
    <s v="João"/>
    <n v="3202"/>
  </r>
  <r>
    <x v="6"/>
    <x v="6"/>
    <x v="0"/>
    <m/>
    <m/>
    <m/>
    <x v="0"/>
    <m/>
    <n v="10901"/>
  </r>
  <r>
    <x v="7"/>
    <x v="7"/>
    <x v="6"/>
    <d v="2026-02-16T00:00:00"/>
    <d v="2026-02-19T00:00:00"/>
    <n v="3"/>
    <x v="1"/>
    <s v="Gabriela"/>
    <n v="2000"/>
  </r>
  <r>
    <x v="8"/>
    <x v="8"/>
    <x v="7"/>
    <d v="2026-02-17T00:00:00"/>
    <d v="2026-02-20T00:00:00"/>
    <n v="3"/>
    <x v="1"/>
    <s v="Gabriela"/>
    <n v="2500"/>
  </r>
  <r>
    <x v="9"/>
    <x v="9"/>
    <x v="8"/>
    <d v="2026-02-19T00:00:00"/>
    <d v="2026-02-21T00:00:00"/>
    <n v="2"/>
    <x v="1"/>
    <s v="Gabriela"/>
    <n v="2500"/>
  </r>
  <r>
    <x v="10"/>
    <x v="10"/>
    <x v="9"/>
    <d v="2026-02-20T00:00:00"/>
    <d v="2026-02-25T00:00:00"/>
    <n v="5"/>
    <x v="1"/>
    <s v="Gabriela"/>
    <n v="2500"/>
  </r>
  <r>
    <x v="11"/>
    <x v="11"/>
    <x v="7"/>
    <d v="2026-02-16T00:00:00"/>
    <d v="2026-02-17T00:00:00"/>
    <n v="1"/>
    <x v="1"/>
    <s v="Felipe"/>
    <n v="2500"/>
  </r>
  <r>
    <x v="12"/>
    <x v="12"/>
    <x v="10"/>
    <d v="2026-02-26T00:00:00"/>
    <d v="2026-03-02T00:00:00"/>
    <n v="4"/>
    <x v="1"/>
    <s v="Felipe"/>
    <n v="2500"/>
  </r>
  <r>
    <x v="13"/>
    <x v="13"/>
    <x v="11"/>
    <d v="2026-02-26T00:00:00"/>
    <d v="2026-02-28T00:00:00"/>
    <n v="2"/>
    <x v="1"/>
    <s v="Rayane"/>
    <n v="2502"/>
  </r>
  <r>
    <x v="14"/>
    <x v="14"/>
    <x v="0"/>
    <m/>
    <m/>
    <m/>
    <x v="0"/>
    <m/>
    <n v="7700"/>
  </r>
  <r>
    <x v="15"/>
    <x v="15"/>
    <x v="12"/>
    <d v="2026-02-25T00:00:00"/>
    <d v="2026-02-28T00:00:00"/>
    <n v="3"/>
    <x v="2"/>
    <s v="Marcela"/>
    <n v="2000"/>
  </r>
  <r>
    <x v="16"/>
    <x v="16"/>
    <x v="13"/>
    <d v="2026-02-28T00:00:00"/>
    <d v="2026-03-04T00:00:00"/>
    <n v="4"/>
    <x v="2"/>
    <s v="Marcela"/>
    <n v="2250"/>
  </r>
  <r>
    <x v="17"/>
    <x v="17"/>
    <x v="14"/>
    <d v="2026-03-01T00:00:00"/>
    <d v="2026-03-05T00:00:00"/>
    <n v="4"/>
    <x v="2"/>
    <s v="Marcela"/>
    <n v="2200"/>
  </r>
  <r>
    <x v="18"/>
    <x v="18"/>
    <x v="15"/>
    <d v="2026-03-05T00:00:00"/>
    <d v="2026-03-09T00:00:00"/>
    <n v="4"/>
    <x v="2"/>
    <s v="Leandro"/>
    <n v="2250"/>
  </r>
  <r>
    <x v="19"/>
    <x v="19"/>
    <x v="16"/>
    <d v="2026-03-10T00:00:00"/>
    <d v="2026-03-14T00:00:00"/>
    <n v="4"/>
    <x v="2"/>
    <s v="Leandro"/>
    <n v="2250"/>
  </r>
  <r>
    <x v="20"/>
    <x v="20"/>
    <x v="17"/>
    <d v="2026-03-14T00:00:00"/>
    <d v="2026-03-18T00:00:00"/>
    <n v="4"/>
    <x v="2"/>
    <s v="Leandro"/>
    <n v="2250"/>
  </r>
  <r>
    <x v="21"/>
    <x v="21"/>
    <x v="0"/>
    <m/>
    <m/>
    <m/>
    <x v="0"/>
    <m/>
    <n v="13200"/>
  </r>
  <r>
    <x v="22"/>
    <x v="22"/>
    <x v="18"/>
    <d v="2026-03-19T00:00:00"/>
    <d v="2026-03-24T00:00:00"/>
    <n v="5"/>
    <x v="3"/>
    <s v="Eriane"/>
    <n v="6000"/>
  </r>
  <r>
    <x v="23"/>
    <x v="23"/>
    <x v="19"/>
    <d v="2026-03-24T00:00:00"/>
    <d v="2026-03-30T00:00:00"/>
    <n v="6"/>
    <x v="3"/>
    <s v="Eriane"/>
    <n v="4000"/>
  </r>
  <r>
    <x v="24"/>
    <x v="24"/>
    <x v="20"/>
    <d v="2026-03-31T00:00:00"/>
    <d v="2026-04-06T00:00:00"/>
    <n v="6"/>
    <x v="3"/>
    <s v="Eriane"/>
    <n v="4500"/>
  </r>
  <r>
    <x v="25"/>
    <x v="25"/>
    <x v="21"/>
    <d v="2026-04-07T00:00:00"/>
    <d v="2026-04-12T00:00:00"/>
    <n v="5"/>
    <x v="3"/>
    <s v="Melissa"/>
    <n v="4501"/>
  </r>
  <r>
    <x v="26"/>
    <x v="26"/>
    <x v="21"/>
    <d v="2026-04-07T00:00:00"/>
    <d v="2026-04-11T00:00:00"/>
    <n v="4"/>
    <x v="3"/>
    <s v="Melissa"/>
    <n v="4000"/>
  </r>
  <r>
    <x v="27"/>
    <x v="27"/>
    <x v="22"/>
    <d v="2026-04-12T00:00:00"/>
    <d v="2026-04-14T00:00:00"/>
    <n v="2"/>
    <x v="3"/>
    <s v="Melissa"/>
    <n v="4000"/>
  </r>
  <r>
    <x v="28"/>
    <x v="28"/>
    <x v="23"/>
    <d v="2026-04-15T00:00:00"/>
    <d v="2026-04-18T00:00:00"/>
    <n v="3"/>
    <x v="3"/>
    <s v="Leonardo"/>
    <n v="4000"/>
  </r>
  <r>
    <x v="29"/>
    <x v="29"/>
    <x v="21"/>
    <d v="2026-04-07T00:00:00"/>
    <d v="2026-04-10T00:00:00"/>
    <n v="3"/>
    <x v="3"/>
    <s v="Leonardo"/>
    <n v="5500"/>
  </r>
  <r>
    <x v="30"/>
    <x v="30"/>
    <x v="24"/>
    <d v="2026-04-13T00:00:00"/>
    <d v="2026-04-19T00:00:00"/>
    <n v="6"/>
    <x v="3"/>
    <s v="Leonardo"/>
    <n v="5501"/>
  </r>
  <r>
    <x v="31"/>
    <x v="31"/>
    <x v="0"/>
    <m/>
    <m/>
    <m/>
    <x v="0"/>
    <m/>
    <n v="36501"/>
  </r>
  <r>
    <x v="32"/>
    <x v="32"/>
    <x v="25"/>
    <d v="2026-04-20T00:00:00"/>
    <d v="2026-04-23T00:00:00"/>
    <n v="3"/>
    <x v="4"/>
    <s v="Bianca"/>
    <n v="2999"/>
  </r>
  <r>
    <x v="33"/>
    <x v="33"/>
    <x v="26"/>
    <d v="2026-04-19T00:00:00"/>
    <d v="2026-04-23T00:00:00"/>
    <n v="4"/>
    <x v="4"/>
    <s v="Bianca"/>
    <n v="2500"/>
  </r>
  <r>
    <x v="34"/>
    <x v="34"/>
    <x v="27"/>
    <d v="2026-04-24T00:00:00"/>
    <d v="2026-04-28T00:00:00"/>
    <n v="4"/>
    <x v="4"/>
    <s v="Bianca"/>
    <n v="1000"/>
  </r>
  <r>
    <x v="35"/>
    <x v="35"/>
    <x v="28"/>
    <d v="2026-04-24T00:00:00"/>
    <d v="2026-04-29T00:00:00"/>
    <n v="5"/>
    <x v="4"/>
    <s v="Bianca"/>
    <n v="1000"/>
  </r>
  <r>
    <x v="36"/>
    <x v="36"/>
    <x v="0"/>
    <m/>
    <m/>
    <m/>
    <x v="0"/>
    <m/>
    <m/>
  </r>
  <r>
    <x v="37"/>
    <x v="37"/>
    <x v="29"/>
    <d v="2026-04-30T00:00:00"/>
    <d v="2026-05-05T00:00:00"/>
    <n v="5"/>
    <x v="5"/>
    <s v="Erik"/>
    <n v="7500"/>
  </r>
  <r>
    <x v="38"/>
    <x v="38"/>
    <x v="30"/>
    <d v="2026-04-20T00:00:00"/>
    <d v="2026-04-25T00:00:00"/>
    <n v="5"/>
    <x v="5"/>
    <s v="Erik"/>
    <n v="2600"/>
  </r>
  <r>
    <x v="39"/>
    <x v="39"/>
    <x v="31"/>
    <d v="2026-05-06T00:00:00"/>
    <d v="2026-05-10T00:00:00"/>
    <n v="4"/>
    <x v="5"/>
    <s v="Erik"/>
    <n v="1500"/>
  </r>
  <r>
    <x v="40"/>
    <x v="40"/>
    <x v="0"/>
    <m/>
    <m/>
    <m/>
    <x v="0"/>
    <m/>
    <n v="11600"/>
  </r>
  <r>
    <x v="41"/>
    <x v="41"/>
    <x v="32"/>
    <d v="2026-02-18T00:00:00"/>
    <d v="2026-02-23T00:00:00"/>
    <n v="5"/>
    <x v="6"/>
    <s v="Lucas"/>
    <n v="15700"/>
  </r>
  <r>
    <x v="42"/>
    <x v="42"/>
    <x v="33"/>
    <d v="2026-02-24T00:00:00"/>
    <d v="2026-02-28T00:00:00"/>
    <n v="4"/>
    <x v="6"/>
    <s v="Lucas"/>
    <n v="7500"/>
  </r>
  <r>
    <x v="43"/>
    <x v="43"/>
    <x v="34"/>
    <d v="2026-04-30T00:00:00"/>
    <d v="2026-05-05T00:00:00"/>
    <n v="5"/>
    <x v="6"/>
    <s v="Lucas"/>
    <n v="7501"/>
  </r>
  <r>
    <x v="44"/>
    <x v="44"/>
    <x v="0"/>
    <m/>
    <m/>
    <m/>
    <x v="0"/>
    <m/>
    <n v="30701"/>
  </r>
  <r>
    <x v="45"/>
    <x v="45"/>
    <x v="35"/>
    <d v="2026-05-06T00:00:00"/>
    <d v="2026-05-09T00:00:00"/>
    <n v="3"/>
    <x v="6"/>
    <s v="Kauã"/>
    <n v="5000"/>
  </r>
  <r>
    <x v="46"/>
    <x v="46"/>
    <x v="36"/>
    <d v="2026-05-10T00:00:00"/>
    <d v="2026-05-19T00:00:00"/>
    <n v="9"/>
    <x v="6"/>
    <s v="Kauã"/>
    <n v="4000"/>
  </r>
  <r>
    <x v="47"/>
    <x v="47"/>
    <x v="37"/>
    <d v="2026-05-20T00:00:00"/>
    <d v="2026-05-25T00:00:00"/>
    <n v="5"/>
    <x v="6"/>
    <s v="Kauã"/>
    <n v="2000"/>
  </r>
  <r>
    <x v="48"/>
    <x v="48"/>
    <x v="0"/>
    <m/>
    <m/>
    <m/>
    <x v="0"/>
    <m/>
    <n v="11000"/>
  </r>
  <r>
    <x v="49"/>
    <x v="49"/>
    <x v="38"/>
    <d v="2026-03-01T00:00:00"/>
    <d v="2026-03-06T00:00:00"/>
    <n v="5"/>
    <x v="7"/>
    <s v="Isabela"/>
    <n v="3500"/>
  </r>
  <r>
    <x v="50"/>
    <x v="50"/>
    <x v="39"/>
    <d v="2026-03-07T00:00:00"/>
    <d v="2026-03-12T00:00:00"/>
    <n v="5"/>
    <x v="7"/>
    <s v="Isabela"/>
    <n v="2500"/>
  </r>
  <r>
    <x v="51"/>
    <x v="41"/>
    <x v="39"/>
    <d v="2026-03-13T00:00:00"/>
    <d v="2026-03-25T00:00:00"/>
    <n v="12"/>
    <x v="7"/>
    <s v="Isabela"/>
    <n v="9000"/>
  </r>
  <r>
    <x v="52"/>
    <x v="51"/>
    <x v="0"/>
    <m/>
    <m/>
    <m/>
    <x v="0"/>
    <m/>
    <n v="15000"/>
  </r>
  <r>
    <x v="53"/>
    <x v="52"/>
    <x v="40"/>
    <d v="2026-05-06T00:00:00"/>
    <d v="2026-05-13T00:00:00"/>
    <n v="7"/>
    <x v="8"/>
    <s v="Carlos"/>
    <n v="4000"/>
  </r>
  <r>
    <x v="54"/>
    <x v="53"/>
    <x v="41"/>
    <d v="2026-05-26T00:00:00"/>
    <d v="2026-06-04T00:00:00"/>
    <n v="9"/>
    <x v="8"/>
    <s v="Carlos"/>
    <n v="2600"/>
  </r>
  <r>
    <x v="55"/>
    <x v="54"/>
    <x v="42"/>
    <d v="2026-05-14T00:00:00"/>
    <d v="2026-05-26T00:00:00"/>
    <n v="12"/>
    <x v="8"/>
    <s v="Carlos"/>
    <n v="23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V_dependência" cacheId="7" applyNumberFormats="0" applyBorderFormats="0" applyFontFormats="0" applyPatternFormats="0" applyAlignmentFormats="0" applyWidthHeightFormats="0" dataCaption="" updatedVersion="8" compact="0" compactData="0">
  <location ref="A3:E60" firstHeaderRow="1" firstDataRow="1" firstDataCol="4"/>
  <pivotFields count="9">
    <pivotField name="Ref" axis="axisRow" compact="0" outline="0" multipleItemSelectionAllowed="1" showAll="0" sortType="ascending">
      <items count="57">
        <item x="0"/>
        <item x="6"/>
        <item x="14"/>
        <item x="21"/>
        <item x="31"/>
        <item x="36"/>
        <item x="40"/>
        <item x="44"/>
        <item x="48"/>
        <item x="52"/>
        <item x="1"/>
        <item x="2"/>
        <item x="3"/>
        <item x="4"/>
        <item x="5"/>
        <item x="53"/>
        <item x="54"/>
        <item x="55"/>
        <item x="7"/>
        <item x="8"/>
        <item x="9"/>
        <item x="10"/>
        <item x="11"/>
        <item x="12"/>
        <item x="13"/>
        <item x="15"/>
        <item x="16"/>
        <item x="17"/>
        <item x="18"/>
        <item x="19"/>
        <item x="20"/>
        <item x="22"/>
        <item x="23"/>
        <item x="24"/>
        <item x="25"/>
        <item x="26"/>
        <item x="27"/>
        <item x="28"/>
        <item x="29"/>
        <item x="30"/>
        <item x="32"/>
        <item x="33"/>
        <item x="34"/>
        <item x="35"/>
        <item x="37"/>
        <item x="38"/>
        <item x="39"/>
        <item x="41"/>
        <item x="42"/>
        <item x="43"/>
        <item x="45"/>
        <item x="46"/>
        <item x="47"/>
        <item x="49"/>
        <item x="50"/>
        <item x="51"/>
        <item t="default"/>
      </items>
    </pivotField>
    <pivotField name="Etapas – Atividades - " axis="axisRow" compact="0" outline="0" multipleItemSelectionAllowed="1" showAll="0" sortType="ascending" defaultSubtotal="0">
      <items count="55">
        <item x="6"/>
        <item x="54"/>
        <item x="5"/>
        <item x="11"/>
        <item x="51"/>
        <item x="50"/>
        <item x="53"/>
        <item x="45"/>
        <item x="49"/>
        <item x="42"/>
        <item x="25"/>
        <item x="17"/>
        <item x="1"/>
        <item x="8"/>
        <item x="22"/>
        <item x="29"/>
        <item x="24"/>
        <item x="23"/>
        <item x="28"/>
        <item x="26"/>
        <item x="21"/>
        <item x="14"/>
        <item x="15"/>
        <item x="18"/>
        <item x="34"/>
        <item x="2"/>
        <item x="46"/>
        <item x="39"/>
        <item x="0"/>
        <item x="32"/>
        <item x="33"/>
        <item x="31"/>
        <item x="30"/>
        <item x="19"/>
        <item x="40"/>
        <item x="48"/>
        <item x="27"/>
        <item x="16"/>
        <item x="7"/>
        <item x="10"/>
        <item x="9"/>
        <item x="4"/>
        <item x="3"/>
        <item x="44"/>
        <item x="47"/>
        <item x="52"/>
        <item x="41"/>
        <item x="37"/>
        <item x="12"/>
        <item x="13"/>
        <item x="43"/>
        <item x="35"/>
        <item x="38"/>
        <item x="20"/>
        <item x="36"/>
      </items>
    </pivotField>
    <pivotField name="Dependência" axis="axisRow" compact="0" outline="0" multipleItemSelectionAllowed="1" showAll="0" sortType="ascending" defaultSubtotal="0">
      <items count="43">
        <item x="1"/>
        <item x="2"/>
        <item x="6"/>
        <item x="11"/>
        <item x="3"/>
        <item x="32"/>
        <item x="9"/>
        <item x="13"/>
        <item x="14"/>
        <item x="4"/>
        <item x="7"/>
        <item x="8"/>
        <item x="5"/>
        <item x="42"/>
        <item x="12"/>
        <item x="10"/>
        <item x="15"/>
        <item x="17"/>
        <item x="16"/>
        <item x="18"/>
        <item x="19"/>
        <item x="34"/>
        <item x="40"/>
        <item x="27"/>
        <item x="24"/>
        <item x="26"/>
        <item x="28"/>
        <item x="20"/>
        <item x="30"/>
        <item x="21"/>
        <item x="23"/>
        <item x="22"/>
        <item x="25"/>
        <item x="29"/>
        <item x="31"/>
        <item x="33"/>
        <item x="38"/>
        <item x="35"/>
        <item x="41"/>
        <item x="36"/>
        <item x="37"/>
        <item x="39"/>
        <item x="0"/>
      </items>
    </pivotField>
    <pivotField name="Data inicio " compact="0" outline="0" multipleItemSelectionAllowed="1" showAll="0"/>
    <pivotField name="Data termino " compact="0" outline="0" multipleItemSelectionAllowed="1" showAll="0"/>
    <pivotField name="Duração" compact="0" outline="0" multipleItemSelectionAllowed="1" showAll="0"/>
    <pivotField name="Responsável" axis="axisRow" compact="0" outline="0" multipleItemSelectionAllowed="1" showAll="0" sortType="ascending" defaultSubtotal="0">
      <items count="9">
        <item x="8"/>
        <item x="3"/>
        <item x="2"/>
        <item x="6"/>
        <item x="1"/>
        <item x="7"/>
        <item x="5"/>
        <item x="4"/>
        <item x="0"/>
      </items>
    </pivotField>
    <pivotField name="Recursos                                    " compact="0" outline="0" multipleItemSelectionAllowed="1" showAll="0"/>
    <pivotField name="Custos" dataField="1" compact="0" outline="0" multipleItemSelectionAllowed="1" showAll="0"/>
  </pivotFields>
  <rowFields count="4">
    <field x="2"/>
    <field x="6"/>
    <field x="1"/>
    <field x="0"/>
  </rowFields>
  <rowItems count="57">
    <i>
      <x/>
      <x v="4"/>
      <x v="12"/>
      <x v="10"/>
    </i>
    <i>
      <x v="1"/>
      <x v="4"/>
      <x v="25"/>
      <x v="11"/>
    </i>
    <i>
      <x v="2"/>
      <x v="4"/>
      <x v="38"/>
      <x v="18"/>
    </i>
    <i>
      <x v="3"/>
      <x v="4"/>
      <x v="49"/>
      <x v="24"/>
    </i>
    <i>
      <x v="4"/>
      <x v="4"/>
      <x v="42"/>
      <x v="12"/>
    </i>
    <i>
      <x v="5"/>
      <x v="3"/>
      <x v="46"/>
      <x v="47"/>
    </i>
    <i>
      <x v="6"/>
      <x v="4"/>
      <x v="39"/>
      <x v="21"/>
    </i>
    <i>
      <x v="7"/>
      <x v="2"/>
      <x v="37"/>
      <x v="26"/>
    </i>
    <i>
      <x v="8"/>
      <x v="2"/>
      <x v="11"/>
      <x v="27"/>
    </i>
    <i>
      <x v="9"/>
      <x v="4"/>
      <x v="41"/>
      <x v="13"/>
    </i>
    <i>
      <x v="10"/>
      <x v="4"/>
      <x v="3"/>
      <x v="22"/>
    </i>
    <i r="2">
      <x v="13"/>
      <x v="19"/>
    </i>
    <i>
      <x v="11"/>
      <x v="4"/>
      <x v="40"/>
      <x v="20"/>
    </i>
    <i>
      <x v="12"/>
      <x v="4"/>
      <x v="2"/>
      <x v="14"/>
    </i>
    <i>
      <x v="13"/>
      <x/>
      <x v="1"/>
      <x v="17"/>
    </i>
    <i>
      <x v="14"/>
      <x v="2"/>
      <x v="22"/>
      <x v="25"/>
    </i>
    <i>
      <x v="15"/>
      <x v="4"/>
      <x v="48"/>
      <x v="23"/>
    </i>
    <i>
      <x v="16"/>
      <x v="2"/>
      <x v="23"/>
      <x v="28"/>
    </i>
    <i>
      <x v="17"/>
      <x v="2"/>
      <x v="53"/>
      <x v="30"/>
    </i>
    <i>
      <x v="18"/>
      <x v="2"/>
      <x v="33"/>
      <x v="29"/>
    </i>
    <i>
      <x v="19"/>
      <x v="1"/>
      <x v="14"/>
      <x v="31"/>
    </i>
    <i>
      <x v="20"/>
      <x v="1"/>
      <x v="17"/>
      <x v="32"/>
    </i>
    <i>
      <x v="21"/>
      <x v="3"/>
      <x v="50"/>
      <x v="49"/>
    </i>
    <i>
      <x v="22"/>
      <x/>
      <x v="45"/>
      <x v="15"/>
    </i>
    <i>
      <x v="23"/>
      <x v="7"/>
      <x v="24"/>
      <x v="42"/>
    </i>
    <i>
      <x v="24"/>
      <x v="1"/>
      <x v="32"/>
      <x v="39"/>
    </i>
    <i>
      <x v="25"/>
      <x v="7"/>
      <x v="30"/>
      <x v="41"/>
    </i>
    <i>
      <x v="26"/>
      <x v="7"/>
      <x v="51"/>
      <x v="43"/>
    </i>
    <i>
      <x v="27"/>
      <x v="1"/>
      <x v="16"/>
      <x v="33"/>
    </i>
    <i>
      <x v="28"/>
      <x v="6"/>
      <x v="52"/>
      <x v="45"/>
    </i>
    <i>
      <x v="29"/>
      <x v="1"/>
      <x v="10"/>
      <x v="34"/>
    </i>
    <i r="2">
      <x v="15"/>
      <x v="38"/>
    </i>
    <i r="2">
      <x v="19"/>
      <x v="35"/>
    </i>
    <i>
      <x v="30"/>
      <x v="1"/>
      <x v="18"/>
      <x v="37"/>
    </i>
    <i>
      <x v="31"/>
      <x v="1"/>
      <x v="36"/>
      <x v="36"/>
    </i>
    <i>
      <x v="32"/>
      <x v="7"/>
      <x v="29"/>
      <x v="40"/>
    </i>
    <i>
      <x v="33"/>
      <x v="6"/>
      <x v="47"/>
      <x v="44"/>
    </i>
    <i>
      <x v="34"/>
      <x v="6"/>
      <x v="27"/>
      <x v="46"/>
    </i>
    <i>
      <x v="35"/>
      <x v="3"/>
      <x v="9"/>
      <x v="48"/>
    </i>
    <i>
      <x v="36"/>
      <x v="5"/>
      <x v="8"/>
      <x v="53"/>
    </i>
    <i>
      <x v="37"/>
      <x v="3"/>
      <x v="7"/>
      <x v="50"/>
    </i>
    <i>
      <x v="38"/>
      <x/>
      <x v="6"/>
      <x v="16"/>
    </i>
    <i>
      <x v="39"/>
      <x v="3"/>
      <x v="26"/>
      <x v="51"/>
    </i>
    <i>
      <x v="40"/>
      <x v="3"/>
      <x v="44"/>
      <x v="52"/>
    </i>
    <i>
      <x v="41"/>
      <x v="5"/>
      <x v="5"/>
      <x v="54"/>
    </i>
    <i r="2">
      <x v="46"/>
      <x v="55"/>
    </i>
    <i>
      <x v="42"/>
      <x v="8"/>
      <x/>
      <x v="1"/>
    </i>
    <i r="2">
      <x v="4"/>
      <x v="9"/>
    </i>
    <i r="2">
      <x v="20"/>
      <x v="3"/>
    </i>
    <i r="2">
      <x v="21"/>
      <x v="2"/>
    </i>
    <i r="2">
      <x v="28"/>
      <x/>
    </i>
    <i r="2">
      <x v="31"/>
      <x v="4"/>
    </i>
    <i r="2">
      <x v="34"/>
      <x v="6"/>
    </i>
    <i r="2">
      <x v="35"/>
      <x v="8"/>
    </i>
    <i r="2">
      <x v="43"/>
      <x v="7"/>
    </i>
    <i r="2">
      <x v="54"/>
      <x v="5"/>
    </i>
    <i t="grand">
      <x/>
    </i>
  </rowItems>
  <colItems count="1">
    <i/>
  </colItems>
  <dataFields count="1">
    <dataField name="Soma de Custos" fld="8"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2A1C7"/>
  </sheetPr>
  <dimension ref="A1:G1000"/>
  <sheetViews>
    <sheetView showGridLines="0" workbookViewId="0"/>
  </sheetViews>
  <sheetFormatPr defaultColWidth="12.5703125" defaultRowHeight="15" customHeight="1" x14ac:dyDescent="0.2"/>
  <cols>
    <col min="1" max="1" width="180.28515625" customWidth="1"/>
    <col min="2" max="26" width="8.5703125" customWidth="1"/>
  </cols>
  <sheetData>
    <row r="1" spans="1:7" ht="39.75" customHeight="1" x14ac:dyDescent="0.2">
      <c r="A1" s="1"/>
      <c r="B1" s="1"/>
      <c r="C1" s="1"/>
      <c r="D1" s="1"/>
      <c r="E1" s="1"/>
      <c r="F1" s="1"/>
      <c r="G1" s="1"/>
    </row>
    <row r="2" spans="1:7" ht="39.75" customHeight="1" x14ac:dyDescent="0.2">
      <c r="A2" s="2"/>
      <c r="B2" s="1"/>
      <c r="C2" s="1"/>
      <c r="D2" s="1"/>
      <c r="E2" s="1"/>
      <c r="F2" s="1"/>
      <c r="G2" s="1"/>
    </row>
    <row r="3" spans="1:7" ht="39.75" customHeight="1" x14ac:dyDescent="0.2">
      <c r="A3" s="3" t="s">
        <v>0</v>
      </c>
      <c r="B3" s="1"/>
      <c r="C3" s="1"/>
      <c r="D3" s="1"/>
      <c r="E3" s="1"/>
      <c r="F3" s="1"/>
      <c r="G3" s="1"/>
    </row>
    <row r="4" spans="1:7" ht="39.75" customHeight="1" x14ac:dyDescent="0.2">
      <c r="A4" s="2"/>
      <c r="B4" s="1"/>
      <c r="C4" s="1"/>
      <c r="D4" s="1"/>
      <c r="E4" s="1"/>
      <c r="F4" s="1"/>
      <c r="G4" s="1"/>
    </row>
    <row r="5" spans="1:7" ht="39.75" customHeight="1" x14ac:dyDescent="0.2">
      <c r="A5" s="2"/>
      <c r="B5" s="1"/>
      <c r="C5" s="1"/>
      <c r="D5" s="1"/>
      <c r="E5" s="1"/>
      <c r="F5" s="1"/>
      <c r="G5" s="1"/>
    </row>
    <row r="6" spans="1:7" ht="39.75" customHeight="1" x14ac:dyDescent="0.2">
      <c r="A6" s="2"/>
      <c r="B6" s="1"/>
      <c r="C6" s="1"/>
      <c r="D6" s="1"/>
      <c r="E6" s="1"/>
      <c r="F6" s="1"/>
      <c r="G6" s="1"/>
    </row>
    <row r="7" spans="1:7" ht="39.75" customHeight="1" x14ac:dyDescent="0.2">
      <c r="A7" s="2"/>
      <c r="B7" s="1"/>
      <c r="C7" s="1"/>
      <c r="D7" s="1"/>
      <c r="E7" s="1"/>
      <c r="F7" s="1"/>
      <c r="G7" s="1"/>
    </row>
    <row r="8" spans="1:7" ht="39.75" customHeight="1" x14ac:dyDescent="0.2">
      <c r="A8" s="2"/>
      <c r="B8" s="1"/>
      <c r="C8" s="1"/>
      <c r="D8" s="1"/>
      <c r="E8" s="1"/>
      <c r="F8" s="1"/>
      <c r="G8" s="1"/>
    </row>
    <row r="9" spans="1:7" ht="39.75" customHeight="1" x14ac:dyDescent="0.2">
      <c r="A9" s="2"/>
      <c r="B9" s="1"/>
      <c r="C9" s="1"/>
      <c r="D9" s="1"/>
      <c r="E9" s="1"/>
      <c r="F9" s="1"/>
      <c r="G9" s="1"/>
    </row>
    <row r="10" spans="1:7" ht="39.75" customHeight="1" x14ac:dyDescent="0.2">
      <c r="A10" s="2"/>
      <c r="B10" s="1"/>
      <c r="C10" s="1"/>
      <c r="D10" s="1"/>
      <c r="E10" s="1"/>
      <c r="F10" s="1"/>
      <c r="G10" s="1"/>
    </row>
    <row r="11" spans="1:7" ht="39.75" customHeight="1" x14ac:dyDescent="0.2">
      <c r="A11" s="3" t="s">
        <v>1</v>
      </c>
      <c r="B11" s="1"/>
      <c r="C11" s="1"/>
      <c r="D11" s="1"/>
      <c r="E11" s="1"/>
      <c r="F11" s="1"/>
      <c r="G11" s="1"/>
    </row>
    <row r="12" spans="1:7" ht="39.75" customHeight="1" x14ac:dyDescent="0.2">
      <c r="A12" s="2"/>
      <c r="B12" s="1"/>
      <c r="C12" s="1"/>
      <c r="D12" s="1"/>
      <c r="E12" s="1"/>
      <c r="F12" s="1"/>
      <c r="G12" s="1"/>
    </row>
    <row r="13" spans="1:7" ht="39.75" customHeight="1" x14ac:dyDescent="0.2">
      <c r="A13" s="2"/>
      <c r="B13" s="1"/>
      <c r="C13" s="1"/>
      <c r="D13" s="1"/>
      <c r="E13" s="1"/>
      <c r="F13" s="1"/>
      <c r="G13" s="1"/>
    </row>
    <row r="14" spans="1:7" ht="39.75" customHeight="1" x14ac:dyDescent="0.2">
      <c r="A14" s="2"/>
      <c r="B14" s="1"/>
      <c r="C14" s="1"/>
      <c r="D14" s="1"/>
      <c r="E14" s="1"/>
      <c r="F14" s="1"/>
      <c r="G14" s="1"/>
    </row>
    <row r="15" spans="1:7" ht="39.75" customHeight="1" x14ac:dyDescent="0.2">
      <c r="A15" s="3" t="s">
        <v>2</v>
      </c>
      <c r="B15" s="1"/>
      <c r="C15" s="1"/>
      <c r="D15" s="1"/>
      <c r="E15" s="1"/>
      <c r="F15" s="1"/>
      <c r="G15" s="1"/>
    </row>
    <row r="16" spans="1:7" ht="39.75" customHeight="1" x14ac:dyDescent="0.2">
      <c r="A16" s="2"/>
      <c r="B16" s="1"/>
      <c r="C16" s="1"/>
      <c r="D16" s="1"/>
      <c r="E16" s="1"/>
      <c r="F16" s="1"/>
      <c r="G16" s="1"/>
    </row>
    <row r="17" spans="1:7" ht="39.75" customHeight="1" x14ac:dyDescent="0.2">
      <c r="A17" s="3" t="s">
        <v>3</v>
      </c>
      <c r="B17" s="1"/>
      <c r="C17" s="1"/>
      <c r="D17" s="1"/>
      <c r="E17" s="1"/>
      <c r="F17" s="1"/>
      <c r="G17" s="1"/>
    </row>
    <row r="18" spans="1:7" ht="39.75" customHeight="1" x14ac:dyDescent="0.2">
      <c r="A18" s="4" t="s">
        <v>4</v>
      </c>
      <c r="B18" s="1"/>
      <c r="C18" s="1"/>
      <c r="D18" s="1"/>
      <c r="E18" s="1"/>
      <c r="F18" s="1"/>
      <c r="G18" s="1"/>
    </row>
    <row r="19" spans="1:7" ht="39.75" customHeight="1" x14ac:dyDescent="0.2">
      <c r="A19" s="4" t="s">
        <v>5</v>
      </c>
      <c r="B19" s="1"/>
      <c r="C19" s="1"/>
      <c r="D19" s="1"/>
      <c r="E19" s="1"/>
      <c r="F19" s="1"/>
      <c r="G19" s="1"/>
    </row>
    <row r="20" spans="1:7" ht="39.75" customHeight="1" x14ac:dyDescent="0.2">
      <c r="A20" s="4" t="s">
        <v>6</v>
      </c>
      <c r="B20" s="1"/>
      <c r="C20" s="1"/>
      <c r="D20" s="1"/>
      <c r="E20" s="1"/>
      <c r="F20" s="1"/>
      <c r="G20" s="1"/>
    </row>
    <row r="21" spans="1:7" ht="39.75" customHeight="1" x14ac:dyDescent="0.2">
      <c r="A21" s="4" t="s">
        <v>7</v>
      </c>
      <c r="B21" s="1"/>
      <c r="C21" s="1"/>
      <c r="D21" s="1"/>
      <c r="E21" s="1"/>
      <c r="F21" s="1"/>
      <c r="G21" s="1"/>
    </row>
    <row r="22" spans="1:7" ht="39.75" customHeight="1" x14ac:dyDescent="0.2">
      <c r="A22" s="4" t="s">
        <v>8</v>
      </c>
      <c r="B22" s="1"/>
      <c r="C22" s="1"/>
      <c r="D22" s="1"/>
      <c r="E22" s="1"/>
      <c r="F22" s="1"/>
      <c r="G22" s="1"/>
    </row>
    <row r="23" spans="1:7" ht="39.75" customHeight="1" x14ac:dyDescent="0.2">
      <c r="A23" s="2"/>
      <c r="B23" s="1"/>
      <c r="C23" s="1"/>
      <c r="D23" s="1"/>
      <c r="E23" s="1"/>
      <c r="F23" s="1"/>
      <c r="G23" s="1"/>
    </row>
    <row r="24" spans="1:7" ht="39.75" customHeight="1" x14ac:dyDescent="0.2">
      <c r="A24" s="2"/>
      <c r="B24" s="1"/>
      <c r="C24" s="1"/>
      <c r="D24" s="1"/>
      <c r="E24" s="1"/>
      <c r="F24" s="1"/>
      <c r="G24" s="1"/>
    </row>
    <row r="25" spans="1:7" ht="39.75" customHeight="1" x14ac:dyDescent="0.2">
      <c r="A25" s="2"/>
      <c r="B25" s="1"/>
      <c r="C25" s="1"/>
      <c r="D25" s="1"/>
      <c r="E25" s="1"/>
      <c r="F25" s="1"/>
      <c r="G25" s="1"/>
    </row>
    <row r="26" spans="1:7" ht="39.75" customHeight="1" x14ac:dyDescent="0.2">
      <c r="A26" s="2"/>
      <c r="B26" s="1"/>
      <c r="C26" s="1"/>
      <c r="D26" s="1"/>
      <c r="E26" s="1"/>
      <c r="F26" s="1"/>
      <c r="G26" s="1"/>
    </row>
    <row r="27" spans="1:7" ht="39.75" customHeight="1" x14ac:dyDescent="0.2">
      <c r="A27" s="2"/>
      <c r="B27" s="1"/>
      <c r="C27" s="1"/>
      <c r="D27" s="1"/>
      <c r="E27" s="1"/>
      <c r="F27" s="1"/>
      <c r="G27" s="1"/>
    </row>
    <row r="28" spans="1:7" ht="39.75" customHeight="1" x14ac:dyDescent="0.2">
      <c r="A28" s="2"/>
      <c r="B28" s="1"/>
      <c r="C28" s="1"/>
      <c r="D28" s="1"/>
      <c r="E28" s="1"/>
      <c r="F28" s="1"/>
      <c r="G28" s="1"/>
    </row>
    <row r="29" spans="1:7" ht="39.75" customHeight="1" x14ac:dyDescent="0.2">
      <c r="A29" s="2"/>
      <c r="B29" s="1"/>
      <c r="C29" s="1"/>
      <c r="D29" s="1"/>
      <c r="E29" s="1"/>
      <c r="F29" s="1"/>
      <c r="G29" s="1"/>
    </row>
    <row r="30" spans="1:7" ht="39.75" customHeight="1" x14ac:dyDescent="0.2">
      <c r="A30" s="2"/>
      <c r="B30" s="1"/>
      <c r="C30" s="1"/>
      <c r="D30" s="1"/>
      <c r="E30" s="1"/>
      <c r="F30" s="1"/>
      <c r="G30" s="1"/>
    </row>
    <row r="31" spans="1:7" ht="39.75" customHeight="1" x14ac:dyDescent="0.2">
      <c r="A31" s="2"/>
      <c r="B31" s="1"/>
      <c r="C31" s="1"/>
      <c r="D31" s="1"/>
      <c r="E31" s="1"/>
      <c r="F31" s="1"/>
      <c r="G31" s="1"/>
    </row>
    <row r="32" spans="1:7" ht="39.75" customHeight="1" x14ac:dyDescent="0.2">
      <c r="A32" s="2"/>
      <c r="B32" s="1"/>
      <c r="C32" s="1"/>
      <c r="D32" s="1"/>
      <c r="E32" s="1"/>
      <c r="F32" s="1"/>
      <c r="G32" s="1"/>
    </row>
    <row r="33" spans="1:7" ht="39.75" customHeight="1" x14ac:dyDescent="0.2">
      <c r="A33" s="4" t="s">
        <v>9</v>
      </c>
      <c r="B33" s="1"/>
      <c r="C33" s="1"/>
      <c r="D33" s="1"/>
      <c r="E33" s="1"/>
      <c r="F33" s="1"/>
      <c r="G33" s="1"/>
    </row>
    <row r="34" spans="1:7" ht="39.75" customHeight="1" x14ac:dyDescent="0.2">
      <c r="A34" s="2"/>
      <c r="B34" s="1"/>
      <c r="C34" s="1"/>
      <c r="D34" s="1"/>
      <c r="E34" s="1"/>
      <c r="F34" s="1"/>
      <c r="G34" s="1"/>
    </row>
    <row r="35" spans="1:7" ht="39.75" customHeight="1" x14ac:dyDescent="0.2">
      <c r="A35" s="5" t="s">
        <v>10</v>
      </c>
      <c r="B35" s="1"/>
      <c r="C35" s="1"/>
      <c r="D35" s="1"/>
      <c r="E35" s="1"/>
      <c r="F35" s="1"/>
      <c r="G35" s="1"/>
    </row>
    <row r="36" spans="1:7" ht="39.75" customHeight="1" x14ac:dyDescent="0.2">
      <c r="A36" s="4" t="s">
        <v>11</v>
      </c>
      <c r="B36" s="1"/>
      <c r="C36" s="1"/>
      <c r="D36" s="1"/>
      <c r="E36" s="1"/>
      <c r="F36" s="1"/>
      <c r="G36" s="1"/>
    </row>
    <row r="37" spans="1:7" ht="39.75" customHeight="1" x14ac:dyDescent="0.2">
      <c r="A37" s="4" t="s">
        <v>12</v>
      </c>
      <c r="B37" s="1"/>
      <c r="C37" s="1"/>
      <c r="D37" s="1"/>
      <c r="E37" s="1"/>
      <c r="F37" s="1"/>
      <c r="G37" s="1"/>
    </row>
    <row r="38" spans="1:7" ht="39.75" customHeight="1" x14ac:dyDescent="0.2">
      <c r="A38" s="4"/>
      <c r="B38" s="1"/>
      <c r="C38" s="1"/>
      <c r="D38" s="1"/>
      <c r="E38" s="1"/>
      <c r="F38" s="1"/>
      <c r="G38" s="1"/>
    </row>
    <row r="39" spans="1:7" ht="39.75" customHeight="1" x14ac:dyDescent="0.2">
      <c r="A39" s="4" t="s">
        <v>13</v>
      </c>
      <c r="B39" s="1"/>
      <c r="C39" s="1"/>
      <c r="D39" s="1"/>
      <c r="E39" s="1"/>
      <c r="F39" s="1"/>
      <c r="G39" s="1"/>
    </row>
    <row r="40" spans="1:7" ht="39.75" customHeight="1" x14ac:dyDescent="0.2">
      <c r="A40" s="4"/>
      <c r="B40" s="1"/>
      <c r="C40" s="1"/>
      <c r="D40" s="1"/>
      <c r="E40" s="1"/>
      <c r="F40" s="1"/>
      <c r="G40" s="1"/>
    </row>
    <row r="41" spans="1:7" ht="39.75" customHeight="1" x14ac:dyDescent="0.2">
      <c r="A41" s="4" t="s">
        <v>14</v>
      </c>
      <c r="B41" s="1"/>
      <c r="C41" s="1"/>
      <c r="D41" s="1"/>
      <c r="E41" s="1"/>
      <c r="F41" s="1"/>
      <c r="G41" s="1"/>
    </row>
    <row r="42" spans="1:7" ht="39.75" customHeight="1" x14ac:dyDescent="0.2">
      <c r="A42" s="4"/>
      <c r="B42" s="1"/>
      <c r="C42" s="1"/>
      <c r="D42" s="1"/>
      <c r="E42" s="1"/>
      <c r="F42" s="1"/>
      <c r="G42" s="1"/>
    </row>
    <row r="43" spans="1:7" ht="39.75" customHeight="1" x14ac:dyDescent="0.2">
      <c r="A43" s="5" t="s">
        <v>15</v>
      </c>
      <c r="B43" s="1"/>
      <c r="C43" s="1"/>
      <c r="D43" s="1"/>
      <c r="E43" s="1"/>
      <c r="F43" s="1"/>
      <c r="G43" s="1"/>
    </row>
    <row r="44" spans="1:7" ht="39.75" customHeight="1" x14ac:dyDescent="0.2">
      <c r="A44" s="4" t="s">
        <v>16</v>
      </c>
      <c r="B44" s="1"/>
      <c r="C44" s="1"/>
      <c r="D44" s="1"/>
      <c r="E44" s="1"/>
      <c r="F44" s="1"/>
      <c r="G44" s="1"/>
    </row>
    <row r="45" spans="1:7" ht="39.75" customHeight="1" x14ac:dyDescent="0.2">
      <c r="A45" s="4"/>
      <c r="B45" s="1"/>
      <c r="C45" s="1"/>
      <c r="D45" s="1"/>
      <c r="E45" s="1"/>
      <c r="F45" s="1"/>
      <c r="G45" s="1"/>
    </row>
    <row r="46" spans="1:7" ht="39.75" customHeight="1" x14ac:dyDescent="0.2">
      <c r="A46" s="4" t="s">
        <v>17</v>
      </c>
      <c r="B46" s="1"/>
      <c r="C46" s="1"/>
      <c r="D46" s="1"/>
      <c r="E46" s="1"/>
      <c r="F46" s="1"/>
      <c r="G46" s="1"/>
    </row>
    <row r="47" spans="1:7" ht="39.75" customHeight="1" x14ac:dyDescent="0.2">
      <c r="A47" s="4"/>
      <c r="B47" s="1"/>
      <c r="C47" s="1"/>
      <c r="D47" s="1"/>
      <c r="E47" s="1"/>
      <c r="F47" s="1"/>
      <c r="G47" s="1"/>
    </row>
    <row r="48" spans="1:7" ht="39.75" customHeight="1" x14ac:dyDescent="0.2">
      <c r="A48" s="4" t="s">
        <v>18</v>
      </c>
      <c r="B48" s="1"/>
      <c r="C48" s="1"/>
      <c r="D48" s="1"/>
      <c r="E48" s="1"/>
      <c r="F48" s="1"/>
      <c r="G48" s="1"/>
    </row>
    <row r="49" spans="1:7" ht="39.75" customHeight="1" x14ac:dyDescent="0.2">
      <c r="A49" s="4"/>
      <c r="B49" s="1"/>
      <c r="C49" s="1"/>
      <c r="D49" s="1"/>
      <c r="E49" s="1"/>
      <c r="F49" s="1"/>
      <c r="G49" s="1"/>
    </row>
    <row r="50" spans="1:7" ht="39.75" customHeight="1" x14ac:dyDescent="0.2">
      <c r="A50" s="4" t="s">
        <v>19</v>
      </c>
      <c r="B50" s="1"/>
      <c r="C50" s="1"/>
      <c r="D50" s="1"/>
      <c r="E50" s="1"/>
      <c r="F50" s="1"/>
      <c r="G50" s="1"/>
    </row>
    <row r="51" spans="1:7" ht="39.75" customHeight="1" x14ac:dyDescent="0.2">
      <c r="A51" s="4"/>
      <c r="B51" s="1"/>
      <c r="C51" s="1"/>
      <c r="D51" s="1"/>
      <c r="E51" s="1"/>
      <c r="F51" s="1"/>
      <c r="G51" s="1"/>
    </row>
    <row r="52" spans="1:7" ht="39.75" customHeight="1" x14ac:dyDescent="0.2">
      <c r="A52" s="4" t="s">
        <v>20</v>
      </c>
      <c r="B52" s="1"/>
      <c r="C52" s="1"/>
      <c r="D52" s="1"/>
      <c r="E52" s="1"/>
      <c r="F52" s="1"/>
      <c r="G52" s="1"/>
    </row>
    <row r="53" spans="1:7" ht="39.75" customHeight="1" x14ac:dyDescent="0.2">
      <c r="A53" s="4"/>
      <c r="B53" s="1"/>
      <c r="C53" s="1"/>
      <c r="D53" s="1"/>
      <c r="E53" s="1"/>
      <c r="F53" s="1"/>
      <c r="G53" s="1"/>
    </row>
    <row r="54" spans="1:7" ht="39.75" customHeight="1" x14ac:dyDescent="0.2">
      <c r="A54" s="3" t="s">
        <v>21</v>
      </c>
      <c r="B54" s="1"/>
      <c r="C54" s="1"/>
      <c r="D54" s="1"/>
      <c r="E54" s="1"/>
      <c r="F54" s="1"/>
      <c r="G54" s="1"/>
    </row>
    <row r="55" spans="1:7" ht="39.75" customHeight="1" x14ac:dyDescent="0.2">
      <c r="A55" s="4"/>
      <c r="B55" s="1"/>
      <c r="C55" s="1"/>
      <c r="D55" s="1"/>
      <c r="E55" s="1"/>
      <c r="F55" s="1"/>
      <c r="G55" s="1"/>
    </row>
    <row r="56" spans="1:7" ht="39.75" customHeight="1" x14ac:dyDescent="0.2">
      <c r="A56" s="4" t="s">
        <v>22</v>
      </c>
      <c r="B56" s="1"/>
      <c r="C56" s="1"/>
      <c r="D56" s="1"/>
      <c r="E56" s="1"/>
      <c r="F56" s="1"/>
      <c r="G56" s="1"/>
    </row>
    <row r="57" spans="1:7" ht="39.75" customHeight="1" x14ac:dyDescent="0.2">
      <c r="A57" s="4" t="s">
        <v>23</v>
      </c>
      <c r="B57" s="1"/>
      <c r="C57" s="1"/>
      <c r="D57" s="1"/>
      <c r="E57" s="1"/>
      <c r="F57" s="1"/>
      <c r="G57" s="1"/>
    </row>
    <row r="58" spans="1:7" ht="39.75" customHeight="1" x14ac:dyDescent="0.2">
      <c r="A58" s="4"/>
      <c r="B58" s="1"/>
      <c r="C58" s="1"/>
      <c r="D58" s="1"/>
      <c r="E58" s="1"/>
      <c r="F58" s="1"/>
      <c r="G58" s="1"/>
    </row>
    <row r="59" spans="1:7" ht="39.75" customHeight="1" x14ac:dyDescent="0.2">
      <c r="A59" s="4" t="s">
        <v>24</v>
      </c>
      <c r="B59" s="1"/>
      <c r="C59" s="1"/>
      <c r="D59" s="1"/>
      <c r="E59" s="1"/>
      <c r="F59" s="1"/>
      <c r="G59" s="1"/>
    </row>
    <row r="60" spans="1:7" ht="39.75" customHeight="1" x14ac:dyDescent="0.2">
      <c r="A60" s="4" t="s">
        <v>25</v>
      </c>
      <c r="B60" s="1"/>
      <c r="C60" s="1"/>
      <c r="D60" s="1"/>
      <c r="E60" s="1"/>
      <c r="F60" s="1"/>
      <c r="G60" s="1"/>
    </row>
    <row r="61" spans="1:7" ht="39.75" customHeight="1" x14ac:dyDescent="0.2">
      <c r="A61" s="4"/>
      <c r="B61" s="1"/>
      <c r="C61" s="1"/>
      <c r="D61" s="1"/>
      <c r="E61" s="1"/>
      <c r="F61" s="1"/>
      <c r="G61" s="1"/>
    </row>
    <row r="62" spans="1:7" ht="39.75" customHeight="1" x14ac:dyDescent="0.2">
      <c r="A62" s="4" t="s">
        <v>26</v>
      </c>
      <c r="B62" s="1"/>
      <c r="C62" s="1"/>
      <c r="D62" s="1"/>
      <c r="E62" s="1"/>
      <c r="F62" s="1"/>
      <c r="G62" s="1"/>
    </row>
    <row r="63" spans="1:7" ht="39.75" customHeight="1" x14ac:dyDescent="0.2">
      <c r="A63" s="4" t="s">
        <v>27</v>
      </c>
      <c r="B63" s="1"/>
      <c r="C63" s="1"/>
      <c r="D63" s="1"/>
      <c r="E63" s="1"/>
      <c r="F63" s="1"/>
      <c r="G63" s="1"/>
    </row>
    <row r="64" spans="1:7" ht="39.75" customHeight="1" x14ac:dyDescent="0.2">
      <c r="A64" s="4"/>
      <c r="B64" s="1"/>
      <c r="C64" s="1"/>
      <c r="D64" s="1"/>
      <c r="E64" s="1"/>
      <c r="F64" s="1"/>
      <c r="G64" s="1"/>
    </row>
    <row r="65" spans="1:7" ht="39.75" customHeight="1" x14ac:dyDescent="0.2">
      <c r="A65" s="4" t="s">
        <v>28</v>
      </c>
      <c r="B65" s="1"/>
      <c r="C65" s="1"/>
      <c r="D65" s="1"/>
      <c r="E65" s="1"/>
      <c r="F65" s="1"/>
      <c r="G65" s="1"/>
    </row>
    <row r="66" spans="1:7" ht="39.75" customHeight="1" x14ac:dyDescent="0.2">
      <c r="A66" s="4" t="s">
        <v>29</v>
      </c>
      <c r="B66" s="1"/>
      <c r="C66" s="1"/>
      <c r="D66" s="1"/>
      <c r="E66" s="1"/>
      <c r="F66" s="1"/>
      <c r="G66" s="1"/>
    </row>
    <row r="67" spans="1:7" ht="39.75" customHeight="1" x14ac:dyDescent="0.2">
      <c r="A67" s="4"/>
      <c r="B67" s="1"/>
      <c r="C67" s="1"/>
      <c r="D67" s="1"/>
      <c r="E67" s="1"/>
      <c r="F67" s="1"/>
      <c r="G67" s="1"/>
    </row>
    <row r="68" spans="1:7" ht="39.75" customHeight="1" x14ac:dyDescent="0.2">
      <c r="A68" s="3" t="s">
        <v>30</v>
      </c>
      <c r="B68" s="1"/>
      <c r="C68" s="1"/>
      <c r="D68" s="1"/>
      <c r="E68" s="1"/>
      <c r="F68" s="1"/>
      <c r="G68" s="1"/>
    </row>
    <row r="69" spans="1:7" ht="39.75" customHeight="1" x14ac:dyDescent="0.2">
      <c r="A69" s="4"/>
      <c r="B69" s="1"/>
      <c r="C69" s="1"/>
      <c r="D69" s="1"/>
      <c r="E69" s="1"/>
      <c r="F69" s="1"/>
      <c r="G69" s="1"/>
    </row>
    <row r="70" spans="1:7" ht="39.75" customHeight="1" x14ac:dyDescent="0.2">
      <c r="A70" s="4" t="s">
        <v>31</v>
      </c>
      <c r="B70" s="1"/>
      <c r="C70" s="1"/>
      <c r="D70" s="1"/>
      <c r="E70" s="1"/>
      <c r="F70" s="1"/>
      <c r="G70" s="1"/>
    </row>
    <row r="71" spans="1:7" ht="39.75" customHeight="1" x14ac:dyDescent="0.2">
      <c r="A71" s="4"/>
      <c r="B71" s="1"/>
      <c r="C71" s="1"/>
      <c r="D71" s="1"/>
      <c r="E71" s="1"/>
      <c r="F71" s="1"/>
      <c r="G71" s="1"/>
    </row>
    <row r="72" spans="1:7" ht="39.75" customHeight="1" x14ac:dyDescent="0.2">
      <c r="A72" s="5" t="s">
        <v>32</v>
      </c>
      <c r="B72" s="1"/>
      <c r="C72" s="1"/>
      <c r="D72" s="1"/>
      <c r="E72" s="1"/>
      <c r="F72" s="1"/>
      <c r="G72" s="1"/>
    </row>
    <row r="73" spans="1:7" ht="39.75" customHeight="1" x14ac:dyDescent="0.2">
      <c r="A73" s="3" t="s">
        <v>33</v>
      </c>
      <c r="B73" s="1"/>
      <c r="C73" s="1"/>
      <c r="D73" s="1"/>
      <c r="E73" s="1"/>
      <c r="F73" s="1"/>
      <c r="G73" s="1"/>
    </row>
    <row r="74" spans="1:7" ht="39.75" customHeight="1" x14ac:dyDescent="0.2">
      <c r="A74" s="4"/>
      <c r="B74" s="1"/>
      <c r="C74" s="1"/>
      <c r="D74" s="1"/>
      <c r="E74" s="1"/>
      <c r="F74" s="1"/>
      <c r="G74" s="1"/>
    </row>
    <row r="75" spans="1:7" ht="39.75" customHeight="1" x14ac:dyDescent="0.2">
      <c r="A75" s="4" t="s">
        <v>34</v>
      </c>
      <c r="B75" s="1"/>
      <c r="C75" s="1"/>
      <c r="D75" s="1"/>
      <c r="E75" s="1"/>
      <c r="F75" s="1"/>
      <c r="G75" s="1"/>
    </row>
    <row r="76" spans="1:7" ht="39.75" customHeight="1" x14ac:dyDescent="0.2">
      <c r="A76" s="4"/>
      <c r="B76" s="1"/>
      <c r="C76" s="1"/>
      <c r="D76" s="1"/>
      <c r="E76" s="1"/>
      <c r="F76" s="1"/>
      <c r="G76" s="1"/>
    </row>
    <row r="77" spans="1:7" ht="39.75" customHeight="1" x14ac:dyDescent="0.2">
      <c r="A77" s="3" t="s">
        <v>35</v>
      </c>
      <c r="B77" s="1"/>
      <c r="C77" s="1"/>
      <c r="D77" s="1"/>
      <c r="E77" s="1"/>
      <c r="F77" s="1"/>
      <c r="G77" s="1"/>
    </row>
    <row r="78" spans="1:7" ht="39.75" customHeight="1" x14ac:dyDescent="0.2">
      <c r="A78" s="4"/>
      <c r="B78" s="1"/>
      <c r="C78" s="1"/>
      <c r="D78" s="1"/>
      <c r="E78" s="1"/>
      <c r="F78" s="1"/>
      <c r="G78" s="1"/>
    </row>
    <row r="79" spans="1:7" ht="39.75" customHeight="1" x14ac:dyDescent="0.2">
      <c r="A79" s="4" t="s">
        <v>36</v>
      </c>
      <c r="B79" s="1"/>
      <c r="C79" s="1"/>
      <c r="D79" s="1"/>
      <c r="E79" s="1"/>
      <c r="F79" s="1"/>
      <c r="G79" s="1"/>
    </row>
    <row r="80" spans="1:7" ht="39.75" customHeight="1" x14ac:dyDescent="0.2">
      <c r="A80" s="4" t="s">
        <v>37</v>
      </c>
      <c r="B80" s="1"/>
      <c r="C80" s="1"/>
      <c r="D80" s="1"/>
      <c r="E80" s="1"/>
      <c r="F80" s="1"/>
      <c r="G80" s="1"/>
    </row>
    <row r="81" spans="1:7" ht="39.75" customHeight="1" x14ac:dyDescent="0.2">
      <c r="A81" s="4" t="s">
        <v>38</v>
      </c>
      <c r="B81" s="1"/>
      <c r="C81" s="1"/>
      <c r="D81" s="1"/>
      <c r="E81" s="1"/>
      <c r="F81" s="1"/>
      <c r="G81" s="1"/>
    </row>
    <row r="82" spans="1:7" ht="39.75" customHeight="1" x14ac:dyDescent="0.2">
      <c r="A82" s="4" t="s">
        <v>39</v>
      </c>
      <c r="B82" s="1"/>
      <c r="C82" s="1"/>
      <c r="D82" s="1"/>
      <c r="E82" s="1"/>
      <c r="F82" s="1"/>
      <c r="G82" s="1"/>
    </row>
    <row r="83" spans="1:7" ht="39.75" customHeight="1" x14ac:dyDescent="0.2">
      <c r="A83" s="4" t="s">
        <v>40</v>
      </c>
      <c r="B83" s="1"/>
      <c r="C83" s="1"/>
      <c r="D83" s="1"/>
      <c r="E83" s="1"/>
      <c r="F83" s="1"/>
      <c r="G83" s="1"/>
    </row>
    <row r="84" spans="1:7" ht="39.75" customHeight="1" x14ac:dyDescent="0.2">
      <c r="A84" s="4" t="s">
        <v>41</v>
      </c>
      <c r="B84" s="1"/>
      <c r="C84" s="1"/>
      <c r="D84" s="1"/>
      <c r="E84" s="1"/>
      <c r="F84" s="1"/>
      <c r="G84" s="1"/>
    </row>
    <row r="85" spans="1:7" ht="39.75" customHeight="1" x14ac:dyDescent="0.2">
      <c r="A85" s="4"/>
      <c r="B85" s="1"/>
      <c r="C85" s="1"/>
      <c r="D85" s="1"/>
      <c r="E85" s="1"/>
      <c r="F85" s="1"/>
      <c r="G85" s="1"/>
    </row>
    <row r="86" spans="1:7" ht="39.75" customHeight="1" x14ac:dyDescent="0.2">
      <c r="A86" s="3" t="s">
        <v>42</v>
      </c>
      <c r="B86" s="1"/>
      <c r="C86" s="1"/>
      <c r="D86" s="1"/>
      <c r="E86" s="1"/>
      <c r="F86" s="1"/>
      <c r="G86" s="1"/>
    </row>
    <row r="87" spans="1:7" ht="39.75" customHeight="1" x14ac:dyDescent="0.2">
      <c r="A87" s="4"/>
      <c r="B87" s="1"/>
      <c r="C87" s="1"/>
      <c r="D87" s="1"/>
      <c r="E87" s="1"/>
      <c r="F87" s="1"/>
      <c r="G87" s="1"/>
    </row>
    <row r="88" spans="1:7" ht="61.5" customHeight="1" x14ac:dyDescent="0.2">
      <c r="A88" s="4" t="s">
        <v>43</v>
      </c>
      <c r="B88" s="1"/>
      <c r="C88" s="1"/>
      <c r="D88" s="1"/>
      <c r="E88" s="1"/>
      <c r="F88" s="1"/>
      <c r="G88" s="1"/>
    </row>
    <row r="89" spans="1:7" ht="39.75" customHeight="1" x14ac:dyDescent="0.2">
      <c r="A89" s="4"/>
      <c r="B89" s="1"/>
      <c r="C89" s="1"/>
      <c r="D89" s="1"/>
      <c r="E89" s="1"/>
      <c r="F89" s="1"/>
      <c r="G89" s="1"/>
    </row>
    <row r="90" spans="1:7" ht="39.75" customHeight="1" x14ac:dyDescent="0.2">
      <c r="A90" s="3" t="s">
        <v>44</v>
      </c>
      <c r="B90" s="1"/>
      <c r="C90" s="1"/>
      <c r="D90" s="1"/>
      <c r="E90" s="1"/>
      <c r="F90" s="1"/>
      <c r="G90" s="1"/>
    </row>
    <row r="91" spans="1:7" ht="39.75" customHeight="1" x14ac:dyDescent="0.2">
      <c r="A91" s="4"/>
      <c r="B91" s="1"/>
      <c r="C91" s="1"/>
      <c r="D91" s="1"/>
      <c r="E91" s="1"/>
      <c r="F91" s="1"/>
      <c r="G91" s="1"/>
    </row>
    <row r="92" spans="1:7" ht="39.75" customHeight="1" x14ac:dyDescent="0.2">
      <c r="A92" s="4" t="s">
        <v>45</v>
      </c>
      <c r="B92" s="1"/>
      <c r="C92" s="1"/>
      <c r="D92" s="1"/>
      <c r="E92" s="1"/>
      <c r="F92" s="1"/>
      <c r="G92" s="1"/>
    </row>
    <row r="93" spans="1:7" ht="39.75" customHeight="1" x14ac:dyDescent="0.2">
      <c r="A93" s="4" t="s">
        <v>46</v>
      </c>
      <c r="B93" s="1"/>
      <c r="C93" s="1"/>
      <c r="D93" s="1"/>
      <c r="E93" s="1"/>
      <c r="F93" s="1"/>
      <c r="G93" s="1"/>
    </row>
    <row r="94" spans="1:7" ht="39.75" customHeight="1" x14ac:dyDescent="0.2">
      <c r="A94" s="4" t="s">
        <v>47</v>
      </c>
      <c r="B94" s="1"/>
      <c r="C94" s="1"/>
      <c r="D94" s="1"/>
      <c r="E94" s="1"/>
      <c r="F94" s="1"/>
      <c r="G94" s="1"/>
    </row>
    <row r="95" spans="1:7" ht="39.75" customHeight="1" x14ac:dyDescent="0.2">
      <c r="A95" s="4" t="s">
        <v>48</v>
      </c>
      <c r="B95" s="1"/>
      <c r="C95" s="1"/>
      <c r="D95" s="1"/>
      <c r="E95" s="1"/>
      <c r="F95" s="1"/>
      <c r="G95" s="1"/>
    </row>
    <row r="96" spans="1:7" ht="39.75" customHeight="1" x14ac:dyDescent="0.2">
      <c r="A96" s="4" t="s">
        <v>49</v>
      </c>
      <c r="B96" s="1"/>
      <c r="C96" s="1"/>
      <c r="D96" s="1"/>
      <c r="E96" s="1"/>
      <c r="F96" s="1"/>
      <c r="G96" s="1"/>
    </row>
    <row r="97" spans="1:7" ht="39.75" customHeight="1" x14ac:dyDescent="0.2">
      <c r="A97" s="4"/>
      <c r="B97" s="1"/>
      <c r="C97" s="1"/>
      <c r="D97" s="1"/>
      <c r="E97" s="1"/>
      <c r="F97" s="1"/>
      <c r="G97" s="1"/>
    </row>
    <row r="98" spans="1:7" ht="39.75" customHeight="1" x14ac:dyDescent="0.2">
      <c r="A98" s="3" t="s">
        <v>50</v>
      </c>
      <c r="B98" s="1"/>
      <c r="C98" s="1"/>
      <c r="D98" s="1"/>
      <c r="E98" s="1"/>
      <c r="F98" s="1"/>
      <c r="G98" s="1"/>
    </row>
    <row r="99" spans="1:7" ht="39.75" customHeight="1" x14ac:dyDescent="0.2">
      <c r="A99" s="4"/>
      <c r="B99" s="1"/>
      <c r="C99" s="1"/>
      <c r="D99" s="1"/>
      <c r="E99" s="1"/>
      <c r="F99" s="1"/>
      <c r="G99" s="1"/>
    </row>
    <row r="100" spans="1:7" ht="39.75" customHeight="1" x14ac:dyDescent="0.2">
      <c r="A100" s="6">
        <v>120000</v>
      </c>
      <c r="B100" s="1"/>
      <c r="C100" s="1"/>
      <c r="D100" s="1"/>
      <c r="E100" s="1"/>
      <c r="F100" s="1"/>
      <c r="G100" s="1"/>
    </row>
    <row r="101" spans="1:7" ht="39.75" customHeight="1" x14ac:dyDescent="0.2">
      <c r="A101" s="4"/>
      <c r="B101" s="1"/>
      <c r="C101" s="1"/>
      <c r="D101" s="1"/>
      <c r="E101" s="1"/>
      <c r="F101" s="1"/>
      <c r="G101" s="1"/>
    </row>
    <row r="102" spans="1:7" ht="39.75" customHeight="1" x14ac:dyDescent="0.2">
      <c r="A102" s="3" t="s">
        <v>51</v>
      </c>
      <c r="B102" s="1"/>
      <c r="C102" s="1"/>
      <c r="D102" s="1"/>
      <c r="E102" s="1"/>
      <c r="F102" s="1"/>
      <c r="G102" s="1"/>
    </row>
    <row r="103" spans="1:7" ht="39.75" customHeight="1" x14ac:dyDescent="0.2">
      <c r="A103" s="3" t="s">
        <v>52</v>
      </c>
      <c r="B103" s="1"/>
      <c r="C103" s="1"/>
      <c r="D103" s="1"/>
      <c r="E103" s="1"/>
      <c r="F103" s="1"/>
      <c r="G103" s="1"/>
    </row>
    <row r="104" spans="1:7" ht="39.75" customHeight="1" x14ac:dyDescent="0.2">
      <c r="A104" s="3" t="s">
        <v>53</v>
      </c>
      <c r="B104" s="1"/>
      <c r="C104" s="1"/>
      <c r="D104" s="1"/>
      <c r="E104" s="1"/>
      <c r="F104" s="1"/>
      <c r="G104" s="1"/>
    </row>
    <row r="105" spans="1:7" ht="39.75" customHeight="1" x14ac:dyDescent="0.2">
      <c r="A105" s="3" t="s">
        <v>54</v>
      </c>
      <c r="B105" s="1"/>
      <c r="C105" s="1"/>
      <c r="D105" s="1"/>
      <c r="E105" s="1"/>
      <c r="F105" s="1"/>
      <c r="G105" s="1"/>
    </row>
    <row r="106" spans="1:7" ht="39.75" customHeight="1" x14ac:dyDescent="0.2">
      <c r="A106" s="4"/>
      <c r="B106" s="1"/>
      <c r="C106" s="1"/>
      <c r="D106" s="1"/>
      <c r="E106" s="1"/>
      <c r="F106" s="1"/>
      <c r="G106" s="1"/>
    </row>
    <row r="107" spans="1:7" ht="39.75" customHeight="1" x14ac:dyDescent="0.2">
      <c r="A107" s="3" t="s">
        <v>55</v>
      </c>
      <c r="B107" s="1"/>
      <c r="C107" s="1"/>
      <c r="D107" s="1"/>
      <c r="E107" s="1"/>
      <c r="F107" s="1"/>
      <c r="G107" s="1"/>
    </row>
    <row r="108" spans="1:7" ht="39.75" customHeight="1" x14ac:dyDescent="0.2">
      <c r="A108" s="4"/>
      <c r="B108" s="1"/>
      <c r="C108" s="1"/>
      <c r="D108" s="1"/>
      <c r="E108" s="1"/>
      <c r="F108" s="1"/>
      <c r="G108" s="1"/>
    </row>
    <row r="109" spans="1:7" ht="84.75" customHeight="1" x14ac:dyDescent="0.2">
      <c r="A109" s="4" t="s">
        <v>56</v>
      </c>
      <c r="B109" s="1"/>
      <c r="C109" s="1"/>
      <c r="D109" s="1"/>
      <c r="E109" s="1"/>
      <c r="F109" s="1"/>
      <c r="G109" s="1"/>
    </row>
    <row r="110" spans="1:7" ht="39.75" customHeight="1" x14ac:dyDescent="0.2">
      <c r="A110" s="4"/>
      <c r="B110" s="1"/>
      <c r="C110" s="1"/>
      <c r="D110" s="1"/>
      <c r="E110" s="1"/>
      <c r="F110" s="1"/>
      <c r="G110" s="1"/>
    </row>
    <row r="111" spans="1:7" ht="39.75" customHeight="1" x14ac:dyDescent="0.2">
      <c r="A111" s="3" t="s">
        <v>57</v>
      </c>
      <c r="B111" s="1"/>
      <c r="C111" s="1"/>
      <c r="D111" s="1"/>
      <c r="E111" s="1"/>
      <c r="F111" s="1"/>
      <c r="G111" s="1"/>
    </row>
    <row r="112" spans="1:7" ht="39.75" customHeight="1" x14ac:dyDescent="0.2">
      <c r="A112" s="4"/>
      <c r="B112" s="1"/>
      <c r="C112" s="1"/>
      <c r="D112" s="1"/>
      <c r="E112" s="1"/>
      <c r="F112" s="1"/>
      <c r="G112" s="1"/>
    </row>
    <row r="113" spans="1:7" ht="39.75" customHeight="1" x14ac:dyDescent="0.2">
      <c r="A113" s="4" t="s">
        <v>58</v>
      </c>
      <c r="B113" s="1"/>
      <c r="C113" s="1"/>
      <c r="D113" s="1"/>
      <c r="E113" s="1"/>
      <c r="F113" s="1"/>
      <c r="G113" s="1"/>
    </row>
    <row r="114" spans="1:7" ht="39.75" customHeight="1" x14ac:dyDescent="0.2">
      <c r="A114" s="4" t="s">
        <v>59</v>
      </c>
      <c r="B114" s="1"/>
      <c r="C114" s="1"/>
      <c r="D114" s="1"/>
      <c r="E114" s="1"/>
      <c r="F114" s="1"/>
      <c r="G114" s="1"/>
    </row>
    <row r="115" spans="1:7" ht="39.75" customHeight="1" x14ac:dyDescent="0.2">
      <c r="A115" s="4" t="s">
        <v>60</v>
      </c>
      <c r="B115" s="1"/>
      <c r="C115" s="1"/>
      <c r="D115" s="1"/>
      <c r="E115" s="1"/>
      <c r="F115" s="1"/>
      <c r="G115" s="1"/>
    </row>
    <row r="116" spans="1:7" ht="39.75" customHeight="1" x14ac:dyDescent="0.2">
      <c r="A116" s="4" t="s">
        <v>61</v>
      </c>
      <c r="B116" s="1"/>
      <c r="C116" s="1"/>
      <c r="D116" s="1"/>
      <c r="E116" s="1"/>
      <c r="F116" s="1"/>
      <c r="G116" s="1"/>
    </row>
    <row r="117" spans="1:7" ht="39.75" customHeight="1" x14ac:dyDescent="0.2">
      <c r="A117" s="4" t="s">
        <v>62</v>
      </c>
      <c r="B117" s="1"/>
      <c r="C117" s="1"/>
      <c r="D117" s="1"/>
      <c r="E117" s="1"/>
      <c r="F117" s="1"/>
      <c r="G117" s="1"/>
    </row>
    <row r="118" spans="1:7" ht="39.75" customHeight="1" x14ac:dyDescent="0.2">
      <c r="A118" s="4" t="s">
        <v>63</v>
      </c>
      <c r="B118" s="1"/>
      <c r="C118" s="1"/>
      <c r="D118" s="1"/>
      <c r="E118" s="1"/>
      <c r="F118" s="1"/>
      <c r="G118" s="1"/>
    </row>
    <row r="119" spans="1:7" ht="39.75" customHeight="1" x14ac:dyDescent="0.2">
      <c r="A119" s="4" t="s">
        <v>64</v>
      </c>
      <c r="B119" s="1"/>
      <c r="C119" s="1"/>
      <c r="D119" s="1"/>
      <c r="E119" s="1"/>
      <c r="F119" s="1"/>
      <c r="G119" s="1"/>
    </row>
    <row r="120" spans="1:7" ht="39.75" customHeight="1" x14ac:dyDescent="0.2">
      <c r="A120" s="4" t="s">
        <v>65</v>
      </c>
      <c r="B120" s="1"/>
      <c r="C120" s="1"/>
      <c r="D120" s="1"/>
      <c r="E120" s="1"/>
      <c r="F120" s="1"/>
      <c r="G120" s="1"/>
    </row>
    <row r="121" spans="1:7" ht="39.75" customHeight="1" x14ac:dyDescent="0.2">
      <c r="A121" s="4" t="s">
        <v>66</v>
      </c>
      <c r="B121" s="1"/>
      <c r="C121" s="1"/>
      <c r="D121" s="1"/>
      <c r="E121" s="1"/>
      <c r="F121" s="1"/>
      <c r="G121" s="1"/>
    </row>
    <row r="122" spans="1:7" ht="39.75" customHeight="1" x14ac:dyDescent="0.2">
      <c r="A122" s="4" t="s">
        <v>67</v>
      </c>
      <c r="B122" s="1"/>
      <c r="C122" s="1"/>
      <c r="D122" s="1"/>
      <c r="E122" s="1"/>
      <c r="F122" s="1"/>
      <c r="G122" s="1"/>
    </row>
    <row r="123" spans="1:7" ht="39.75" customHeight="1" x14ac:dyDescent="0.2">
      <c r="A123" s="4"/>
      <c r="B123" s="1"/>
      <c r="C123" s="1"/>
      <c r="D123" s="1"/>
      <c r="E123" s="1"/>
      <c r="F123" s="1"/>
      <c r="G123" s="1"/>
    </row>
    <row r="124" spans="1:7" ht="39.75" customHeight="1" x14ac:dyDescent="0.2">
      <c r="A124" s="3" t="s">
        <v>68</v>
      </c>
      <c r="B124" s="1"/>
      <c r="C124" s="1"/>
      <c r="D124" s="1"/>
      <c r="E124" s="1"/>
      <c r="F124" s="1"/>
      <c r="G124" s="1"/>
    </row>
    <row r="125" spans="1:7" ht="39.75" customHeight="1" x14ac:dyDescent="0.2">
      <c r="A125" s="4" t="s">
        <v>69</v>
      </c>
      <c r="B125" s="1"/>
      <c r="C125" s="1"/>
      <c r="D125" s="1"/>
      <c r="E125" s="1"/>
      <c r="F125" s="1"/>
      <c r="G125" s="1"/>
    </row>
    <row r="126" spans="1:7" ht="39.75" customHeight="1" x14ac:dyDescent="0.2">
      <c r="A126" s="4" t="s">
        <v>70</v>
      </c>
      <c r="B126" s="1"/>
      <c r="C126" s="1"/>
      <c r="D126" s="1"/>
      <c r="E126" s="1"/>
      <c r="F126" s="1"/>
      <c r="G126" s="1"/>
    </row>
    <row r="127" spans="1:7" ht="39.75" customHeight="1" x14ac:dyDescent="0.2">
      <c r="A127" s="4" t="s">
        <v>71</v>
      </c>
      <c r="B127" s="1"/>
      <c r="C127" s="1"/>
      <c r="D127" s="1"/>
      <c r="E127" s="1"/>
      <c r="F127" s="1"/>
      <c r="G127" s="1"/>
    </row>
    <row r="128" spans="1:7" ht="39.75" customHeight="1" x14ac:dyDescent="0.2">
      <c r="A128" s="4" t="s">
        <v>72</v>
      </c>
      <c r="B128" s="1"/>
      <c r="C128" s="1"/>
      <c r="D128" s="1"/>
      <c r="E128" s="1"/>
      <c r="F128" s="1"/>
      <c r="G128" s="1"/>
    </row>
    <row r="129" spans="1:7" ht="39.75" customHeight="1" x14ac:dyDescent="0.2">
      <c r="A129" s="4"/>
      <c r="B129" s="1"/>
      <c r="C129" s="1"/>
      <c r="D129" s="1"/>
      <c r="E129" s="1"/>
      <c r="F129" s="1"/>
      <c r="G129" s="1"/>
    </row>
    <row r="130" spans="1:7" ht="39.75" customHeight="1" x14ac:dyDescent="0.2">
      <c r="A130" s="3" t="s">
        <v>73</v>
      </c>
      <c r="B130" s="1"/>
      <c r="C130" s="1"/>
      <c r="D130" s="1"/>
      <c r="E130" s="1"/>
      <c r="F130" s="1"/>
      <c r="G130" s="1"/>
    </row>
    <row r="131" spans="1:7" ht="39.75" customHeight="1" x14ac:dyDescent="0.2">
      <c r="A131" s="4"/>
      <c r="B131" s="1"/>
      <c r="C131" s="1"/>
      <c r="D131" s="1"/>
      <c r="E131" s="1"/>
      <c r="F131" s="1"/>
      <c r="G131" s="1"/>
    </row>
    <row r="132" spans="1:7" ht="39.75" customHeight="1" x14ac:dyDescent="0.2">
      <c r="A132" s="4" t="s">
        <v>74</v>
      </c>
      <c r="B132" s="1"/>
      <c r="C132" s="1"/>
      <c r="D132" s="1"/>
      <c r="E132" s="1"/>
      <c r="F132" s="1"/>
      <c r="G132" s="1"/>
    </row>
    <row r="133" spans="1:7" ht="39.75" customHeight="1" x14ac:dyDescent="0.2">
      <c r="A133" s="4" t="s">
        <v>75</v>
      </c>
      <c r="B133" s="1"/>
      <c r="C133" s="1"/>
      <c r="D133" s="1"/>
      <c r="E133" s="1"/>
      <c r="F133" s="1"/>
      <c r="G133" s="1"/>
    </row>
    <row r="134" spans="1:7" ht="39.75" customHeight="1" x14ac:dyDescent="0.2">
      <c r="A134" s="4" t="s">
        <v>76</v>
      </c>
      <c r="B134" s="1"/>
      <c r="C134" s="1"/>
      <c r="D134" s="1"/>
      <c r="E134" s="1"/>
      <c r="F134" s="1"/>
      <c r="G134" s="1"/>
    </row>
    <row r="135" spans="1:7" ht="39.75" customHeight="1" x14ac:dyDescent="0.2">
      <c r="A135" s="4" t="s">
        <v>77</v>
      </c>
      <c r="B135" s="1"/>
      <c r="C135" s="1"/>
      <c r="D135" s="1"/>
      <c r="E135" s="1"/>
      <c r="F135" s="1"/>
      <c r="G135" s="1"/>
    </row>
    <row r="136" spans="1:7" ht="39.75" customHeight="1" x14ac:dyDescent="0.2">
      <c r="A136" s="4"/>
      <c r="B136" s="1"/>
      <c r="C136" s="1"/>
      <c r="D136" s="1"/>
      <c r="E136" s="1"/>
      <c r="F136" s="1"/>
      <c r="G136" s="1"/>
    </row>
    <row r="137" spans="1:7" ht="39.75" customHeight="1" x14ac:dyDescent="0.2">
      <c r="A137" s="4"/>
      <c r="B137" s="1"/>
      <c r="C137" s="1"/>
      <c r="D137" s="1"/>
      <c r="E137" s="1"/>
      <c r="F137" s="1"/>
      <c r="G137" s="1"/>
    </row>
    <row r="138" spans="1:7" ht="39.75" customHeight="1" x14ac:dyDescent="0.2">
      <c r="A138" s="3" t="s">
        <v>78</v>
      </c>
      <c r="B138" s="1"/>
      <c r="C138" s="1"/>
      <c r="D138" s="1"/>
      <c r="E138" s="1"/>
      <c r="F138" s="1"/>
      <c r="G138" s="1"/>
    </row>
    <row r="139" spans="1:7" ht="39.75" customHeight="1" x14ac:dyDescent="0.2">
      <c r="A139" s="4"/>
      <c r="B139" s="1"/>
      <c r="C139" s="1"/>
      <c r="D139" s="1"/>
      <c r="E139" s="1"/>
      <c r="F139" s="1"/>
      <c r="G139" s="1"/>
    </row>
    <row r="140" spans="1:7" ht="39.75" customHeight="1" x14ac:dyDescent="0.2">
      <c r="A140" s="4" t="s">
        <v>79</v>
      </c>
      <c r="B140" s="1"/>
      <c r="C140" s="1"/>
      <c r="D140" s="1"/>
      <c r="E140" s="1"/>
      <c r="F140" s="1"/>
      <c r="G140" s="1"/>
    </row>
    <row r="141" spans="1:7" ht="39.75" customHeight="1" x14ac:dyDescent="0.2">
      <c r="A141" s="4" t="s">
        <v>80</v>
      </c>
      <c r="B141" s="1"/>
      <c r="C141" s="1"/>
      <c r="D141" s="1"/>
      <c r="E141" s="1"/>
      <c r="F141" s="1"/>
      <c r="G141" s="1"/>
    </row>
    <row r="142" spans="1:7" ht="39.75" customHeight="1" x14ac:dyDescent="0.2">
      <c r="A142" s="4" t="s">
        <v>81</v>
      </c>
      <c r="B142" s="1"/>
      <c r="C142" s="1"/>
      <c r="D142" s="1"/>
      <c r="E142" s="1"/>
      <c r="F142" s="1"/>
      <c r="G142" s="1"/>
    </row>
    <row r="143" spans="1:7" ht="39.75" customHeight="1" x14ac:dyDescent="0.2">
      <c r="A143" s="4" t="s">
        <v>82</v>
      </c>
      <c r="B143" s="1"/>
      <c r="C143" s="1"/>
      <c r="D143" s="1"/>
      <c r="E143" s="1"/>
      <c r="F143" s="1"/>
      <c r="G143" s="1"/>
    </row>
    <row r="144" spans="1:7" ht="39.75" customHeight="1" x14ac:dyDescent="0.2">
      <c r="A144" s="4"/>
      <c r="B144" s="1"/>
      <c r="C144" s="1"/>
      <c r="D144" s="1"/>
      <c r="E144" s="1"/>
      <c r="F144" s="1"/>
      <c r="G144" s="1"/>
    </row>
    <row r="145" spans="1:7" ht="39.75" customHeight="1" x14ac:dyDescent="0.2">
      <c r="A145" s="3" t="s">
        <v>83</v>
      </c>
      <c r="B145" s="1"/>
      <c r="C145" s="1"/>
      <c r="D145" s="1"/>
      <c r="E145" s="1"/>
      <c r="F145" s="1"/>
      <c r="G145" s="1"/>
    </row>
    <row r="146" spans="1:7" ht="39.75" customHeight="1" x14ac:dyDescent="0.2">
      <c r="A146" s="4"/>
      <c r="B146" s="1"/>
      <c r="C146" s="1"/>
      <c r="D146" s="1"/>
      <c r="E146" s="1"/>
      <c r="F146" s="1"/>
      <c r="G146" s="1"/>
    </row>
    <row r="147" spans="1:7" ht="39.75" customHeight="1" x14ac:dyDescent="0.2">
      <c r="A147" s="4" t="s">
        <v>84</v>
      </c>
      <c r="B147" s="1"/>
      <c r="C147" s="1"/>
      <c r="D147" s="1"/>
      <c r="E147" s="1"/>
      <c r="F147" s="1"/>
      <c r="G147" s="1"/>
    </row>
    <row r="148" spans="1:7" ht="39.75" customHeight="1" x14ac:dyDescent="0.2">
      <c r="A148" s="4" t="s">
        <v>85</v>
      </c>
      <c r="B148" s="1"/>
      <c r="C148" s="1"/>
      <c r="D148" s="1"/>
      <c r="E148" s="1"/>
      <c r="F148" s="1"/>
      <c r="G148" s="1"/>
    </row>
    <row r="149" spans="1:7" ht="39.75" customHeight="1" x14ac:dyDescent="0.2">
      <c r="A149" s="4" t="s">
        <v>86</v>
      </c>
      <c r="B149" s="1"/>
      <c r="C149" s="1"/>
      <c r="D149" s="1"/>
      <c r="E149" s="1"/>
      <c r="F149" s="1"/>
      <c r="G149" s="1"/>
    </row>
    <row r="150" spans="1:7" ht="39.75" customHeight="1" x14ac:dyDescent="0.2">
      <c r="A150" s="4" t="s">
        <v>87</v>
      </c>
      <c r="B150" s="1"/>
      <c r="C150" s="1"/>
      <c r="D150" s="1"/>
      <c r="E150" s="1"/>
      <c r="F150" s="1"/>
      <c r="G150" s="1"/>
    </row>
    <row r="151" spans="1:7" ht="39.75" customHeight="1" x14ac:dyDescent="0.2">
      <c r="A151" s="4"/>
      <c r="B151" s="1"/>
      <c r="C151" s="1"/>
      <c r="D151" s="1"/>
      <c r="E151" s="1"/>
      <c r="F151" s="1"/>
      <c r="G151" s="1"/>
    </row>
    <row r="152" spans="1:7" ht="39.75" customHeight="1" x14ac:dyDescent="0.2">
      <c r="A152" s="3" t="s">
        <v>88</v>
      </c>
      <c r="B152" s="1"/>
      <c r="C152" s="1"/>
      <c r="D152" s="1"/>
      <c r="E152" s="1"/>
      <c r="F152" s="1"/>
      <c r="G152" s="1"/>
    </row>
    <row r="153" spans="1:7" ht="39.75" customHeight="1" x14ac:dyDescent="0.2">
      <c r="A153" s="4"/>
      <c r="B153" s="1"/>
      <c r="C153" s="1"/>
      <c r="D153" s="1"/>
      <c r="E153" s="1"/>
      <c r="F153" s="1"/>
      <c r="G153" s="1"/>
    </row>
    <row r="154" spans="1:7" ht="39.75" customHeight="1" x14ac:dyDescent="0.2">
      <c r="A154" s="4" t="s">
        <v>89</v>
      </c>
      <c r="B154" s="1"/>
      <c r="C154" s="1"/>
      <c r="D154" s="1"/>
      <c r="E154" s="1"/>
      <c r="F154" s="1"/>
      <c r="G154" s="1"/>
    </row>
    <row r="155" spans="1:7" ht="39.75" customHeight="1" x14ac:dyDescent="0.2">
      <c r="A155" s="4"/>
      <c r="B155" s="1"/>
      <c r="C155" s="1"/>
      <c r="D155" s="1"/>
      <c r="E155" s="1"/>
      <c r="F155" s="1"/>
      <c r="G155" s="1"/>
    </row>
    <row r="156" spans="1:7" ht="12.75" customHeight="1" x14ac:dyDescent="0.2">
      <c r="A156" s="2"/>
      <c r="B156" s="1"/>
      <c r="C156" s="1"/>
      <c r="D156" s="1"/>
      <c r="E156" s="1"/>
      <c r="F156" s="1"/>
      <c r="G156" s="1"/>
    </row>
    <row r="157" spans="1:7" ht="12.75" customHeight="1" x14ac:dyDescent="0.2">
      <c r="A157" s="2"/>
      <c r="B157" s="1"/>
      <c r="C157" s="1"/>
      <c r="D157" s="1"/>
      <c r="E157" s="1"/>
      <c r="F157" s="1"/>
      <c r="G157" s="1"/>
    </row>
    <row r="158" spans="1:7" ht="12.75" customHeight="1" x14ac:dyDescent="0.2">
      <c r="A158" s="7"/>
    </row>
    <row r="159" spans="1:7" ht="12.75" customHeight="1" x14ac:dyDescent="0.2">
      <c r="A159" s="7"/>
    </row>
    <row r="160" spans="1:7" ht="12.75" customHeight="1" x14ac:dyDescent="0.2">
      <c r="A160" s="7"/>
    </row>
    <row r="161" spans="1:1" ht="12.75" customHeight="1" x14ac:dyDescent="0.2">
      <c r="A161" s="7"/>
    </row>
    <row r="162" spans="1:1" ht="12.75" customHeight="1" x14ac:dyDescent="0.2">
      <c r="A162" s="7"/>
    </row>
    <row r="163" spans="1:1" ht="12.75" customHeight="1" x14ac:dyDescent="0.2"/>
    <row r="164" spans="1:1" ht="12.75" customHeight="1" x14ac:dyDescent="0.2"/>
    <row r="165" spans="1:1" ht="12.75" customHeight="1" x14ac:dyDescent="0.2"/>
    <row r="166" spans="1:1" ht="12.75" customHeight="1" x14ac:dyDescent="0.2"/>
    <row r="167" spans="1:1" ht="12.75" customHeight="1" x14ac:dyDescent="0.2"/>
    <row r="168" spans="1:1" ht="12.75" customHeight="1" x14ac:dyDescent="0.2"/>
    <row r="169" spans="1:1" ht="12.75" customHeight="1" x14ac:dyDescent="0.2"/>
    <row r="170" spans="1:1" ht="12.75" customHeight="1" x14ac:dyDescent="0.2"/>
    <row r="171" spans="1:1" ht="12.75" customHeight="1" x14ac:dyDescent="0.2"/>
    <row r="172" spans="1:1" ht="12.75" customHeight="1" x14ac:dyDescent="0.2"/>
    <row r="173" spans="1:1" ht="12.75" customHeight="1" x14ac:dyDescent="0.2"/>
    <row r="174" spans="1:1" ht="12.75" customHeight="1" x14ac:dyDescent="0.2"/>
    <row r="175" spans="1:1" ht="12.75" customHeight="1" x14ac:dyDescent="0.2"/>
    <row r="176" spans="1:1"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511811024" right="0.511811024" top="0.78740157499999996" bottom="0.78740157499999996"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pageSetUpPr fitToPage="1"/>
  </sheetPr>
  <dimension ref="A1:Y1000"/>
  <sheetViews>
    <sheetView showGridLines="0" tabSelected="1" topLeftCell="A2" zoomScale="130" zoomScaleNormal="130" workbookViewId="0">
      <selection activeCell="B2" sqref="B2"/>
    </sheetView>
  </sheetViews>
  <sheetFormatPr defaultColWidth="12.5703125" defaultRowHeight="15" customHeight="1" x14ac:dyDescent="0.2"/>
  <cols>
    <col min="1" max="1" width="3" customWidth="1"/>
    <col min="2" max="2" width="14.7109375" customWidth="1"/>
    <col min="3" max="26" width="8.5703125" customWidth="1"/>
  </cols>
  <sheetData>
    <row r="1" spans="1:24" ht="12.75" customHeight="1" x14ac:dyDescent="0.25">
      <c r="B1" s="8"/>
      <c r="Q1" s="9"/>
    </row>
    <row r="2" spans="1:24" ht="12.75" customHeight="1" x14ac:dyDescent="0.25">
      <c r="B2" s="8"/>
      <c r="Q2" s="9"/>
    </row>
    <row r="3" spans="1:24" ht="26.25" customHeight="1" x14ac:dyDescent="0.4">
      <c r="A3" s="244"/>
      <c r="B3" s="245"/>
      <c r="C3" s="11"/>
      <c r="D3" s="11"/>
      <c r="E3" s="11"/>
      <c r="F3" s="11"/>
      <c r="G3" s="11"/>
      <c r="H3" s="11"/>
      <c r="I3" s="11"/>
      <c r="J3" s="11"/>
      <c r="K3" s="11"/>
      <c r="L3" s="11"/>
      <c r="M3" s="11"/>
      <c r="N3" s="11"/>
      <c r="O3" s="11"/>
      <c r="P3" s="11"/>
      <c r="Q3" s="11"/>
      <c r="R3" s="11"/>
      <c r="S3" s="11"/>
      <c r="T3" s="11"/>
      <c r="U3" s="11"/>
    </row>
    <row r="4" spans="1:24" ht="26.25" customHeight="1" x14ac:dyDescent="0.4">
      <c r="A4" s="10"/>
      <c r="B4" s="10"/>
      <c r="C4" s="12"/>
      <c r="D4" s="12"/>
      <c r="E4" s="12"/>
      <c r="F4" s="12"/>
      <c r="G4" s="12"/>
      <c r="H4" s="12"/>
      <c r="I4" s="12"/>
      <c r="J4" s="12"/>
      <c r="K4" s="12"/>
      <c r="L4" s="12"/>
      <c r="M4" s="12"/>
      <c r="N4" s="12"/>
      <c r="O4" s="12"/>
      <c r="P4" s="12"/>
      <c r="Q4" s="12"/>
      <c r="R4" s="12"/>
      <c r="S4" s="12"/>
      <c r="T4" s="12"/>
      <c r="U4" s="12"/>
    </row>
    <row r="5" spans="1:24" ht="12.75" customHeight="1" x14ac:dyDescent="0.2"/>
    <row r="6" spans="1:24" ht="12.75" customHeight="1" x14ac:dyDescent="0.2"/>
    <row r="7" spans="1:24" ht="12.75" customHeight="1" x14ac:dyDescent="0.2"/>
    <row r="8" spans="1:24" ht="12.75" customHeight="1" x14ac:dyDescent="0.2"/>
    <row r="9" spans="1:24" ht="12.75" customHeight="1" x14ac:dyDescent="0.2"/>
    <row r="10" spans="1:24" ht="12.75" customHeight="1" x14ac:dyDescent="0.2"/>
    <row r="11" spans="1:24" ht="12.75" customHeight="1" x14ac:dyDescent="0.2"/>
    <row r="12" spans="1:24" ht="12.75" customHeight="1" x14ac:dyDescent="0.2"/>
    <row r="13" spans="1:24" ht="12.75" customHeight="1" x14ac:dyDescent="0.2"/>
    <row r="14" spans="1:24" ht="12.75" customHeight="1" x14ac:dyDescent="0.2"/>
    <row r="15" spans="1:24" ht="12.75" customHeight="1" x14ac:dyDescent="0.2"/>
    <row r="16" spans="1:24" ht="12.75" customHeight="1" x14ac:dyDescent="0.2">
      <c r="B16" s="9"/>
      <c r="C16" s="9"/>
      <c r="D16" s="9"/>
      <c r="E16" s="9"/>
      <c r="F16" s="9"/>
      <c r="G16" s="9"/>
      <c r="H16" s="9"/>
      <c r="I16" s="9"/>
      <c r="J16" s="9"/>
      <c r="K16" s="9"/>
      <c r="L16" s="9"/>
      <c r="M16" s="9"/>
      <c r="N16" s="9"/>
      <c r="O16" s="9"/>
      <c r="P16" s="9"/>
      <c r="Q16" s="9"/>
      <c r="R16" s="9"/>
      <c r="S16" s="9"/>
      <c r="T16" s="9"/>
      <c r="U16" s="9"/>
      <c r="V16" s="9"/>
      <c r="W16" s="9"/>
      <c r="X16" s="9"/>
    </row>
    <row r="17" spans="2:25" ht="12.75" customHeight="1" x14ac:dyDescent="0.2">
      <c r="B17" s="9"/>
      <c r="C17" s="9"/>
      <c r="D17" s="9"/>
      <c r="E17" s="9"/>
      <c r="F17" s="9"/>
      <c r="G17" s="9"/>
      <c r="H17" s="9"/>
      <c r="I17" s="9"/>
      <c r="J17" s="9"/>
      <c r="K17" s="9"/>
      <c r="L17" s="9"/>
      <c r="M17" s="9"/>
      <c r="N17" s="9"/>
      <c r="O17" s="9"/>
      <c r="P17" s="9"/>
      <c r="Q17" s="9"/>
      <c r="R17" s="9"/>
      <c r="S17" s="9"/>
      <c r="T17" s="9"/>
      <c r="U17" s="9"/>
      <c r="V17" s="9"/>
      <c r="W17" s="9"/>
      <c r="X17" s="9"/>
      <c r="Y17" s="13"/>
    </row>
    <row r="18" spans="2:25" ht="12.75" customHeight="1" x14ac:dyDescent="0.2">
      <c r="B18" s="9"/>
      <c r="C18" s="9"/>
      <c r="D18" s="9"/>
      <c r="E18" s="9"/>
      <c r="F18" s="9"/>
      <c r="G18" s="9"/>
      <c r="H18" s="9"/>
      <c r="I18" s="9"/>
      <c r="J18" s="9"/>
      <c r="K18" s="9"/>
      <c r="L18" s="9"/>
      <c r="M18" s="9"/>
      <c r="N18" s="9"/>
      <c r="O18" s="9"/>
      <c r="P18" s="9"/>
      <c r="Q18" s="9"/>
      <c r="R18" s="9"/>
      <c r="S18" s="9"/>
      <c r="T18" s="9"/>
      <c r="U18" s="9"/>
      <c r="V18" s="9"/>
      <c r="W18" s="9"/>
      <c r="X18" s="9"/>
      <c r="Y18" s="13"/>
    </row>
    <row r="19" spans="2:25" ht="12.75" customHeight="1" x14ac:dyDescent="0.2">
      <c r="B19" s="9"/>
      <c r="C19" s="9"/>
      <c r="D19" s="9"/>
      <c r="E19" s="9"/>
      <c r="F19" s="9"/>
      <c r="G19" s="9"/>
      <c r="H19" s="9"/>
      <c r="I19" s="9"/>
      <c r="J19" s="9"/>
      <c r="K19" s="9"/>
      <c r="L19" s="9"/>
      <c r="M19" s="9"/>
      <c r="N19" s="9"/>
      <c r="O19" s="9"/>
      <c r="P19" s="9"/>
      <c r="Q19" s="9"/>
      <c r="R19" s="9"/>
      <c r="S19" s="9"/>
      <c r="T19" s="9"/>
      <c r="U19" s="9"/>
      <c r="V19" s="9"/>
      <c r="W19" s="9"/>
      <c r="X19" s="9"/>
      <c r="Y19" s="13"/>
    </row>
    <row r="20" spans="2:25" ht="12.75" customHeight="1" x14ac:dyDescent="0.2">
      <c r="B20" s="9"/>
      <c r="C20" s="9"/>
      <c r="D20" s="9"/>
      <c r="E20" s="9"/>
      <c r="F20" s="9"/>
      <c r="G20" s="9"/>
      <c r="H20" s="9"/>
      <c r="I20" s="9"/>
      <c r="J20" s="9"/>
      <c r="K20" s="9"/>
      <c r="L20" s="9"/>
      <c r="M20" s="9"/>
      <c r="N20" s="9"/>
      <c r="O20" s="9"/>
      <c r="P20" s="9"/>
      <c r="Q20" s="9"/>
      <c r="R20" s="9"/>
      <c r="S20" s="9"/>
      <c r="T20" s="9"/>
      <c r="U20" s="9"/>
      <c r="V20" s="9"/>
      <c r="W20" s="9"/>
      <c r="X20" s="9"/>
      <c r="Y20" s="13"/>
    </row>
    <row r="21" spans="2:25" ht="12.75" customHeight="1" x14ac:dyDescent="0.2">
      <c r="B21" s="9"/>
      <c r="C21" s="9"/>
      <c r="D21" s="9"/>
      <c r="E21" s="9"/>
      <c r="F21" s="9"/>
      <c r="G21" s="9"/>
      <c r="H21" s="9"/>
      <c r="I21" s="9"/>
      <c r="J21" s="9"/>
      <c r="K21" s="9"/>
      <c r="L21" s="9"/>
      <c r="M21" s="9"/>
      <c r="N21" s="9"/>
      <c r="O21" s="9"/>
      <c r="P21" s="9"/>
      <c r="Q21" s="9"/>
      <c r="R21" s="9"/>
      <c r="S21" s="9"/>
      <c r="T21" s="9"/>
      <c r="U21" s="9"/>
      <c r="V21" s="9"/>
      <c r="W21" s="9"/>
      <c r="X21" s="9"/>
      <c r="Y21" s="13"/>
    </row>
    <row r="22" spans="2:25" ht="12.75" customHeight="1" x14ac:dyDescent="0.2">
      <c r="B22" s="9"/>
      <c r="C22" s="9"/>
      <c r="D22" s="9"/>
      <c r="E22" s="9"/>
      <c r="F22" s="9"/>
      <c r="G22" s="9"/>
      <c r="H22" s="9"/>
      <c r="I22" s="9"/>
      <c r="J22" s="9"/>
      <c r="K22" s="9"/>
      <c r="L22" s="9"/>
      <c r="M22" s="9"/>
      <c r="N22" s="9"/>
      <c r="O22" s="9"/>
      <c r="P22" s="9"/>
      <c r="Q22" s="9"/>
      <c r="R22" s="9"/>
      <c r="S22" s="9"/>
      <c r="T22" s="9"/>
      <c r="U22" s="9"/>
      <c r="V22" s="9"/>
      <c r="W22" s="9"/>
      <c r="X22" s="9"/>
      <c r="Y22" s="13"/>
    </row>
    <row r="23" spans="2:25" ht="12.75" customHeight="1" x14ac:dyDescent="0.2">
      <c r="B23" s="9"/>
      <c r="C23" s="9"/>
      <c r="D23" s="9"/>
      <c r="E23" s="9"/>
      <c r="F23" s="9"/>
      <c r="G23" s="9"/>
      <c r="H23" s="9"/>
      <c r="I23" s="9"/>
      <c r="J23" s="9"/>
      <c r="K23" s="9"/>
      <c r="L23" s="9"/>
      <c r="M23" s="9"/>
      <c r="N23" s="9"/>
      <c r="O23" s="9"/>
      <c r="P23" s="9"/>
      <c r="Q23" s="9"/>
      <c r="R23" s="9"/>
      <c r="S23" s="9"/>
      <c r="T23" s="9"/>
      <c r="U23" s="9"/>
      <c r="V23" s="9"/>
      <c r="W23" s="9"/>
      <c r="X23" s="9"/>
      <c r="Y23" s="13"/>
    </row>
    <row r="24" spans="2:25" ht="12.75" customHeight="1" x14ac:dyDescent="0.2">
      <c r="B24" s="9"/>
      <c r="C24" s="9"/>
      <c r="D24" s="9"/>
      <c r="E24" s="9"/>
      <c r="F24" s="9"/>
      <c r="G24" s="9"/>
      <c r="H24" s="9"/>
      <c r="I24" s="9"/>
      <c r="J24" s="9"/>
      <c r="K24" s="9"/>
      <c r="L24" s="9"/>
      <c r="M24" s="9"/>
      <c r="N24" s="9"/>
      <c r="O24" s="9"/>
      <c r="P24" s="9"/>
      <c r="Q24" s="9"/>
      <c r="R24" s="9"/>
      <c r="S24" s="9"/>
      <c r="T24" s="9"/>
      <c r="U24" s="9"/>
      <c r="V24" s="9"/>
      <c r="W24" s="9"/>
      <c r="X24" s="9"/>
      <c r="Y24" s="13"/>
    </row>
    <row r="25" spans="2:25" ht="12.75" customHeight="1" x14ac:dyDescent="0.2">
      <c r="B25" s="9"/>
      <c r="C25" s="9"/>
      <c r="D25" s="9"/>
      <c r="E25" s="9"/>
      <c r="F25" s="9"/>
      <c r="G25" s="9"/>
      <c r="H25" s="9"/>
      <c r="I25" s="9"/>
      <c r="J25" s="9"/>
      <c r="K25" s="9"/>
      <c r="L25" s="9"/>
      <c r="M25" s="9"/>
      <c r="N25" s="9"/>
      <c r="O25" s="9"/>
      <c r="P25" s="9"/>
      <c r="Q25" s="9"/>
      <c r="R25" s="9"/>
      <c r="S25" s="9"/>
      <c r="T25" s="9"/>
      <c r="U25" s="9"/>
      <c r="V25" s="9"/>
      <c r="W25" s="9"/>
      <c r="X25" s="9"/>
      <c r="Y25" s="13"/>
    </row>
    <row r="26" spans="2:25" ht="12.75" customHeight="1" x14ac:dyDescent="0.2">
      <c r="B26" s="9"/>
      <c r="C26" s="9"/>
      <c r="D26" s="9"/>
      <c r="E26" s="9"/>
      <c r="F26" s="9"/>
      <c r="G26" s="9"/>
      <c r="H26" s="9"/>
      <c r="I26" s="9"/>
      <c r="J26" s="9"/>
      <c r="K26" s="9"/>
      <c r="L26" s="9"/>
      <c r="M26" s="9"/>
      <c r="N26" s="9"/>
      <c r="O26" s="9"/>
      <c r="P26" s="9"/>
      <c r="Q26" s="9"/>
      <c r="R26" s="9"/>
      <c r="S26" s="9"/>
      <c r="T26" s="9"/>
      <c r="U26" s="9"/>
      <c r="V26" s="9"/>
      <c r="W26" s="9"/>
      <c r="X26" s="9"/>
      <c r="Y26" s="13"/>
    </row>
    <row r="27" spans="2:25" ht="12.75" customHeight="1" x14ac:dyDescent="0.2">
      <c r="B27" s="9"/>
      <c r="C27" s="9"/>
      <c r="D27" s="9"/>
      <c r="E27" s="9"/>
      <c r="F27" s="9"/>
      <c r="G27" s="9"/>
      <c r="H27" s="9"/>
      <c r="I27" s="9"/>
      <c r="J27" s="9"/>
      <c r="K27" s="9"/>
      <c r="L27" s="9"/>
      <c r="M27" s="9"/>
      <c r="N27" s="9"/>
      <c r="O27" s="9"/>
      <c r="P27" s="9"/>
      <c r="Q27" s="9"/>
      <c r="R27" s="9"/>
      <c r="S27" s="9"/>
      <c r="T27" s="9"/>
      <c r="U27" s="9"/>
      <c r="V27" s="9"/>
      <c r="W27" s="9"/>
      <c r="X27" s="9"/>
      <c r="Y27" s="13"/>
    </row>
    <row r="28" spans="2:25" ht="12.75" customHeight="1" x14ac:dyDescent="0.2">
      <c r="B28" s="9"/>
      <c r="C28" s="9"/>
      <c r="D28" s="9"/>
      <c r="E28" s="9"/>
      <c r="F28" s="9"/>
      <c r="G28" s="9"/>
      <c r="H28" s="9"/>
      <c r="I28" s="9"/>
      <c r="J28" s="9"/>
      <c r="K28" s="9"/>
      <c r="L28" s="9"/>
      <c r="M28" s="9"/>
      <c r="N28" s="9"/>
      <c r="O28" s="9"/>
      <c r="P28" s="9"/>
      <c r="Q28" s="9"/>
      <c r="R28" s="9"/>
      <c r="S28" s="9"/>
      <c r="T28" s="9"/>
      <c r="U28" s="9"/>
      <c r="V28" s="9"/>
      <c r="W28" s="9"/>
      <c r="X28" s="9"/>
      <c r="Y28" s="13"/>
    </row>
    <row r="29" spans="2:25" ht="12.75" customHeight="1" x14ac:dyDescent="0.2">
      <c r="B29" s="9"/>
      <c r="C29" s="9"/>
      <c r="D29" s="9"/>
      <c r="E29" s="9"/>
      <c r="F29" s="9"/>
      <c r="G29" s="9"/>
      <c r="H29" s="9"/>
      <c r="I29" s="9"/>
      <c r="J29" s="9"/>
      <c r="K29" s="9"/>
      <c r="L29" s="9"/>
      <c r="M29" s="9"/>
      <c r="N29" s="9"/>
      <c r="O29" s="9"/>
      <c r="P29" s="9"/>
      <c r="Q29" s="9"/>
      <c r="R29" s="9"/>
      <c r="S29" s="9"/>
      <c r="T29" s="9"/>
      <c r="U29" s="9"/>
      <c r="V29" s="9"/>
      <c r="W29" s="9"/>
      <c r="X29" s="9"/>
      <c r="Y29" s="13"/>
    </row>
    <row r="30" spans="2:25" ht="12.75" customHeight="1" x14ac:dyDescent="0.2"/>
    <row r="31" spans="2:25" ht="12.75" customHeight="1" x14ac:dyDescent="0.2"/>
    <row r="32" spans="2:25"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spans="2:4" ht="12.75" customHeight="1" x14ac:dyDescent="0.2"/>
    <row r="66" spans="2:4" ht="12.75" customHeight="1" x14ac:dyDescent="0.2"/>
    <row r="67" spans="2:4" ht="12.75" customHeight="1" x14ac:dyDescent="0.2"/>
    <row r="68" spans="2:4" ht="12.75" customHeight="1" x14ac:dyDescent="0.2"/>
    <row r="69" spans="2:4" ht="12.75" customHeight="1" x14ac:dyDescent="0.2"/>
    <row r="70" spans="2:4" ht="12.75" customHeight="1" x14ac:dyDescent="0.2"/>
    <row r="71" spans="2:4" ht="12.75" customHeight="1" x14ac:dyDescent="0.2"/>
    <row r="72" spans="2:4" ht="12.75" customHeight="1" x14ac:dyDescent="0.2"/>
    <row r="73" spans="2:4" ht="12.75" customHeight="1" x14ac:dyDescent="0.2"/>
    <row r="74" spans="2:4" ht="12.75" customHeight="1" x14ac:dyDescent="0.2">
      <c r="B74" s="14"/>
      <c r="C74" s="14"/>
      <c r="D74" s="14"/>
    </row>
    <row r="75" spans="2:4" ht="12.75" customHeight="1" x14ac:dyDescent="0.2">
      <c r="B75" s="14"/>
      <c r="C75" s="14"/>
      <c r="D75" s="14"/>
    </row>
    <row r="76" spans="2:4" ht="12.75" customHeight="1" x14ac:dyDescent="0.2">
      <c r="B76" s="15"/>
    </row>
    <row r="77" spans="2:4" ht="12.75" customHeight="1" x14ac:dyDescent="0.2">
      <c r="B77" s="15"/>
    </row>
    <row r="78" spans="2:4" ht="12.75" customHeight="1" x14ac:dyDescent="0.2">
      <c r="B78" s="15"/>
    </row>
    <row r="79" spans="2:4" ht="12.75" customHeight="1" x14ac:dyDescent="0.2"/>
    <row r="80" spans="2:4"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A3:B3"/>
  </mergeCells>
  <printOptions horizontalCentered="1"/>
  <pageMargins left="3.937007874015748E-2" right="3.937007874015748E-2" top="0.74803149606299213" bottom="0.74803149606299213" header="0" footer="0"/>
  <pageSetup paperSize="9" orientation="landscape"/>
  <headerFooter>
    <oddFooter>&amp;R13</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961ED"/>
    <outlinePr summaryBelow="0"/>
    <pageSetUpPr fitToPage="1"/>
  </sheetPr>
  <dimension ref="A1:Z1000"/>
  <sheetViews>
    <sheetView showGridLines="0" topLeftCell="C1" workbookViewId="0">
      <pane ySplit="9" topLeftCell="A57" activePane="bottomLeft" state="frozen"/>
      <selection pane="bottomLeft" activeCell="B11" sqref="B11"/>
    </sheetView>
  </sheetViews>
  <sheetFormatPr defaultColWidth="12.5703125" defaultRowHeight="15" customHeight="1" x14ac:dyDescent="0.2"/>
  <cols>
    <col min="1" max="1" width="3.42578125" customWidth="1"/>
    <col min="2" max="2" width="8.7109375" customWidth="1"/>
    <col min="3" max="3" width="112.5703125" customWidth="1"/>
    <col min="4" max="4" width="29" customWidth="1"/>
    <col min="5" max="5" width="18" customWidth="1"/>
    <col min="6" max="7" width="19.85546875" customWidth="1"/>
    <col min="8" max="8" width="30.5703125" customWidth="1"/>
    <col min="9" max="9" width="15.140625" customWidth="1"/>
    <col min="10" max="10" width="28.42578125" customWidth="1"/>
    <col min="12" max="13" width="8.5703125" customWidth="1"/>
    <col min="14" max="14" width="8.7109375" customWidth="1"/>
    <col min="15" max="15" width="46.140625" customWidth="1"/>
    <col min="16" max="26" width="8.5703125" customWidth="1"/>
  </cols>
  <sheetData>
    <row r="1" spans="1:26" ht="12.75" customHeight="1" x14ac:dyDescent="0.2">
      <c r="B1" s="16"/>
      <c r="C1" s="17"/>
      <c r="D1" s="16"/>
      <c r="E1" s="18"/>
      <c r="F1" s="18"/>
      <c r="G1" s="18"/>
      <c r="H1" s="18"/>
      <c r="I1" s="18"/>
      <c r="J1" s="18"/>
    </row>
    <row r="2" spans="1:26" ht="12.75" customHeight="1" x14ac:dyDescent="0.2">
      <c r="B2" s="16"/>
      <c r="C2" s="19"/>
      <c r="D2" s="16"/>
      <c r="E2" s="18"/>
      <c r="F2" s="18"/>
      <c r="G2" s="18"/>
      <c r="H2" s="18"/>
      <c r="I2" s="18"/>
      <c r="J2" s="18"/>
    </row>
    <row r="3" spans="1:26" ht="12.75" customHeight="1" x14ac:dyDescent="0.2">
      <c r="B3" s="16"/>
      <c r="C3" s="20"/>
      <c r="D3" s="16"/>
      <c r="E3" s="18"/>
      <c r="F3" s="18"/>
      <c r="G3" s="18"/>
      <c r="H3" s="18"/>
      <c r="I3" s="18"/>
      <c r="J3" s="18"/>
    </row>
    <row r="4" spans="1:26" ht="12.75" customHeight="1" x14ac:dyDescent="0.2">
      <c r="B4" s="16"/>
      <c r="C4" s="17"/>
      <c r="D4" s="16"/>
      <c r="E4" s="18"/>
      <c r="F4" s="18"/>
      <c r="G4" s="18"/>
      <c r="H4" s="18"/>
      <c r="I4" s="18"/>
      <c r="J4" s="18"/>
    </row>
    <row r="5" spans="1:26" ht="12.75" customHeight="1" x14ac:dyDescent="0.2">
      <c r="B5" s="16"/>
      <c r="C5" s="17"/>
      <c r="D5" s="16"/>
      <c r="E5" s="18"/>
      <c r="F5" s="18"/>
      <c r="G5" s="18"/>
      <c r="H5" s="18"/>
      <c r="I5" s="18"/>
      <c r="J5" s="18"/>
    </row>
    <row r="6" spans="1:26" ht="12.75" customHeight="1" x14ac:dyDescent="0.2">
      <c r="B6" s="16"/>
      <c r="C6" s="17"/>
      <c r="D6" s="16"/>
      <c r="E6" s="18"/>
      <c r="F6" s="18"/>
      <c r="G6" s="18"/>
      <c r="H6" s="18"/>
      <c r="I6" s="18"/>
      <c r="J6" s="18"/>
    </row>
    <row r="7" spans="1:26" ht="12.75" customHeight="1" x14ac:dyDescent="0.2">
      <c r="B7" s="246" t="s">
        <v>90</v>
      </c>
      <c r="C7" s="245"/>
      <c r="D7" s="16"/>
      <c r="E7" s="18"/>
      <c r="F7" s="18"/>
      <c r="G7" s="18"/>
      <c r="H7" s="18"/>
      <c r="I7" s="18"/>
      <c r="J7" s="18"/>
      <c r="O7" s="15"/>
    </row>
    <row r="8" spans="1:26" ht="12.75" customHeight="1" x14ac:dyDescent="0.2">
      <c r="B8" s="16"/>
      <c r="C8" s="17"/>
      <c r="D8" s="16"/>
      <c r="E8" s="18"/>
      <c r="F8" s="18"/>
      <c r="G8" s="18"/>
      <c r="H8" s="18"/>
      <c r="I8" s="18"/>
      <c r="J8" s="18"/>
    </row>
    <row r="9" spans="1:26" ht="12.75" customHeight="1" x14ac:dyDescent="0.2">
      <c r="A9" s="21"/>
      <c r="B9" s="22" t="s">
        <v>91</v>
      </c>
      <c r="C9" s="23" t="s">
        <v>92</v>
      </c>
      <c r="D9" s="24" t="s">
        <v>93</v>
      </c>
      <c r="E9" s="25" t="s">
        <v>94</v>
      </c>
      <c r="F9" s="26" t="s">
        <v>95</v>
      </c>
      <c r="G9" s="26" t="s">
        <v>96</v>
      </c>
      <c r="H9" s="26" t="s">
        <v>97</v>
      </c>
      <c r="I9" s="26" t="s">
        <v>98</v>
      </c>
      <c r="J9" s="26" t="s">
        <v>99</v>
      </c>
      <c r="K9" s="27" t="s">
        <v>100</v>
      </c>
      <c r="L9" s="21"/>
      <c r="M9" s="21"/>
      <c r="N9" s="21"/>
      <c r="O9" s="21"/>
      <c r="P9" s="21"/>
      <c r="Q9" s="21"/>
      <c r="R9" s="21"/>
      <c r="S9" s="21"/>
      <c r="T9" s="21"/>
      <c r="U9" s="21"/>
      <c r="V9" s="21"/>
      <c r="W9" s="21"/>
      <c r="X9" s="21"/>
      <c r="Y9" s="21"/>
      <c r="Z9" s="21"/>
    </row>
    <row r="10" spans="1:26" ht="31.5" customHeight="1" x14ac:dyDescent="0.2">
      <c r="A10" s="28"/>
      <c r="B10" s="29">
        <v>1</v>
      </c>
      <c r="C10" s="30" t="s">
        <v>101</v>
      </c>
      <c r="D10" s="31"/>
      <c r="E10" s="32"/>
      <c r="F10" s="33"/>
      <c r="G10" s="33"/>
      <c r="H10" s="33"/>
      <c r="I10" s="33"/>
      <c r="J10" s="34"/>
      <c r="K10" s="35"/>
      <c r="L10" s="28"/>
      <c r="M10" s="28"/>
      <c r="N10" s="28"/>
      <c r="O10" s="28"/>
      <c r="P10" s="28"/>
      <c r="Q10" s="28"/>
      <c r="R10" s="28"/>
      <c r="S10" s="28"/>
      <c r="T10" s="28"/>
      <c r="U10" s="28"/>
      <c r="V10" s="28"/>
      <c r="W10" s="28"/>
      <c r="X10" s="28"/>
      <c r="Y10" s="28"/>
      <c r="Z10" s="28"/>
    </row>
    <row r="11" spans="1:26" ht="12.75" customHeight="1" x14ac:dyDescent="0.2">
      <c r="A11" s="28"/>
      <c r="B11" s="36" t="s">
        <v>102</v>
      </c>
      <c r="C11" s="37" t="s">
        <v>103</v>
      </c>
      <c r="D11" s="36">
        <v>0</v>
      </c>
      <c r="E11" s="38">
        <v>46055</v>
      </c>
      <c r="F11" s="38">
        <v>46057</v>
      </c>
      <c r="G11" s="39">
        <f t="shared" ref="G11:G15" si="0">F11-E11</f>
        <v>2</v>
      </c>
      <c r="H11" s="36" t="s">
        <v>104</v>
      </c>
      <c r="I11" s="40" t="s">
        <v>105</v>
      </c>
      <c r="J11" s="41">
        <v>2500</v>
      </c>
      <c r="K11" s="42" t="s">
        <v>106</v>
      </c>
      <c r="L11" s="28"/>
      <c r="M11" s="28"/>
      <c r="N11" s="28"/>
      <c r="O11" s="28"/>
      <c r="P11" s="28"/>
      <c r="Q11" s="28"/>
      <c r="R11" s="28"/>
      <c r="S11" s="28"/>
      <c r="T11" s="28"/>
      <c r="U11" s="28"/>
      <c r="V11" s="28"/>
      <c r="W11" s="28"/>
      <c r="X11" s="28"/>
      <c r="Y11" s="28"/>
      <c r="Z11" s="28"/>
    </row>
    <row r="12" spans="1:26" ht="12.75" customHeight="1" x14ac:dyDescent="0.2">
      <c r="A12" s="28"/>
      <c r="B12" s="36" t="s">
        <v>107</v>
      </c>
      <c r="C12" s="37" t="s">
        <v>108</v>
      </c>
      <c r="D12" s="36" t="s">
        <v>102</v>
      </c>
      <c r="E12" s="38">
        <v>46058</v>
      </c>
      <c r="F12" s="38">
        <v>46061</v>
      </c>
      <c r="G12" s="39">
        <f t="shared" si="0"/>
        <v>3</v>
      </c>
      <c r="H12" s="36" t="s">
        <v>104</v>
      </c>
      <c r="I12" s="40" t="s">
        <v>105</v>
      </c>
      <c r="J12" s="41">
        <v>2000</v>
      </c>
      <c r="K12" s="42" t="s">
        <v>106</v>
      </c>
      <c r="L12" s="28"/>
      <c r="M12" s="28"/>
      <c r="N12" s="28"/>
      <c r="O12" s="28"/>
      <c r="P12" s="28"/>
      <c r="Q12" s="28"/>
      <c r="R12" s="28"/>
      <c r="S12" s="28"/>
      <c r="T12" s="28"/>
      <c r="U12" s="28"/>
      <c r="V12" s="28"/>
      <c r="W12" s="28"/>
      <c r="X12" s="28"/>
      <c r="Y12" s="28"/>
      <c r="Z12" s="28"/>
    </row>
    <row r="13" spans="1:26" ht="12.75" customHeight="1" x14ac:dyDescent="0.2">
      <c r="A13" s="28"/>
      <c r="B13" s="36" t="s">
        <v>109</v>
      </c>
      <c r="C13" s="37" t="s">
        <v>110</v>
      </c>
      <c r="D13" s="36" t="s">
        <v>107</v>
      </c>
      <c r="E13" s="38">
        <v>46061</v>
      </c>
      <c r="F13" s="38">
        <v>46064</v>
      </c>
      <c r="G13" s="39">
        <f t="shared" si="0"/>
        <v>3</v>
      </c>
      <c r="H13" s="36" t="s">
        <v>104</v>
      </c>
      <c r="I13" s="40" t="s">
        <v>105</v>
      </c>
      <c r="J13" s="41">
        <v>3200</v>
      </c>
      <c r="K13" s="42" t="s">
        <v>106</v>
      </c>
      <c r="L13" s="28"/>
      <c r="M13" s="28"/>
      <c r="N13" s="28"/>
      <c r="O13" s="28"/>
      <c r="P13" s="28"/>
      <c r="Q13" s="28"/>
      <c r="R13" s="28"/>
      <c r="S13" s="28"/>
      <c r="T13" s="28"/>
      <c r="U13" s="28"/>
      <c r="V13" s="28"/>
      <c r="W13" s="28"/>
      <c r="X13" s="28"/>
      <c r="Y13" s="28"/>
      <c r="Z13" s="28"/>
    </row>
    <row r="14" spans="1:26" ht="12.75" customHeight="1" x14ac:dyDescent="0.2">
      <c r="A14" s="28"/>
      <c r="B14" s="36" t="s">
        <v>111</v>
      </c>
      <c r="C14" s="37" t="s">
        <v>112</v>
      </c>
      <c r="D14" s="36" t="s">
        <v>109</v>
      </c>
      <c r="E14" s="38">
        <v>46065</v>
      </c>
      <c r="F14" s="38">
        <v>46068</v>
      </c>
      <c r="G14" s="39">
        <f t="shared" si="0"/>
        <v>3</v>
      </c>
      <c r="H14" s="36" t="s">
        <v>104</v>
      </c>
      <c r="I14" s="40" t="s">
        <v>113</v>
      </c>
      <c r="J14" s="41">
        <v>3201</v>
      </c>
      <c r="K14" s="42" t="s">
        <v>106</v>
      </c>
      <c r="L14" s="28"/>
      <c r="M14" s="28"/>
      <c r="N14" s="28"/>
      <c r="O14" s="28"/>
      <c r="P14" s="28"/>
      <c r="Q14" s="28"/>
      <c r="R14" s="28"/>
      <c r="S14" s="28"/>
      <c r="T14" s="28"/>
      <c r="U14" s="28"/>
      <c r="V14" s="28"/>
      <c r="W14" s="28"/>
      <c r="X14" s="28"/>
      <c r="Y14" s="28"/>
      <c r="Z14" s="28"/>
    </row>
    <row r="15" spans="1:26" ht="12.75" customHeight="1" x14ac:dyDescent="0.2">
      <c r="A15" s="28"/>
      <c r="B15" s="36" t="s">
        <v>114</v>
      </c>
      <c r="C15" s="37" t="s">
        <v>115</v>
      </c>
      <c r="D15" s="36" t="s">
        <v>111</v>
      </c>
      <c r="E15" s="38">
        <v>46069</v>
      </c>
      <c r="F15" s="38">
        <v>46071</v>
      </c>
      <c r="G15" s="39">
        <f t="shared" si="0"/>
        <v>2</v>
      </c>
      <c r="H15" s="36" t="s">
        <v>104</v>
      </c>
      <c r="I15" s="40" t="s">
        <v>113</v>
      </c>
      <c r="J15" s="41">
        <v>3202</v>
      </c>
      <c r="K15" s="42" t="s">
        <v>106</v>
      </c>
      <c r="L15" s="28"/>
      <c r="M15" s="28"/>
      <c r="N15" s="28"/>
      <c r="O15" s="28"/>
      <c r="P15" s="28"/>
      <c r="Q15" s="28"/>
      <c r="R15" s="28"/>
      <c r="S15" s="28"/>
      <c r="T15" s="28"/>
      <c r="U15" s="28"/>
      <c r="V15" s="28"/>
      <c r="W15" s="28"/>
      <c r="X15" s="28"/>
      <c r="Y15" s="28"/>
      <c r="Z15" s="28"/>
    </row>
    <row r="16" spans="1:26" ht="12.75" customHeight="1" x14ac:dyDescent="0.2">
      <c r="A16" s="28"/>
      <c r="B16" s="43">
        <v>2</v>
      </c>
      <c r="C16" s="44" t="s">
        <v>116</v>
      </c>
      <c r="D16" s="45"/>
      <c r="E16" s="46"/>
      <c r="F16" s="46"/>
      <c r="G16" s="46"/>
      <c r="H16" s="46"/>
      <c r="I16" s="46"/>
      <c r="J16" s="47">
        <f>SUM(J11:J14)</f>
        <v>10901</v>
      </c>
      <c r="K16" s="48"/>
      <c r="L16" s="28"/>
      <c r="M16" s="28"/>
      <c r="N16" s="28"/>
      <c r="O16" s="28"/>
      <c r="P16" s="28"/>
      <c r="Q16" s="28"/>
      <c r="R16" s="28"/>
      <c r="S16" s="28"/>
      <c r="T16" s="28"/>
      <c r="U16" s="28"/>
      <c r="V16" s="28"/>
      <c r="W16" s="28"/>
      <c r="X16" s="28"/>
      <c r="Y16" s="28"/>
      <c r="Z16" s="28"/>
    </row>
    <row r="17" spans="1:26" ht="12.75" customHeight="1" x14ac:dyDescent="0.2">
      <c r="A17" s="15"/>
      <c r="B17" s="36" t="s">
        <v>117</v>
      </c>
      <c r="C17" s="49" t="s">
        <v>118</v>
      </c>
      <c r="D17" s="36" t="s">
        <v>119</v>
      </c>
      <c r="E17" s="38">
        <v>46069</v>
      </c>
      <c r="F17" s="38">
        <v>46072</v>
      </c>
      <c r="G17" s="39">
        <f t="shared" ref="G17:G23" si="1">F17-E17</f>
        <v>3</v>
      </c>
      <c r="H17" s="36" t="s">
        <v>104</v>
      </c>
      <c r="I17" s="40" t="s">
        <v>120</v>
      </c>
      <c r="J17" s="41">
        <v>2000</v>
      </c>
      <c r="K17" s="36" t="s">
        <v>106</v>
      </c>
      <c r="L17" s="15"/>
      <c r="M17" s="15"/>
      <c r="N17" s="15"/>
      <c r="O17" s="15"/>
      <c r="P17" s="15"/>
      <c r="Q17" s="15"/>
      <c r="R17" s="15"/>
      <c r="S17" s="15"/>
      <c r="T17" s="15"/>
      <c r="U17" s="15"/>
      <c r="V17" s="15"/>
      <c r="W17" s="15"/>
      <c r="X17" s="15"/>
      <c r="Y17" s="15"/>
      <c r="Z17" s="15"/>
    </row>
    <row r="18" spans="1:26" ht="12.75" customHeight="1" x14ac:dyDescent="0.2">
      <c r="A18" s="15"/>
      <c r="B18" s="36" t="s">
        <v>121</v>
      </c>
      <c r="C18" s="49" t="s">
        <v>122</v>
      </c>
      <c r="D18" s="36" t="s">
        <v>123</v>
      </c>
      <c r="E18" s="38">
        <v>46070</v>
      </c>
      <c r="F18" s="38">
        <v>46073</v>
      </c>
      <c r="G18" s="39">
        <f t="shared" si="1"/>
        <v>3</v>
      </c>
      <c r="H18" s="36" t="s">
        <v>104</v>
      </c>
      <c r="I18" s="40" t="s">
        <v>120</v>
      </c>
      <c r="J18" s="41">
        <v>2500</v>
      </c>
      <c r="K18" s="36" t="s">
        <v>106</v>
      </c>
      <c r="L18" s="15"/>
      <c r="M18" s="15"/>
      <c r="N18" s="15"/>
      <c r="O18" s="15"/>
      <c r="P18" s="15"/>
      <c r="Q18" s="15"/>
      <c r="R18" s="15"/>
      <c r="S18" s="15"/>
      <c r="T18" s="15"/>
      <c r="U18" s="15"/>
      <c r="V18" s="15"/>
      <c r="W18" s="15"/>
      <c r="X18" s="15"/>
      <c r="Y18" s="15"/>
      <c r="Z18" s="15"/>
    </row>
    <row r="19" spans="1:26" ht="12.75" customHeight="1" x14ac:dyDescent="0.2">
      <c r="A19" s="15"/>
      <c r="B19" s="36" t="s">
        <v>124</v>
      </c>
      <c r="C19" s="50" t="s">
        <v>125</v>
      </c>
      <c r="D19" s="36" t="s">
        <v>126</v>
      </c>
      <c r="E19" s="38">
        <v>46072</v>
      </c>
      <c r="F19" s="38">
        <v>46074</v>
      </c>
      <c r="G19" s="39">
        <f t="shared" si="1"/>
        <v>2</v>
      </c>
      <c r="H19" s="36" t="s">
        <v>104</v>
      </c>
      <c r="I19" s="40" t="s">
        <v>120</v>
      </c>
      <c r="J19" s="41">
        <v>2500</v>
      </c>
      <c r="K19" s="36" t="s">
        <v>106</v>
      </c>
      <c r="L19" s="15"/>
      <c r="M19" s="15"/>
      <c r="N19" s="15"/>
      <c r="O19" s="15"/>
      <c r="P19" s="15"/>
      <c r="Q19" s="15"/>
      <c r="R19" s="15"/>
      <c r="S19" s="15"/>
      <c r="T19" s="15"/>
      <c r="U19" s="15"/>
      <c r="V19" s="15"/>
      <c r="W19" s="15"/>
      <c r="X19" s="15"/>
      <c r="Y19" s="15"/>
      <c r="Z19" s="15"/>
    </row>
    <row r="20" spans="1:26" ht="12.75" customHeight="1" x14ac:dyDescent="0.2">
      <c r="A20" s="15"/>
      <c r="B20" s="36" t="s">
        <v>127</v>
      </c>
      <c r="C20" s="49" t="s">
        <v>128</v>
      </c>
      <c r="D20" s="36" t="s">
        <v>129</v>
      </c>
      <c r="E20" s="38">
        <v>46073</v>
      </c>
      <c r="F20" s="38">
        <v>46078</v>
      </c>
      <c r="G20" s="39">
        <f t="shared" si="1"/>
        <v>5</v>
      </c>
      <c r="H20" s="36" t="s">
        <v>104</v>
      </c>
      <c r="I20" s="40" t="s">
        <v>120</v>
      </c>
      <c r="J20" s="41">
        <v>2500</v>
      </c>
      <c r="K20" s="36" t="s">
        <v>106</v>
      </c>
      <c r="L20" s="15"/>
      <c r="M20" s="15"/>
      <c r="N20" s="15"/>
      <c r="O20" s="15"/>
      <c r="P20" s="15"/>
      <c r="Q20" s="15"/>
      <c r="R20" s="15"/>
      <c r="S20" s="15"/>
      <c r="T20" s="15"/>
      <c r="U20" s="15"/>
      <c r="V20" s="15"/>
      <c r="W20" s="15"/>
      <c r="X20" s="15"/>
      <c r="Y20" s="15"/>
      <c r="Z20" s="15"/>
    </row>
    <row r="21" spans="1:26" ht="12.75" customHeight="1" x14ac:dyDescent="0.2">
      <c r="A21" s="15"/>
      <c r="B21" s="36" t="s">
        <v>130</v>
      </c>
      <c r="C21" s="49" t="s">
        <v>131</v>
      </c>
      <c r="D21" s="36" t="s">
        <v>123</v>
      </c>
      <c r="E21" s="38">
        <v>46069</v>
      </c>
      <c r="F21" s="38">
        <v>46070</v>
      </c>
      <c r="G21" s="39">
        <f t="shared" si="1"/>
        <v>1</v>
      </c>
      <c r="H21" s="36" t="s">
        <v>104</v>
      </c>
      <c r="I21" s="40" t="s">
        <v>132</v>
      </c>
      <c r="J21" s="41">
        <v>2500</v>
      </c>
      <c r="K21" s="36" t="s">
        <v>106</v>
      </c>
      <c r="L21" s="15"/>
      <c r="M21" s="15"/>
      <c r="N21" s="15"/>
      <c r="O21" s="15"/>
      <c r="P21" s="15"/>
      <c r="Q21" s="15"/>
      <c r="R21" s="15"/>
      <c r="S21" s="15"/>
      <c r="T21" s="15"/>
      <c r="U21" s="15"/>
      <c r="V21" s="15"/>
      <c r="W21" s="15"/>
      <c r="X21" s="15"/>
      <c r="Y21" s="15"/>
      <c r="Z21" s="15"/>
    </row>
    <row r="22" spans="1:26" ht="12.75" customHeight="1" x14ac:dyDescent="0.2">
      <c r="A22" s="15"/>
      <c r="B22" s="36" t="s">
        <v>133</v>
      </c>
      <c r="C22" s="49" t="s">
        <v>134</v>
      </c>
      <c r="D22" s="36" t="s">
        <v>135</v>
      </c>
      <c r="E22" s="38">
        <v>46079</v>
      </c>
      <c r="F22" s="38">
        <v>46083</v>
      </c>
      <c r="G22" s="39">
        <f t="shared" si="1"/>
        <v>4</v>
      </c>
      <c r="H22" s="36" t="s">
        <v>104</v>
      </c>
      <c r="I22" s="40" t="s">
        <v>132</v>
      </c>
      <c r="J22" s="41">
        <v>2500</v>
      </c>
      <c r="K22" s="36" t="s">
        <v>106</v>
      </c>
      <c r="L22" s="15"/>
      <c r="M22" s="15"/>
      <c r="N22" s="15"/>
      <c r="O22" s="15"/>
      <c r="P22" s="15"/>
      <c r="Q22" s="15"/>
      <c r="R22" s="15"/>
      <c r="S22" s="15"/>
      <c r="T22" s="15"/>
      <c r="U22" s="15"/>
      <c r="V22" s="15"/>
      <c r="W22" s="15"/>
      <c r="X22" s="15"/>
      <c r="Y22" s="15"/>
      <c r="Z22" s="15"/>
    </row>
    <row r="23" spans="1:26" ht="15.75" customHeight="1" x14ac:dyDescent="0.2">
      <c r="A23" s="15"/>
      <c r="B23" s="36" t="s">
        <v>136</v>
      </c>
      <c r="C23" s="49" t="s">
        <v>137</v>
      </c>
      <c r="D23" s="36" t="s">
        <v>138</v>
      </c>
      <c r="E23" s="38">
        <v>46079</v>
      </c>
      <c r="F23" s="38">
        <v>46081</v>
      </c>
      <c r="G23" s="39">
        <f t="shared" si="1"/>
        <v>2</v>
      </c>
      <c r="H23" s="36" t="s">
        <v>104</v>
      </c>
      <c r="I23" s="40" t="s">
        <v>139</v>
      </c>
      <c r="J23" s="41">
        <v>2502</v>
      </c>
      <c r="K23" s="36" t="s">
        <v>106</v>
      </c>
      <c r="L23" s="15"/>
      <c r="M23" s="15"/>
      <c r="N23" s="15"/>
      <c r="O23" s="15"/>
      <c r="P23" s="15"/>
      <c r="Q23" s="15"/>
      <c r="R23" s="15"/>
      <c r="S23" s="15"/>
      <c r="T23" s="15"/>
      <c r="U23" s="15"/>
      <c r="V23" s="15"/>
      <c r="W23" s="15"/>
      <c r="X23" s="15"/>
      <c r="Y23" s="15"/>
      <c r="Z23" s="15"/>
    </row>
    <row r="24" spans="1:26" ht="12.75" customHeight="1" x14ac:dyDescent="0.2">
      <c r="A24" s="28"/>
      <c r="B24" s="43">
        <v>3</v>
      </c>
      <c r="C24" s="44" t="s">
        <v>140</v>
      </c>
      <c r="D24" s="45"/>
      <c r="E24" s="51"/>
      <c r="F24" s="51"/>
      <c r="G24" s="51"/>
      <c r="H24" s="51"/>
      <c r="I24" s="51"/>
      <c r="J24" s="52">
        <f>SUM(J11:J13)</f>
        <v>7700</v>
      </c>
      <c r="K24" s="53"/>
      <c r="L24" s="28"/>
      <c r="M24" s="28"/>
      <c r="N24" s="28"/>
      <c r="O24" s="28"/>
      <c r="P24" s="28"/>
      <c r="Q24" s="28"/>
      <c r="R24" s="28"/>
      <c r="S24" s="28"/>
      <c r="T24" s="28"/>
      <c r="U24" s="28"/>
      <c r="V24" s="28"/>
      <c r="W24" s="28"/>
      <c r="X24" s="28"/>
      <c r="Y24" s="28"/>
      <c r="Z24" s="28"/>
    </row>
    <row r="25" spans="1:26" ht="12.75" customHeight="1" x14ac:dyDescent="0.2">
      <c r="A25" s="15" t="s">
        <v>141</v>
      </c>
      <c r="B25" s="36" t="s">
        <v>142</v>
      </c>
      <c r="C25" s="37" t="s">
        <v>143</v>
      </c>
      <c r="D25" s="36" t="s">
        <v>144</v>
      </c>
      <c r="E25" s="38">
        <v>46078</v>
      </c>
      <c r="F25" s="38">
        <v>46081</v>
      </c>
      <c r="G25" s="39">
        <f t="shared" ref="G25:G30" si="2">F25-E25</f>
        <v>3</v>
      </c>
      <c r="H25" s="40" t="s">
        <v>145</v>
      </c>
      <c r="I25" s="40" t="s">
        <v>146</v>
      </c>
      <c r="J25" s="41">
        <v>2000</v>
      </c>
      <c r="K25" s="36" t="s">
        <v>106</v>
      </c>
      <c r="L25" s="15"/>
      <c r="M25" s="15"/>
      <c r="N25" s="15"/>
      <c r="O25" s="15"/>
      <c r="P25" s="15"/>
      <c r="Q25" s="15"/>
      <c r="R25" s="15"/>
      <c r="S25" s="15"/>
      <c r="T25" s="15"/>
      <c r="U25" s="15"/>
      <c r="V25" s="15"/>
      <c r="W25" s="15"/>
      <c r="X25" s="15"/>
      <c r="Y25" s="15"/>
      <c r="Z25" s="15"/>
    </row>
    <row r="26" spans="1:26" ht="12.75" customHeight="1" x14ac:dyDescent="0.2">
      <c r="A26" s="15"/>
      <c r="B26" s="36" t="s">
        <v>147</v>
      </c>
      <c r="C26" s="37" t="s">
        <v>148</v>
      </c>
      <c r="D26" s="36" t="s">
        <v>149</v>
      </c>
      <c r="E26" s="38">
        <v>46081</v>
      </c>
      <c r="F26" s="38">
        <v>46085</v>
      </c>
      <c r="G26" s="39">
        <f t="shared" si="2"/>
        <v>4</v>
      </c>
      <c r="H26" s="40" t="s">
        <v>145</v>
      </c>
      <c r="I26" s="40" t="s">
        <v>146</v>
      </c>
      <c r="J26" s="41">
        <v>2250</v>
      </c>
      <c r="K26" s="36" t="s">
        <v>106</v>
      </c>
      <c r="L26" s="15"/>
      <c r="M26" s="15"/>
      <c r="N26" s="15"/>
      <c r="O26" s="15"/>
      <c r="P26" s="15"/>
      <c r="Q26" s="15"/>
      <c r="R26" s="15"/>
      <c r="S26" s="15"/>
      <c r="T26" s="15"/>
      <c r="U26" s="15"/>
      <c r="V26" s="15"/>
      <c r="W26" s="15"/>
      <c r="X26" s="15"/>
      <c r="Y26" s="15"/>
      <c r="Z26" s="15"/>
    </row>
    <row r="27" spans="1:26" ht="12.75" customHeight="1" x14ac:dyDescent="0.2">
      <c r="A27" s="15"/>
      <c r="B27" s="36" t="s">
        <v>150</v>
      </c>
      <c r="C27" s="37" t="s">
        <v>151</v>
      </c>
      <c r="D27" s="36" t="s">
        <v>152</v>
      </c>
      <c r="E27" s="38">
        <v>46082</v>
      </c>
      <c r="F27" s="38">
        <v>46086</v>
      </c>
      <c r="G27" s="39">
        <f t="shared" si="2"/>
        <v>4</v>
      </c>
      <c r="H27" s="40" t="s">
        <v>145</v>
      </c>
      <c r="I27" s="40" t="s">
        <v>146</v>
      </c>
      <c r="J27" s="41">
        <v>2200</v>
      </c>
      <c r="K27" s="36" t="s">
        <v>106</v>
      </c>
      <c r="L27" s="15"/>
      <c r="M27" s="15"/>
      <c r="N27" s="15"/>
      <c r="O27" s="15"/>
      <c r="P27" s="15"/>
      <c r="Q27" s="15"/>
      <c r="R27" s="15"/>
      <c r="S27" s="15"/>
      <c r="T27" s="15"/>
      <c r="U27" s="15"/>
      <c r="V27" s="15"/>
      <c r="W27" s="15"/>
      <c r="X27" s="15"/>
      <c r="Y27" s="15"/>
      <c r="Z27" s="15"/>
    </row>
    <row r="28" spans="1:26" ht="12.75" customHeight="1" x14ac:dyDescent="0.2">
      <c r="A28" s="15" t="s">
        <v>141</v>
      </c>
      <c r="B28" s="36" t="s">
        <v>153</v>
      </c>
      <c r="C28" s="37" t="s">
        <v>154</v>
      </c>
      <c r="D28" s="36" t="s">
        <v>155</v>
      </c>
      <c r="E28" s="38">
        <v>46086</v>
      </c>
      <c r="F28" s="38">
        <v>46090</v>
      </c>
      <c r="G28" s="39">
        <f t="shared" si="2"/>
        <v>4</v>
      </c>
      <c r="H28" s="40" t="s">
        <v>145</v>
      </c>
      <c r="I28" s="40" t="s">
        <v>156</v>
      </c>
      <c r="J28" s="41">
        <v>2250</v>
      </c>
      <c r="K28" s="36" t="s">
        <v>106</v>
      </c>
      <c r="L28" s="15"/>
      <c r="M28" s="15"/>
      <c r="N28" s="15"/>
      <c r="O28" s="15"/>
      <c r="P28" s="15"/>
      <c r="Q28" s="15"/>
      <c r="R28" s="15"/>
      <c r="S28" s="15"/>
      <c r="T28" s="15"/>
      <c r="U28" s="15"/>
      <c r="V28" s="15"/>
      <c r="W28" s="15"/>
      <c r="X28" s="15"/>
      <c r="Y28" s="15"/>
      <c r="Z28" s="15"/>
    </row>
    <row r="29" spans="1:26" ht="12.75" customHeight="1" x14ac:dyDescent="0.2">
      <c r="A29" s="15"/>
      <c r="B29" s="36" t="s">
        <v>157</v>
      </c>
      <c r="C29" s="37" t="s">
        <v>158</v>
      </c>
      <c r="D29" s="36" t="s">
        <v>159</v>
      </c>
      <c r="E29" s="38">
        <v>46091</v>
      </c>
      <c r="F29" s="38">
        <v>46095</v>
      </c>
      <c r="G29" s="39">
        <f t="shared" si="2"/>
        <v>4</v>
      </c>
      <c r="H29" s="40" t="s">
        <v>145</v>
      </c>
      <c r="I29" s="40" t="s">
        <v>156</v>
      </c>
      <c r="J29" s="41">
        <v>2250</v>
      </c>
      <c r="K29" s="36" t="s">
        <v>106</v>
      </c>
      <c r="L29" s="15"/>
      <c r="M29" s="15"/>
      <c r="N29" s="15"/>
      <c r="O29" s="15"/>
      <c r="P29" s="15"/>
      <c r="Q29" s="15"/>
      <c r="R29" s="15"/>
      <c r="S29" s="15"/>
      <c r="T29" s="15"/>
      <c r="U29" s="15"/>
      <c r="V29" s="15"/>
      <c r="W29" s="15"/>
      <c r="X29" s="15"/>
      <c r="Y29" s="15"/>
      <c r="Z29" s="15"/>
    </row>
    <row r="30" spans="1:26" ht="12.75" customHeight="1" x14ac:dyDescent="0.2">
      <c r="A30" s="15"/>
      <c r="B30" s="36" t="s">
        <v>160</v>
      </c>
      <c r="C30" s="37" t="s">
        <v>161</v>
      </c>
      <c r="D30" s="36" t="s">
        <v>162</v>
      </c>
      <c r="E30" s="38">
        <v>46095</v>
      </c>
      <c r="F30" s="38">
        <v>46099</v>
      </c>
      <c r="G30" s="39">
        <f t="shared" si="2"/>
        <v>4</v>
      </c>
      <c r="H30" s="40" t="s">
        <v>145</v>
      </c>
      <c r="I30" s="40" t="s">
        <v>156</v>
      </c>
      <c r="J30" s="41">
        <v>2250</v>
      </c>
      <c r="K30" s="36" t="s">
        <v>106</v>
      </c>
      <c r="L30" s="15"/>
      <c r="M30" s="15"/>
      <c r="N30" s="15"/>
      <c r="O30" s="15"/>
      <c r="P30" s="15"/>
      <c r="Q30" s="15"/>
      <c r="R30" s="15"/>
      <c r="S30" s="15"/>
      <c r="T30" s="15"/>
      <c r="U30" s="15"/>
      <c r="V30" s="15"/>
      <c r="W30" s="15"/>
      <c r="X30" s="15"/>
      <c r="Y30" s="15"/>
      <c r="Z30" s="15"/>
    </row>
    <row r="31" spans="1:26" ht="15.75" customHeight="1" x14ac:dyDescent="0.2">
      <c r="A31" s="28"/>
      <c r="B31" s="43">
        <v>4</v>
      </c>
      <c r="C31" s="44" t="s">
        <v>163</v>
      </c>
      <c r="D31" s="45"/>
      <c r="E31" s="46"/>
      <c r="F31" s="46"/>
      <c r="G31" s="46"/>
      <c r="H31" s="46"/>
      <c r="I31" s="46"/>
      <c r="J31" s="47">
        <f>SUM(J25:J30)</f>
        <v>13200</v>
      </c>
      <c r="K31" s="48"/>
      <c r="L31" s="28"/>
      <c r="M31" s="28"/>
      <c r="N31" s="28"/>
      <c r="O31" s="28"/>
      <c r="P31" s="28"/>
      <c r="Q31" s="28"/>
      <c r="R31" s="28"/>
      <c r="S31" s="28"/>
      <c r="T31" s="28"/>
      <c r="U31" s="28"/>
      <c r="V31" s="28"/>
      <c r="W31" s="28"/>
      <c r="X31" s="28"/>
      <c r="Y31" s="28"/>
      <c r="Z31" s="28"/>
    </row>
    <row r="32" spans="1:26" ht="12.75" customHeight="1" x14ac:dyDescent="0.2">
      <c r="A32" s="15"/>
      <c r="B32" s="36" t="s">
        <v>164</v>
      </c>
      <c r="C32" s="37" t="s">
        <v>165</v>
      </c>
      <c r="D32" s="36" t="s">
        <v>160</v>
      </c>
      <c r="E32" s="38">
        <v>46100</v>
      </c>
      <c r="F32" s="38">
        <v>46105</v>
      </c>
      <c r="G32" s="39">
        <f t="shared" ref="G32:G40" si="3">F32-E32</f>
        <v>5</v>
      </c>
      <c r="H32" s="40" t="s">
        <v>166</v>
      </c>
      <c r="I32" s="40" t="s">
        <v>167</v>
      </c>
      <c r="J32" s="41">
        <v>6000</v>
      </c>
      <c r="K32" s="36" t="s">
        <v>106</v>
      </c>
      <c r="L32" s="15"/>
      <c r="M32" s="15"/>
      <c r="N32" s="15"/>
      <c r="O32" s="15"/>
      <c r="P32" s="15"/>
      <c r="Q32" s="15"/>
      <c r="R32" s="15"/>
      <c r="S32" s="15"/>
      <c r="T32" s="15"/>
      <c r="U32" s="15"/>
      <c r="V32" s="15"/>
      <c r="W32" s="15"/>
      <c r="X32" s="15"/>
      <c r="Y32" s="15"/>
      <c r="Z32" s="15"/>
    </row>
    <row r="33" spans="1:26" ht="12.75" customHeight="1" x14ac:dyDescent="0.2">
      <c r="A33" s="15"/>
      <c r="B33" s="36" t="s">
        <v>168</v>
      </c>
      <c r="C33" s="37" t="s">
        <v>169</v>
      </c>
      <c r="D33" s="36" t="s">
        <v>170</v>
      </c>
      <c r="E33" s="38">
        <v>46105</v>
      </c>
      <c r="F33" s="38">
        <v>46111</v>
      </c>
      <c r="G33" s="39">
        <f t="shared" si="3"/>
        <v>6</v>
      </c>
      <c r="H33" s="36" t="s">
        <v>166</v>
      </c>
      <c r="I33" s="40" t="s">
        <v>167</v>
      </c>
      <c r="J33" s="41">
        <v>4000</v>
      </c>
      <c r="K33" s="36" t="s">
        <v>106</v>
      </c>
      <c r="L33" s="15"/>
      <c r="M33" s="15"/>
      <c r="N33" s="15"/>
      <c r="O33" s="15"/>
      <c r="P33" s="15"/>
      <c r="Q33" s="15"/>
      <c r="R33" s="15"/>
      <c r="S33" s="15"/>
      <c r="T33" s="15"/>
      <c r="U33" s="15"/>
      <c r="V33" s="15"/>
      <c r="W33" s="15"/>
      <c r="X33" s="15"/>
      <c r="Y33" s="15"/>
      <c r="Z33" s="15"/>
    </row>
    <row r="34" spans="1:26" ht="12.75" customHeight="1" x14ac:dyDescent="0.2">
      <c r="A34" s="15"/>
      <c r="B34" s="36" t="s">
        <v>171</v>
      </c>
      <c r="C34" s="37" t="s">
        <v>172</v>
      </c>
      <c r="D34" s="36" t="s">
        <v>173</v>
      </c>
      <c r="E34" s="38">
        <v>46112</v>
      </c>
      <c r="F34" s="38">
        <v>46118</v>
      </c>
      <c r="G34" s="39">
        <f t="shared" si="3"/>
        <v>6</v>
      </c>
      <c r="H34" s="36" t="s">
        <v>166</v>
      </c>
      <c r="I34" s="40" t="s">
        <v>167</v>
      </c>
      <c r="J34" s="41">
        <v>4500</v>
      </c>
      <c r="K34" s="36" t="s">
        <v>106</v>
      </c>
      <c r="L34" s="15"/>
      <c r="M34" s="15"/>
      <c r="N34" s="15"/>
      <c r="O34" s="15"/>
      <c r="P34" s="15"/>
      <c r="Q34" s="15"/>
      <c r="R34" s="15"/>
      <c r="S34" s="15"/>
      <c r="T34" s="15"/>
      <c r="U34" s="15"/>
      <c r="V34" s="15"/>
      <c r="W34" s="15"/>
      <c r="X34" s="15"/>
      <c r="Y34" s="15"/>
      <c r="Z34" s="15"/>
    </row>
    <row r="35" spans="1:26" ht="12.75" customHeight="1" x14ac:dyDescent="0.2">
      <c r="A35" s="15"/>
      <c r="B35" s="36" t="s">
        <v>174</v>
      </c>
      <c r="C35" s="37" t="s">
        <v>175</v>
      </c>
      <c r="D35" s="36" t="s">
        <v>176</v>
      </c>
      <c r="E35" s="38">
        <v>46119</v>
      </c>
      <c r="F35" s="38">
        <v>46124</v>
      </c>
      <c r="G35" s="39">
        <f t="shared" si="3"/>
        <v>5</v>
      </c>
      <c r="H35" s="36" t="s">
        <v>166</v>
      </c>
      <c r="I35" s="36" t="s">
        <v>177</v>
      </c>
      <c r="J35" s="41">
        <v>4501</v>
      </c>
      <c r="K35" s="36" t="s">
        <v>106</v>
      </c>
      <c r="L35" s="15"/>
      <c r="M35" s="15"/>
      <c r="N35" s="15"/>
      <c r="O35" s="15"/>
      <c r="P35" s="15"/>
      <c r="Q35" s="15"/>
      <c r="R35" s="15"/>
      <c r="S35" s="15"/>
      <c r="T35" s="15"/>
      <c r="U35" s="15"/>
      <c r="V35" s="15"/>
      <c r="W35" s="15"/>
      <c r="X35" s="15"/>
      <c r="Y35" s="15"/>
      <c r="Z35" s="15"/>
    </row>
    <row r="36" spans="1:26" ht="12.75" customHeight="1" x14ac:dyDescent="0.2">
      <c r="A36" s="15"/>
      <c r="B36" s="36" t="s">
        <v>178</v>
      </c>
      <c r="C36" s="37" t="s">
        <v>179</v>
      </c>
      <c r="D36" s="36" t="s">
        <v>176</v>
      </c>
      <c r="E36" s="38">
        <v>46119</v>
      </c>
      <c r="F36" s="38">
        <v>46123</v>
      </c>
      <c r="G36" s="39">
        <f t="shared" si="3"/>
        <v>4</v>
      </c>
      <c r="H36" s="36" t="s">
        <v>166</v>
      </c>
      <c r="I36" s="36" t="s">
        <v>177</v>
      </c>
      <c r="J36" s="41">
        <v>4000</v>
      </c>
      <c r="K36" s="36" t="s">
        <v>106</v>
      </c>
      <c r="L36" s="15"/>
      <c r="M36" s="15"/>
      <c r="N36" s="15"/>
      <c r="O36" s="15"/>
      <c r="P36" s="15"/>
      <c r="Q36" s="15"/>
      <c r="R36" s="15"/>
      <c r="S36" s="15"/>
      <c r="T36" s="15"/>
      <c r="U36" s="15"/>
      <c r="V36" s="15"/>
      <c r="W36" s="15"/>
      <c r="X36" s="15"/>
      <c r="Y36" s="15"/>
      <c r="Z36" s="15"/>
    </row>
    <row r="37" spans="1:26" ht="12.75" customHeight="1" x14ac:dyDescent="0.2">
      <c r="A37" s="15"/>
      <c r="B37" s="36" t="s">
        <v>180</v>
      </c>
      <c r="C37" s="37" t="s">
        <v>181</v>
      </c>
      <c r="D37" s="36" t="s">
        <v>182</v>
      </c>
      <c r="E37" s="38">
        <v>46124</v>
      </c>
      <c r="F37" s="38">
        <v>46126</v>
      </c>
      <c r="G37" s="39">
        <f t="shared" si="3"/>
        <v>2</v>
      </c>
      <c r="H37" s="36" t="s">
        <v>166</v>
      </c>
      <c r="I37" s="36" t="s">
        <v>177</v>
      </c>
      <c r="J37" s="41">
        <v>4000</v>
      </c>
      <c r="K37" s="36" t="s">
        <v>106</v>
      </c>
      <c r="L37" s="15"/>
      <c r="M37" s="15"/>
      <c r="N37" s="15"/>
      <c r="O37" s="15"/>
      <c r="P37" s="15"/>
      <c r="Q37" s="15"/>
      <c r="R37" s="15"/>
      <c r="S37" s="15"/>
      <c r="T37" s="15"/>
      <c r="U37" s="15"/>
      <c r="V37" s="15"/>
      <c r="W37" s="15"/>
      <c r="X37" s="15"/>
      <c r="Y37" s="15"/>
      <c r="Z37" s="15"/>
    </row>
    <row r="38" spans="1:26" ht="12.75" customHeight="1" x14ac:dyDescent="0.2">
      <c r="A38" s="15"/>
      <c r="B38" s="36" t="s">
        <v>183</v>
      </c>
      <c r="C38" s="37" t="s">
        <v>184</v>
      </c>
      <c r="D38" s="36" t="s">
        <v>185</v>
      </c>
      <c r="E38" s="38">
        <v>46127</v>
      </c>
      <c r="F38" s="38">
        <v>46130</v>
      </c>
      <c r="G38" s="39">
        <f t="shared" si="3"/>
        <v>3</v>
      </c>
      <c r="H38" s="36" t="s">
        <v>166</v>
      </c>
      <c r="I38" s="36" t="s">
        <v>186</v>
      </c>
      <c r="J38" s="41">
        <v>4000</v>
      </c>
      <c r="K38" s="36" t="s">
        <v>106</v>
      </c>
      <c r="L38" s="15"/>
      <c r="M38" s="15"/>
      <c r="N38" s="15"/>
      <c r="O38" s="15"/>
      <c r="P38" s="15"/>
      <c r="Q38" s="15"/>
      <c r="R38" s="15"/>
      <c r="S38" s="15"/>
      <c r="T38" s="15"/>
      <c r="U38" s="15"/>
      <c r="V38" s="15"/>
      <c r="W38" s="15"/>
      <c r="X38" s="15"/>
      <c r="Y38" s="15"/>
      <c r="Z38" s="15"/>
    </row>
    <row r="39" spans="1:26" ht="12.75" customHeight="1" x14ac:dyDescent="0.2">
      <c r="A39" s="15"/>
      <c r="B39" s="36" t="s">
        <v>187</v>
      </c>
      <c r="C39" s="37" t="s">
        <v>188</v>
      </c>
      <c r="D39" s="36" t="s">
        <v>176</v>
      </c>
      <c r="E39" s="38">
        <v>46119</v>
      </c>
      <c r="F39" s="38">
        <v>46122</v>
      </c>
      <c r="G39" s="39">
        <f t="shared" si="3"/>
        <v>3</v>
      </c>
      <c r="H39" s="36" t="s">
        <v>166</v>
      </c>
      <c r="I39" s="36" t="s">
        <v>186</v>
      </c>
      <c r="J39" s="41">
        <v>5500</v>
      </c>
      <c r="K39" s="36" t="s">
        <v>106</v>
      </c>
      <c r="L39" s="15"/>
      <c r="M39" s="15"/>
      <c r="N39" s="15"/>
      <c r="O39" s="15"/>
      <c r="P39" s="15"/>
      <c r="Q39" s="15"/>
      <c r="R39" s="15"/>
      <c r="S39" s="15"/>
      <c r="T39" s="15"/>
      <c r="U39" s="15"/>
      <c r="V39" s="15"/>
      <c r="W39" s="15"/>
      <c r="X39" s="15"/>
      <c r="Y39" s="15"/>
      <c r="Z39" s="15"/>
    </row>
    <row r="40" spans="1:26" ht="12.75" customHeight="1" x14ac:dyDescent="0.2">
      <c r="A40" s="15"/>
      <c r="B40" s="36" t="s">
        <v>189</v>
      </c>
      <c r="C40" s="37" t="s">
        <v>190</v>
      </c>
      <c r="D40" s="36" t="s">
        <v>191</v>
      </c>
      <c r="E40" s="38">
        <v>46125</v>
      </c>
      <c r="F40" s="38">
        <v>46131</v>
      </c>
      <c r="G40" s="39">
        <f t="shared" si="3"/>
        <v>6</v>
      </c>
      <c r="H40" s="36" t="s">
        <v>166</v>
      </c>
      <c r="I40" s="36" t="s">
        <v>186</v>
      </c>
      <c r="J40" s="41">
        <v>5501</v>
      </c>
      <c r="K40" s="36" t="s">
        <v>106</v>
      </c>
      <c r="L40" s="15"/>
      <c r="M40" s="15"/>
      <c r="N40" s="15"/>
      <c r="O40" s="15"/>
      <c r="P40" s="15"/>
      <c r="Q40" s="15"/>
      <c r="R40" s="15"/>
      <c r="S40" s="15"/>
      <c r="T40" s="15"/>
      <c r="U40" s="15"/>
      <c r="V40" s="15"/>
      <c r="W40" s="15"/>
      <c r="X40" s="15"/>
      <c r="Y40" s="15"/>
      <c r="Z40" s="15"/>
    </row>
    <row r="41" spans="1:26" ht="28.5" customHeight="1" x14ac:dyDescent="0.2">
      <c r="A41" s="28"/>
      <c r="B41" s="43">
        <v>5</v>
      </c>
      <c r="C41" s="44" t="s">
        <v>192</v>
      </c>
      <c r="D41" s="45"/>
      <c r="E41" s="46"/>
      <c r="F41" s="46"/>
      <c r="G41" s="46"/>
      <c r="H41" s="46"/>
      <c r="I41" s="46"/>
      <c r="J41" s="47">
        <f>SUM(J32:J39)</f>
        <v>36501</v>
      </c>
      <c r="K41" s="48"/>
      <c r="L41" s="28"/>
      <c r="M41" s="28"/>
      <c r="N41" s="28"/>
      <c r="O41" s="28"/>
      <c r="P41" s="28"/>
      <c r="Q41" s="28"/>
      <c r="R41" s="28"/>
      <c r="S41" s="28"/>
      <c r="T41" s="28"/>
      <c r="U41" s="28"/>
      <c r="V41" s="28"/>
      <c r="W41" s="28"/>
      <c r="X41" s="28"/>
      <c r="Y41" s="28"/>
      <c r="Z41" s="28"/>
    </row>
    <row r="42" spans="1:26" ht="12.75" customHeight="1" x14ac:dyDescent="0.2">
      <c r="A42" s="28"/>
      <c r="B42" s="36" t="s">
        <v>193</v>
      </c>
      <c r="C42" s="54" t="s">
        <v>194</v>
      </c>
      <c r="D42" s="36" t="s">
        <v>189</v>
      </c>
      <c r="E42" s="38">
        <v>46132</v>
      </c>
      <c r="F42" s="38">
        <v>46135</v>
      </c>
      <c r="G42" s="39">
        <f t="shared" ref="G42:G45" si="4">F42-E42</f>
        <v>3</v>
      </c>
      <c r="H42" s="36" t="s">
        <v>195</v>
      </c>
      <c r="I42" s="36" t="s">
        <v>196</v>
      </c>
      <c r="J42" s="41">
        <v>2999</v>
      </c>
      <c r="K42" s="36" t="s">
        <v>106</v>
      </c>
      <c r="L42" s="28"/>
      <c r="M42" s="28"/>
      <c r="N42" s="28"/>
      <c r="O42" s="28"/>
      <c r="P42" s="28"/>
      <c r="Q42" s="28"/>
      <c r="R42" s="28"/>
      <c r="S42" s="28"/>
      <c r="T42" s="28"/>
      <c r="U42" s="28"/>
      <c r="V42" s="28"/>
      <c r="W42" s="28"/>
      <c r="X42" s="28"/>
      <c r="Y42" s="28"/>
      <c r="Z42" s="28"/>
    </row>
    <row r="43" spans="1:26" ht="12.75" customHeight="1" x14ac:dyDescent="0.2">
      <c r="A43" s="15"/>
      <c r="B43" s="36" t="s">
        <v>197</v>
      </c>
      <c r="C43" s="49" t="s">
        <v>198</v>
      </c>
      <c r="D43" s="36" t="s">
        <v>199</v>
      </c>
      <c r="E43" s="38">
        <v>46131</v>
      </c>
      <c r="F43" s="38">
        <v>46135</v>
      </c>
      <c r="G43" s="39">
        <f t="shared" si="4"/>
        <v>4</v>
      </c>
      <c r="H43" s="36" t="s">
        <v>195</v>
      </c>
      <c r="I43" s="36" t="s">
        <v>196</v>
      </c>
      <c r="J43" s="41">
        <v>2500</v>
      </c>
      <c r="K43" s="36" t="s">
        <v>106</v>
      </c>
      <c r="L43" s="15"/>
      <c r="M43" s="15"/>
      <c r="N43" s="15"/>
      <c r="O43" s="15"/>
      <c r="P43" s="15"/>
      <c r="Q43" s="15"/>
      <c r="R43" s="15"/>
      <c r="S43" s="15"/>
      <c r="T43" s="15"/>
      <c r="U43" s="15"/>
      <c r="V43" s="15"/>
      <c r="W43" s="15"/>
      <c r="X43" s="15"/>
      <c r="Y43" s="15"/>
      <c r="Z43" s="15"/>
    </row>
    <row r="44" spans="1:26" ht="12.75" customHeight="1" x14ac:dyDescent="0.2">
      <c r="A44" s="15"/>
      <c r="B44" s="36" t="s">
        <v>200</v>
      </c>
      <c r="C44" s="37" t="s">
        <v>201</v>
      </c>
      <c r="D44" s="36" t="s">
        <v>202</v>
      </c>
      <c r="E44" s="38">
        <v>46136</v>
      </c>
      <c r="F44" s="38">
        <v>46140</v>
      </c>
      <c r="G44" s="39">
        <f t="shared" si="4"/>
        <v>4</v>
      </c>
      <c r="H44" s="36" t="s">
        <v>195</v>
      </c>
      <c r="I44" s="36" t="s">
        <v>196</v>
      </c>
      <c r="J44" s="41">
        <v>1000</v>
      </c>
      <c r="K44" s="36" t="s">
        <v>106</v>
      </c>
      <c r="L44" s="15"/>
      <c r="M44" s="15"/>
      <c r="N44" s="15"/>
      <c r="O44" s="15"/>
      <c r="P44" s="15"/>
      <c r="Q44" s="15"/>
      <c r="R44" s="15"/>
      <c r="S44" s="15"/>
      <c r="T44" s="15"/>
      <c r="U44" s="15"/>
      <c r="V44" s="15"/>
      <c r="W44" s="15"/>
      <c r="X44" s="15"/>
      <c r="Y44" s="15"/>
      <c r="Z44" s="15"/>
    </row>
    <row r="45" spans="1:26" ht="12.75" customHeight="1" x14ac:dyDescent="0.2">
      <c r="A45" s="15"/>
      <c r="B45" s="36" t="s">
        <v>203</v>
      </c>
      <c r="C45" s="37" t="s">
        <v>204</v>
      </c>
      <c r="D45" s="36" t="s">
        <v>205</v>
      </c>
      <c r="E45" s="38">
        <v>46136</v>
      </c>
      <c r="F45" s="38">
        <v>46141</v>
      </c>
      <c r="G45" s="39">
        <f t="shared" si="4"/>
        <v>5</v>
      </c>
      <c r="H45" s="36" t="s">
        <v>195</v>
      </c>
      <c r="I45" s="36" t="s">
        <v>196</v>
      </c>
      <c r="J45" s="41">
        <v>1000</v>
      </c>
      <c r="K45" s="36" t="s">
        <v>106</v>
      </c>
      <c r="L45" s="15"/>
      <c r="M45" s="15"/>
      <c r="N45" s="15"/>
      <c r="O45" s="15"/>
      <c r="P45" s="15"/>
      <c r="Q45" s="15"/>
      <c r="R45" s="15"/>
      <c r="S45" s="15"/>
      <c r="T45" s="15"/>
      <c r="U45" s="15"/>
      <c r="V45" s="15"/>
      <c r="W45" s="15"/>
      <c r="X45" s="15"/>
      <c r="Y45" s="15"/>
      <c r="Z45" s="15"/>
    </row>
    <row r="46" spans="1:26" ht="28.5" customHeight="1" x14ac:dyDescent="0.2">
      <c r="A46" s="15"/>
      <c r="B46" s="43">
        <v>6</v>
      </c>
      <c r="C46" s="44" t="s">
        <v>206</v>
      </c>
      <c r="D46" s="45"/>
      <c r="E46" s="51"/>
      <c r="F46" s="51"/>
      <c r="G46" s="51"/>
      <c r="H46" s="51"/>
      <c r="I46" s="51"/>
      <c r="J46" s="55"/>
      <c r="K46" s="53"/>
      <c r="L46" s="15"/>
      <c r="M46" s="15"/>
      <c r="N46" s="15"/>
      <c r="O46" s="15"/>
      <c r="P46" s="15"/>
      <c r="Q46" s="15"/>
      <c r="R46" s="15"/>
      <c r="S46" s="15"/>
      <c r="T46" s="15"/>
      <c r="U46" s="15"/>
      <c r="V46" s="15"/>
      <c r="W46" s="15"/>
      <c r="X46" s="15"/>
      <c r="Y46" s="15"/>
      <c r="Z46" s="15"/>
    </row>
    <row r="47" spans="1:26" ht="12.75" customHeight="1" x14ac:dyDescent="0.2">
      <c r="A47" s="15"/>
      <c r="B47" s="36" t="s">
        <v>207</v>
      </c>
      <c r="C47" s="37" t="s">
        <v>208</v>
      </c>
      <c r="D47" s="36" t="s">
        <v>203</v>
      </c>
      <c r="E47" s="38">
        <v>46142</v>
      </c>
      <c r="F47" s="38">
        <v>46147</v>
      </c>
      <c r="G47" s="39">
        <f t="shared" ref="G47:G49" si="5">F47-E47</f>
        <v>5</v>
      </c>
      <c r="H47" s="36" t="s">
        <v>209</v>
      </c>
      <c r="I47" s="36" t="s">
        <v>210</v>
      </c>
      <c r="J47" s="41">
        <v>7500</v>
      </c>
      <c r="K47" s="42" t="s">
        <v>106</v>
      </c>
      <c r="L47" s="15"/>
      <c r="M47" s="15"/>
      <c r="N47" s="15"/>
      <c r="O47" s="15"/>
      <c r="P47" s="15"/>
      <c r="Q47" s="15"/>
      <c r="R47" s="15"/>
      <c r="S47" s="15"/>
      <c r="T47" s="15"/>
      <c r="U47" s="15"/>
      <c r="V47" s="15"/>
      <c r="W47" s="15"/>
      <c r="X47" s="15"/>
      <c r="Y47" s="15"/>
      <c r="Z47" s="15"/>
    </row>
    <row r="48" spans="1:26" ht="12.75" customHeight="1" x14ac:dyDescent="0.2">
      <c r="A48" s="15"/>
      <c r="B48" s="36" t="s">
        <v>211</v>
      </c>
      <c r="C48" s="37" t="s">
        <v>212</v>
      </c>
      <c r="D48" s="36" t="s">
        <v>213</v>
      </c>
      <c r="E48" s="38">
        <v>46132</v>
      </c>
      <c r="F48" s="38">
        <v>46137</v>
      </c>
      <c r="G48" s="39">
        <f t="shared" si="5"/>
        <v>5</v>
      </c>
      <c r="H48" s="36" t="s">
        <v>209</v>
      </c>
      <c r="I48" s="36" t="s">
        <v>210</v>
      </c>
      <c r="J48" s="41">
        <v>2600</v>
      </c>
      <c r="K48" s="42" t="s">
        <v>106</v>
      </c>
      <c r="L48" s="15"/>
      <c r="M48" s="15"/>
      <c r="N48" s="15"/>
      <c r="O48" s="15"/>
      <c r="P48" s="15"/>
      <c r="Q48" s="15"/>
      <c r="R48" s="15"/>
      <c r="S48" s="15"/>
      <c r="T48" s="15"/>
      <c r="U48" s="15"/>
      <c r="V48" s="15"/>
      <c r="W48" s="15"/>
      <c r="X48" s="15"/>
      <c r="Y48" s="15"/>
      <c r="Z48" s="15"/>
    </row>
    <row r="49" spans="1:26" ht="12.75" customHeight="1" x14ac:dyDescent="0.2">
      <c r="A49" s="15"/>
      <c r="B49" s="36" t="s">
        <v>214</v>
      </c>
      <c r="C49" s="37" t="s">
        <v>215</v>
      </c>
      <c r="D49" s="36" t="s">
        <v>216</v>
      </c>
      <c r="E49" s="38">
        <v>46148</v>
      </c>
      <c r="F49" s="38">
        <v>46152</v>
      </c>
      <c r="G49" s="39">
        <f t="shared" si="5"/>
        <v>4</v>
      </c>
      <c r="H49" s="36" t="s">
        <v>209</v>
      </c>
      <c r="I49" s="36" t="s">
        <v>210</v>
      </c>
      <c r="J49" s="41">
        <v>1500</v>
      </c>
      <c r="K49" s="42" t="s">
        <v>106</v>
      </c>
      <c r="L49" s="15"/>
      <c r="M49" s="15"/>
      <c r="N49" s="15"/>
      <c r="O49" s="15"/>
      <c r="P49" s="15"/>
      <c r="Q49" s="15"/>
      <c r="R49" s="15"/>
      <c r="S49" s="15"/>
      <c r="T49" s="15"/>
      <c r="U49" s="15"/>
      <c r="V49" s="15"/>
      <c r="W49" s="15"/>
      <c r="X49" s="15"/>
      <c r="Y49" s="15"/>
      <c r="Z49" s="15"/>
    </row>
    <row r="50" spans="1:26" ht="28.5" customHeight="1" x14ac:dyDescent="0.2">
      <c r="A50" s="15"/>
      <c r="B50" s="43">
        <v>7</v>
      </c>
      <c r="C50" s="44" t="s">
        <v>217</v>
      </c>
      <c r="D50" s="45"/>
      <c r="E50" s="51"/>
      <c r="F50" s="51"/>
      <c r="G50" s="51"/>
      <c r="H50" s="51"/>
      <c r="I50" s="51"/>
      <c r="J50" s="52">
        <f t="shared" ref="J50:J51" si="6">SUM(J47:J49)</f>
        <v>11600</v>
      </c>
      <c r="K50" s="53"/>
      <c r="L50" s="15"/>
      <c r="M50" s="15"/>
      <c r="N50" s="15"/>
      <c r="O50" s="15"/>
      <c r="P50" s="15"/>
      <c r="Q50" s="15"/>
      <c r="R50" s="15"/>
      <c r="S50" s="15"/>
      <c r="T50" s="15"/>
      <c r="U50" s="15"/>
      <c r="V50" s="15"/>
      <c r="W50" s="15"/>
      <c r="X50" s="15"/>
      <c r="Y50" s="15"/>
      <c r="Z50" s="15"/>
    </row>
    <row r="51" spans="1:26" ht="12.75" customHeight="1" x14ac:dyDescent="0.2">
      <c r="A51" s="15"/>
      <c r="B51" s="36" t="s">
        <v>218</v>
      </c>
      <c r="C51" s="50" t="s">
        <v>219</v>
      </c>
      <c r="D51" s="36" t="s">
        <v>220</v>
      </c>
      <c r="E51" s="38">
        <v>46071</v>
      </c>
      <c r="F51" s="38">
        <v>46076</v>
      </c>
      <c r="G51" s="39">
        <f t="shared" ref="G51:G53" si="7">F51-E51</f>
        <v>5</v>
      </c>
      <c r="H51" s="36" t="s">
        <v>221</v>
      </c>
      <c r="I51" s="36" t="s">
        <v>222</v>
      </c>
      <c r="J51" s="56">
        <f t="shared" si="6"/>
        <v>15700</v>
      </c>
      <c r="K51" s="42" t="s">
        <v>106</v>
      </c>
      <c r="L51" s="15"/>
      <c r="M51" s="15"/>
      <c r="N51" s="15"/>
      <c r="O51" s="15"/>
      <c r="P51" s="15"/>
      <c r="Q51" s="15"/>
      <c r="R51" s="15"/>
      <c r="S51" s="15"/>
      <c r="T51" s="15"/>
      <c r="U51" s="15"/>
      <c r="V51" s="15"/>
      <c r="W51" s="15"/>
      <c r="X51" s="15"/>
      <c r="Y51" s="15"/>
      <c r="Z51" s="15"/>
    </row>
    <row r="52" spans="1:26" ht="12.75" customHeight="1" x14ac:dyDescent="0.2">
      <c r="A52" s="15"/>
      <c r="B52" s="36" t="s">
        <v>223</v>
      </c>
      <c r="C52" s="49" t="s">
        <v>224</v>
      </c>
      <c r="D52" s="36" t="s">
        <v>218</v>
      </c>
      <c r="E52" s="38">
        <v>46077</v>
      </c>
      <c r="F52" s="38">
        <v>46081</v>
      </c>
      <c r="G52" s="39">
        <f t="shared" si="7"/>
        <v>4</v>
      </c>
      <c r="H52" s="36" t="s">
        <v>221</v>
      </c>
      <c r="I52" s="36" t="s">
        <v>222</v>
      </c>
      <c r="J52" s="41">
        <v>7500</v>
      </c>
      <c r="K52" s="42" t="s">
        <v>106</v>
      </c>
      <c r="L52" s="15"/>
      <c r="M52" s="15"/>
      <c r="N52" s="15"/>
      <c r="O52" s="15"/>
      <c r="P52" s="15"/>
      <c r="Q52" s="15"/>
      <c r="R52" s="15"/>
      <c r="S52" s="15"/>
      <c r="T52" s="15"/>
      <c r="U52" s="15"/>
      <c r="V52" s="15"/>
      <c r="W52" s="15"/>
      <c r="X52" s="15"/>
      <c r="Y52" s="15"/>
      <c r="Z52" s="15"/>
    </row>
    <row r="53" spans="1:26" ht="42.75" customHeight="1" x14ac:dyDescent="0.2">
      <c r="A53" s="15"/>
      <c r="B53" s="36" t="s">
        <v>225</v>
      </c>
      <c r="C53" s="49" t="s">
        <v>226</v>
      </c>
      <c r="D53" s="36" t="s">
        <v>227</v>
      </c>
      <c r="E53" s="38">
        <v>46142</v>
      </c>
      <c r="F53" s="38">
        <v>46147</v>
      </c>
      <c r="G53" s="39">
        <f t="shared" si="7"/>
        <v>5</v>
      </c>
      <c r="H53" s="36" t="s">
        <v>221</v>
      </c>
      <c r="I53" s="36" t="s">
        <v>222</v>
      </c>
      <c r="J53" s="41">
        <v>7501</v>
      </c>
      <c r="K53" s="42" t="s">
        <v>106</v>
      </c>
      <c r="L53" s="15"/>
      <c r="M53" s="15"/>
      <c r="N53" s="15"/>
      <c r="O53" s="15"/>
      <c r="P53" s="15"/>
      <c r="Q53" s="15"/>
      <c r="R53" s="15"/>
      <c r="S53" s="15"/>
      <c r="T53" s="15"/>
      <c r="U53" s="15"/>
      <c r="V53" s="15"/>
      <c r="W53" s="15"/>
      <c r="X53" s="15"/>
      <c r="Y53" s="15"/>
      <c r="Z53" s="15"/>
    </row>
    <row r="54" spans="1:26" ht="28.5" customHeight="1" x14ac:dyDescent="0.2">
      <c r="A54" s="15"/>
      <c r="B54" s="43">
        <v>8</v>
      </c>
      <c r="C54" s="57" t="s">
        <v>228</v>
      </c>
      <c r="D54" s="45"/>
      <c r="E54" s="51"/>
      <c r="F54" s="51"/>
      <c r="G54" s="51"/>
      <c r="H54" s="51"/>
      <c r="I54" s="51"/>
      <c r="J54" s="52">
        <f>SUM(J51:J53)</f>
        <v>30701</v>
      </c>
      <c r="K54" s="53"/>
      <c r="L54" s="15"/>
      <c r="M54" s="15"/>
      <c r="N54" s="15"/>
      <c r="O54" s="15"/>
      <c r="P54" s="15"/>
      <c r="Q54" s="15"/>
      <c r="R54" s="15"/>
      <c r="S54" s="15"/>
      <c r="T54" s="15"/>
      <c r="U54" s="15"/>
      <c r="V54" s="15"/>
      <c r="W54" s="15"/>
      <c r="X54" s="15"/>
      <c r="Y54" s="15"/>
      <c r="Z54" s="15"/>
    </row>
    <row r="55" spans="1:26" ht="12.75" customHeight="1" x14ac:dyDescent="0.2">
      <c r="A55" s="15"/>
      <c r="B55" s="36" t="s">
        <v>229</v>
      </c>
      <c r="C55" s="37" t="s">
        <v>230</v>
      </c>
      <c r="D55" s="36" t="s">
        <v>225</v>
      </c>
      <c r="E55" s="38">
        <v>46148</v>
      </c>
      <c r="F55" s="38">
        <v>46151</v>
      </c>
      <c r="G55" s="39">
        <f t="shared" ref="G55:G57" si="8">F55-E55</f>
        <v>3</v>
      </c>
      <c r="H55" s="36" t="s">
        <v>221</v>
      </c>
      <c r="I55" s="36" t="s">
        <v>231</v>
      </c>
      <c r="J55" s="41">
        <v>5000</v>
      </c>
      <c r="K55" s="42" t="s">
        <v>106</v>
      </c>
      <c r="L55" s="15"/>
      <c r="M55" s="15"/>
      <c r="N55" s="15"/>
      <c r="O55" s="15"/>
      <c r="P55" s="15"/>
      <c r="Q55" s="15"/>
      <c r="R55" s="15"/>
      <c r="S55" s="15"/>
      <c r="T55" s="15"/>
      <c r="U55" s="15"/>
      <c r="V55" s="15"/>
      <c r="W55" s="15"/>
      <c r="X55" s="15"/>
      <c r="Y55" s="15"/>
      <c r="Z55" s="15"/>
    </row>
    <row r="56" spans="1:26" ht="12.75" customHeight="1" x14ac:dyDescent="0.2">
      <c r="A56" s="15" t="s">
        <v>232</v>
      </c>
      <c r="B56" s="36" t="s">
        <v>233</v>
      </c>
      <c r="C56" s="37" t="s">
        <v>234</v>
      </c>
      <c r="D56" s="36" t="s">
        <v>229</v>
      </c>
      <c r="E56" s="38">
        <v>46152</v>
      </c>
      <c r="F56" s="38">
        <v>46161</v>
      </c>
      <c r="G56" s="39">
        <f t="shared" si="8"/>
        <v>9</v>
      </c>
      <c r="H56" s="36" t="s">
        <v>221</v>
      </c>
      <c r="I56" s="36" t="s">
        <v>231</v>
      </c>
      <c r="J56" s="41">
        <v>4000</v>
      </c>
      <c r="K56" s="42" t="s">
        <v>106</v>
      </c>
      <c r="L56" s="15"/>
      <c r="M56" s="15"/>
      <c r="N56" s="15"/>
      <c r="O56" s="15"/>
      <c r="P56" s="15"/>
      <c r="Q56" s="15"/>
      <c r="R56" s="15"/>
      <c r="S56" s="15"/>
      <c r="T56" s="15"/>
      <c r="U56" s="15"/>
      <c r="V56" s="15"/>
      <c r="W56" s="15"/>
      <c r="X56" s="15"/>
      <c r="Y56" s="15"/>
      <c r="Z56" s="15"/>
    </row>
    <row r="57" spans="1:26" ht="12.75" customHeight="1" x14ac:dyDescent="0.2">
      <c r="A57" s="15"/>
      <c r="B57" s="36" t="s">
        <v>235</v>
      </c>
      <c r="C57" s="37" t="s">
        <v>236</v>
      </c>
      <c r="D57" s="36" t="s">
        <v>233</v>
      </c>
      <c r="E57" s="38">
        <v>46162</v>
      </c>
      <c r="F57" s="38">
        <v>46167</v>
      </c>
      <c r="G57" s="39">
        <f t="shared" si="8"/>
        <v>5</v>
      </c>
      <c r="H57" s="36" t="s">
        <v>221</v>
      </c>
      <c r="I57" s="36" t="s">
        <v>231</v>
      </c>
      <c r="J57" s="41">
        <v>2000</v>
      </c>
      <c r="K57" s="42" t="s">
        <v>106</v>
      </c>
      <c r="L57" s="15"/>
      <c r="M57" s="15"/>
      <c r="N57" s="15"/>
      <c r="O57" s="15"/>
      <c r="P57" s="15"/>
      <c r="Q57" s="15"/>
      <c r="R57" s="15"/>
      <c r="S57" s="15"/>
      <c r="T57" s="15"/>
      <c r="U57" s="15"/>
      <c r="V57" s="15"/>
      <c r="W57" s="15"/>
      <c r="X57" s="15"/>
      <c r="Y57" s="15"/>
      <c r="Z57" s="15"/>
    </row>
    <row r="58" spans="1:26" ht="28.5" customHeight="1" x14ac:dyDescent="0.2">
      <c r="A58" s="15"/>
      <c r="B58" s="43">
        <v>9</v>
      </c>
      <c r="C58" s="57" t="s">
        <v>237</v>
      </c>
      <c r="D58" s="45"/>
      <c r="E58" s="51"/>
      <c r="F58" s="51"/>
      <c r="G58" s="51"/>
      <c r="H58" s="51"/>
      <c r="I58" s="51"/>
      <c r="J58" s="52">
        <f>SUM(J55:J57)</f>
        <v>11000</v>
      </c>
      <c r="K58" s="53"/>
      <c r="L58" s="15"/>
      <c r="M58" s="15"/>
      <c r="N58" s="15"/>
      <c r="O58" s="15"/>
      <c r="P58" s="15"/>
      <c r="Q58" s="15"/>
      <c r="R58" s="15"/>
      <c r="S58" s="15"/>
      <c r="T58" s="15"/>
      <c r="U58" s="15"/>
      <c r="V58" s="15"/>
      <c r="W58" s="15"/>
      <c r="X58" s="15"/>
      <c r="Y58" s="15"/>
      <c r="Z58" s="15"/>
    </row>
    <row r="59" spans="1:26" ht="12.75" customHeight="1" x14ac:dyDescent="0.2">
      <c r="A59" s="15"/>
      <c r="B59" s="36" t="s">
        <v>238</v>
      </c>
      <c r="C59" s="37" t="s">
        <v>239</v>
      </c>
      <c r="D59" s="36" t="s">
        <v>223</v>
      </c>
      <c r="E59" s="38">
        <v>46082</v>
      </c>
      <c r="F59" s="38">
        <v>46087</v>
      </c>
      <c r="G59" s="39">
        <f t="shared" ref="G59:G61" si="9">F59-E59</f>
        <v>5</v>
      </c>
      <c r="H59" s="36" t="s">
        <v>240</v>
      </c>
      <c r="I59" s="36" t="s">
        <v>241</v>
      </c>
      <c r="J59" s="41">
        <v>3500</v>
      </c>
      <c r="K59" s="42" t="s">
        <v>106</v>
      </c>
      <c r="L59" s="15"/>
      <c r="M59" s="15"/>
      <c r="N59" s="15"/>
      <c r="O59" s="15"/>
      <c r="P59" s="15"/>
      <c r="Q59" s="15"/>
      <c r="R59" s="15"/>
      <c r="S59" s="15"/>
      <c r="T59" s="15"/>
      <c r="U59" s="15"/>
      <c r="V59" s="15"/>
      <c r="W59" s="15"/>
      <c r="X59" s="15"/>
      <c r="Y59" s="15"/>
      <c r="Z59" s="15"/>
    </row>
    <row r="60" spans="1:26" ht="12.75" customHeight="1" x14ac:dyDescent="0.2">
      <c r="A60" s="15"/>
      <c r="B60" s="36" t="s">
        <v>242</v>
      </c>
      <c r="C60" s="37" t="s">
        <v>243</v>
      </c>
      <c r="D60" s="36" t="s">
        <v>238</v>
      </c>
      <c r="E60" s="38">
        <v>46088</v>
      </c>
      <c r="F60" s="38">
        <v>46093</v>
      </c>
      <c r="G60" s="39">
        <f t="shared" si="9"/>
        <v>5</v>
      </c>
      <c r="H60" s="36" t="s">
        <v>240</v>
      </c>
      <c r="I60" s="36" t="s">
        <v>241</v>
      </c>
      <c r="J60" s="41">
        <v>2500</v>
      </c>
      <c r="K60" s="42" t="s">
        <v>106</v>
      </c>
      <c r="L60" s="15"/>
      <c r="M60" s="15"/>
      <c r="N60" s="15"/>
      <c r="O60" s="15"/>
      <c r="P60" s="15"/>
      <c r="Q60" s="15"/>
      <c r="R60" s="15"/>
      <c r="S60" s="15"/>
      <c r="T60" s="15"/>
      <c r="U60" s="15"/>
      <c r="V60" s="15"/>
      <c r="W60" s="15"/>
      <c r="X60" s="15"/>
      <c r="Y60" s="15"/>
      <c r="Z60" s="15"/>
    </row>
    <row r="61" spans="1:26" ht="12.75" customHeight="1" x14ac:dyDescent="0.2">
      <c r="A61" s="15"/>
      <c r="B61" s="36" t="s">
        <v>244</v>
      </c>
      <c r="C61" s="37" t="s">
        <v>219</v>
      </c>
      <c r="D61" s="36" t="s">
        <v>238</v>
      </c>
      <c r="E61" s="38">
        <v>46094</v>
      </c>
      <c r="F61" s="38">
        <v>46106</v>
      </c>
      <c r="G61" s="39">
        <f t="shared" si="9"/>
        <v>12</v>
      </c>
      <c r="H61" s="36" t="s">
        <v>240</v>
      </c>
      <c r="I61" s="36" t="s">
        <v>241</v>
      </c>
      <c r="J61" s="41">
        <v>9000</v>
      </c>
      <c r="K61" s="42" t="s">
        <v>106</v>
      </c>
      <c r="L61" s="15"/>
      <c r="M61" s="15"/>
      <c r="N61" s="15"/>
      <c r="O61" s="15"/>
      <c r="P61" s="15"/>
      <c r="Q61" s="15"/>
      <c r="R61" s="15"/>
      <c r="S61" s="15"/>
      <c r="T61" s="15"/>
      <c r="U61" s="15"/>
      <c r="V61" s="15"/>
      <c r="W61" s="15"/>
      <c r="X61" s="15"/>
      <c r="Y61" s="15"/>
      <c r="Z61" s="15"/>
    </row>
    <row r="62" spans="1:26" ht="28.5" customHeight="1" x14ac:dyDescent="0.2">
      <c r="A62" s="15"/>
      <c r="B62" s="43">
        <v>10</v>
      </c>
      <c r="C62" s="57" t="s">
        <v>245</v>
      </c>
      <c r="D62" s="45"/>
      <c r="E62" s="51"/>
      <c r="F62" s="51"/>
      <c r="G62" s="51"/>
      <c r="H62" s="51"/>
      <c r="I62" s="51"/>
      <c r="J62" s="52">
        <f>SUM(J59:J61)</f>
        <v>15000</v>
      </c>
      <c r="K62" s="53"/>
      <c r="L62" s="15"/>
      <c r="M62" s="15"/>
      <c r="N62" s="15"/>
      <c r="O62" s="15"/>
      <c r="P62" s="15"/>
      <c r="Q62" s="15"/>
      <c r="R62" s="15"/>
      <c r="S62" s="15"/>
      <c r="T62" s="15"/>
      <c r="U62" s="15"/>
      <c r="V62" s="15"/>
      <c r="W62" s="15"/>
      <c r="X62" s="15"/>
      <c r="Y62" s="15"/>
      <c r="Z62" s="15"/>
    </row>
    <row r="63" spans="1:26" ht="45" customHeight="1" x14ac:dyDescent="0.2">
      <c r="A63" s="15"/>
      <c r="B63" s="58" t="s">
        <v>246</v>
      </c>
      <c r="C63" s="37" t="s">
        <v>247</v>
      </c>
      <c r="D63" s="58" t="s">
        <v>248</v>
      </c>
      <c r="E63" s="38">
        <v>46148</v>
      </c>
      <c r="F63" s="38">
        <v>46155</v>
      </c>
      <c r="G63" s="39">
        <f t="shared" ref="G63:G65" si="10">F63-E63</f>
        <v>7</v>
      </c>
      <c r="H63" s="36" t="s">
        <v>249</v>
      </c>
      <c r="I63" s="36" t="s">
        <v>250</v>
      </c>
      <c r="J63" s="41">
        <v>4000</v>
      </c>
      <c r="K63" s="42" t="s">
        <v>106</v>
      </c>
      <c r="L63" s="15"/>
      <c r="M63" s="15"/>
      <c r="N63" s="15"/>
      <c r="O63" s="15"/>
      <c r="P63" s="15"/>
      <c r="Q63" s="15"/>
      <c r="R63" s="15"/>
      <c r="S63" s="15"/>
      <c r="T63" s="15"/>
      <c r="U63" s="15"/>
      <c r="V63" s="15"/>
      <c r="W63" s="15"/>
      <c r="X63" s="15"/>
      <c r="Y63" s="15"/>
      <c r="Z63" s="15"/>
    </row>
    <row r="64" spans="1:26" ht="12.75" customHeight="1" x14ac:dyDescent="0.2">
      <c r="A64" s="15"/>
      <c r="B64" s="58" t="s">
        <v>251</v>
      </c>
      <c r="C64" s="37" t="s">
        <v>252</v>
      </c>
      <c r="D64" s="58" t="s">
        <v>253</v>
      </c>
      <c r="E64" s="59">
        <v>46168</v>
      </c>
      <c r="F64" s="59">
        <v>46177</v>
      </c>
      <c r="G64" s="39">
        <f t="shared" si="10"/>
        <v>9</v>
      </c>
      <c r="H64" s="36" t="s">
        <v>249</v>
      </c>
      <c r="I64" s="36" t="s">
        <v>250</v>
      </c>
      <c r="J64" s="41">
        <v>2600</v>
      </c>
      <c r="K64" s="42" t="s">
        <v>106</v>
      </c>
      <c r="L64" s="15"/>
      <c r="M64" s="15"/>
      <c r="N64" s="15"/>
      <c r="O64" s="15"/>
      <c r="P64" s="15"/>
      <c r="Q64" s="15"/>
      <c r="R64" s="15"/>
      <c r="S64" s="15"/>
      <c r="T64" s="15"/>
      <c r="U64" s="15"/>
      <c r="V64" s="15"/>
      <c r="W64" s="15"/>
      <c r="X64" s="15"/>
      <c r="Y64" s="15"/>
      <c r="Z64" s="15"/>
    </row>
    <row r="65" spans="1:26" ht="12.75" customHeight="1" x14ac:dyDescent="0.2">
      <c r="A65" s="15"/>
      <c r="B65" s="58" t="s">
        <v>254</v>
      </c>
      <c r="C65" s="37" t="s">
        <v>255</v>
      </c>
      <c r="D65" s="58" t="s">
        <v>246</v>
      </c>
      <c r="E65" s="59">
        <v>46156</v>
      </c>
      <c r="F65" s="59">
        <v>46168</v>
      </c>
      <c r="G65" s="39">
        <f t="shared" si="10"/>
        <v>12</v>
      </c>
      <c r="H65" s="36" t="s">
        <v>249</v>
      </c>
      <c r="I65" s="36" t="s">
        <v>250</v>
      </c>
      <c r="J65" s="41">
        <v>2300</v>
      </c>
      <c r="K65" s="42" t="s">
        <v>106</v>
      </c>
      <c r="L65" s="15"/>
      <c r="M65" s="15"/>
      <c r="N65" s="15"/>
      <c r="O65" s="15"/>
      <c r="P65" s="15"/>
      <c r="Q65" s="15"/>
      <c r="R65" s="15"/>
      <c r="S65" s="15"/>
      <c r="T65" s="15"/>
      <c r="U65" s="15"/>
      <c r="V65" s="15"/>
      <c r="W65" s="15"/>
      <c r="X65" s="15"/>
      <c r="Y65" s="15"/>
      <c r="Z65" s="15"/>
    </row>
    <row r="66" spans="1:26" ht="28.5" customHeight="1" x14ac:dyDescent="0.2">
      <c r="A66" s="15"/>
      <c r="B66" s="60">
        <v>11</v>
      </c>
      <c r="C66" s="57" t="s">
        <v>256</v>
      </c>
      <c r="D66" s="61"/>
      <c r="E66" s="62"/>
      <c r="F66" s="62"/>
      <c r="G66" s="63"/>
      <c r="H66" s="62"/>
      <c r="I66" s="63"/>
      <c r="J66" s="64">
        <f>SUM(J63:J65)</f>
        <v>8900</v>
      </c>
      <c r="K66" s="65"/>
      <c r="L66" s="15"/>
      <c r="M66" s="15"/>
      <c r="N66" s="15"/>
      <c r="O66" s="15"/>
      <c r="P66" s="15"/>
      <c r="Q66" s="15"/>
      <c r="R66" s="15"/>
      <c r="S66" s="15"/>
      <c r="T66" s="15"/>
      <c r="U66" s="15"/>
      <c r="V66" s="15"/>
      <c r="W66" s="15"/>
      <c r="X66" s="15"/>
      <c r="Y66" s="15"/>
      <c r="Z66" s="15"/>
    </row>
    <row r="67" spans="1:26" ht="12.75" customHeight="1" x14ac:dyDescent="0.2">
      <c r="A67" s="15"/>
      <c r="B67" s="66" t="s">
        <v>257</v>
      </c>
      <c r="C67" s="37" t="s">
        <v>258</v>
      </c>
      <c r="D67" s="66" t="s">
        <v>254</v>
      </c>
      <c r="E67" s="67">
        <v>46168</v>
      </c>
      <c r="F67" s="67">
        <v>46171</v>
      </c>
      <c r="G67" s="39">
        <f t="shared" ref="G67:G70" si="11">F67-E67</f>
        <v>3</v>
      </c>
      <c r="H67" s="68" t="s">
        <v>221</v>
      </c>
      <c r="I67" s="36" t="s">
        <v>222</v>
      </c>
      <c r="J67" s="41">
        <v>3700</v>
      </c>
      <c r="K67" s="69" t="s">
        <v>106</v>
      </c>
      <c r="L67" s="15"/>
      <c r="M67" s="15"/>
      <c r="N67" s="15"/>
      <c r="O67" s="15"/>
      <c r="P67" s="15"/>
      <c r="Q67" s="15"/>
      <c r="R67" s="15"/>
      <c r="S67" s="15"/>
      <c r="T67" s="15"/>
      <c r="U67" s="15"/>
      <c r="V67" s="15"/>
      <c r="W67" s="15"/>
      <c r="X67" s="15"/>
      <c r="Y67" s="15"/>
      <c r="Z67" s="15"/>
    </row>
    <row r="68" spans="1:26" ht="12.75" customHeight="1" x14ac:dyDescent="0.2">
      <c r="B68" s="66" t="s">
        <v>259</v>
      </c>
      <c r="C68" s="37" t="s">
        <v>260</v>
      </c>
      <c r="D68" s="66">
        <v>0</v>
      </c>
      <c r="E68" s="67">
        <v>46114</v>
      </c>
      <c r="F68" s="67">
        <v>46115</v>
      </c>
      <c r="G68" s="39">
        <f t="shared" si="11"/>
        <v>1</v>
      </c>
      <c r="H68" s="68" t="s">
        <v>221</v>
      </c>
      <c r="I68" s="36" t="s">
        <v>222</v>
      </c>
      <c r="J68" s="41">
        <v>8500</v>
      </c>
      <c r="K68" s="69" t="s">
        <v>106</v>
      </c>
    </row>
    <row r="69" spans="1:26" ht="12.75" customHeight="1" x14ac:dyDescent="0.2">
      <c r="B69" s="66" t="s">
        <v>261</v>
      </c>
      <c r="C69" s="37" t="s">
        <v>262</v>
      </c>
      <c r="D69" s="66" t="s">
        <v>263</v>
      </c>
      <c r="E69" s="67">
        <v>46171</v>
      </c>
      <c r="F69" s="67">
        <v>46172</v>
      </c>
      <c r="G69" s="39">
        <f t="shared" si="11"/>
        <v>1</v>
      </c>
      <c r="H69" s="68" t="s">
        <v>221</v>
      </c>
      <c r="I69" s="36" t="s">
        <v>222</v>
      </c>
      <c r="J69" s="41">
        <v>2800</v>
      </c>
      <c r="K69" s="69" t="s">
        <v>106</v>
      </c>
    </row>
    <row r="70" spans="1:26" ht="18" customHeight="1" x14ac:dyDescent="0.2">
      <c r="B70" s="70"/>
      <c r="C70" s="71"/>
      <c r="D70" s="72"/>
      <c r="E70" s="73"/>
      <c r="F70" s="73"/>
      <c r="G70" s="39">
        <f t="shared" si="11"/>
        <v>0</v>
      </c>
      <c r="H70" s="73"/>
      <c r="I70" s="73"/>
      <c r="J70" s="74">
        <f>SUM(J67:J69)</f>
        <v>15000</v>
      </c>
      <c r="K70" s="75"/>
    </row>
    <row r="71" spans="1:26" ht="21" customHeight="1" x14ac:dyDescent="0.2">
      <c r="B71" s="76"/>
      <c r="C71" s="77"/>
      <c r="D71" s="78" t="s">
        <v>264</v>
      </c>
      <c r="E71" s="79"/>
      <c r="F71" s="79"/>
      <c r="G71" s="79"/>
      <c r="H71" s="79"/>
      <c r="I71" s="79"/>
      <c r="J71" s="80">
        <f>SUM(J11:J70)</f>
        <v>346510</v>
      </c>
      <c r="K71" s="81"/>
    </row>
    <row r="72" spans="1:26" ht="17.25" customHeight="1" x14ac:dyDescent="0.2">
      <c r="B72" s="28"/>
      <c r="C72" s="28"/>
      <c r="D72" s="28"/>
      <c r="E72" s="28"/>
      <c r="F72" s="28"/>
      <c r="G72" s="28"/>
      <c r="H72" s="28"/>
      <c r="I72" s="28"/>
      <c r="J72" s="28"/>
      <c r="K72" s="28"/>
    </row>
    <row r="73" spans="1:26" ht="24" customHeight="1" x14ac:dyDescent="0.2">
      <c r="B73" s="16"/>
      <c r="C73" s="17"/>
      <c r="D73" s="16"/>
      <c r="E73" s="18"/>
      <c r="F73" s="18"/>
      <c r="G73" s="18"/>
      <c r="H73" s="18"/>
      <c r="I73" s="18"/>
      <c r="J73" s="18"/>
    </row>
    <row r="74" spans="1:26" ht="12.75" customHeight="1" x14ac:dyDescent="0.2">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ht="12.75" customHeight="1" x14ac:dyDescent="0.2">
      <c r="B75" s="16"/>
      <c r="C75" s="17"/>
      <c r="D75" s="16"/>
      <c r="E75" s="18"/>
      <c r="F75" s="18"/>
      <c r="G75" s="18"/>
      <c r="H75" s="18"/>
      <c r="I75" s="18"/>
      <c r="J75" s="18"/>
    </row>
    <row r="76" spans="1:26" ht="12.75" customHeight="1" x14ac:dyDescent="0.2">
      <c r="B76" s="16"/>
      <c r="C76" s="17"/>
      <c r="D76" s="16"/>
      <c r="E76" s="18"/>
      <c r="F76" s="18"/>
      <c r="G76" s="18"/>
      <c r="H76" s="18"/>
      <c r="I76" s="18"/>
      <c r="J76" s="18"/>
    </row>
    <row r="77" spans="1:26" ht="12.75" customHeight="1" x14ac:dyDescent="0.2">
      <c r="B77" s="16"/>
      <c r="C77" s="17"/>
      <c r="D77" s="16"/>
      <c r="E77" s="18"/>
      <c r="F77" s="18"/>
      <c r="G77" s="18"/>
      <c r="H77" s="18"/>
      <c r="I77" s="18"/>
      <c r="J77" s="18"/>
    </row>
    <row r="78" spans="1:26" ht="12.75" customHeight="1" x14ac:dyDescent="0.2">
      <c r="B78" s="16"/>
      <c r="C78" s="17"/>
      <c r="D78" s="16"/>
      <c r="E78" s="18"/>
      <c r="F78" s="18"/>
      <c r="G78" s="18"/>
      <c r="H78" s="18"/>
      <c r="I78" s="18"/>
      <c r="J78" s="18"/>
    </row>
    <row r="79" spans="1:26" ht="12.75" customHeight="1" x14ac:dyDescent="0.2">
      <c r="B79" s="16"/>
      <c r="C79" s="17"/>
      <c r="D79" s="16"/>
      <c r="E79" s="18"/>
      <c r="F79" s="18"/>
      <c r="G79" s="18"/>
      <c r="H79" s="18"/>
      <c r="I79" s="18"/>
      <c r="J79" s="18"/>
    </row>
    <row r="80" spans="1:26" ht="12.75" customHeight="1" x14ac:dyDescent="0.2">
      <c r="B80" s="16"/>
      <c r="C80" s="17"/>
      <c r="D80" s="16"/>
      <c r="E80" s="18"/>
      <c r="F80" s="18"/>
      <c r="G80" s="18"/>
      <c r="H80" s="18"/>
      <c r="I80" s="18"/>
      <c r="J80" s="18"/>
    </row>
    <row r="81" spans="2:10" ht="12.75" customHeight="1" x14ac:dyDescent="0.2">
      <c r="B81" s="16"/>
      <c r="C81" s="17"/>
      <c r="D81" s="16"/>
      <c r="E81" s="18"/>
      <c r="F81" s="18"/>
      <c r="G81" s="18"/>
      <c r="H81" s="18"/>
      <c r="I81" s="18"/>
      <c r="J81" s="18"/>
    </row>
    <row r="82" spans="2:10" ht="12.75" customHeight="1" x14ac:dyDescent="0.2">
      <c r="B82" s="16"/>
      <c r="C82" s="17"/>
      <c r="D82" s="16"/>
      <c r="E82" s="18"/>
      <c r="F82" s="18"/>
      <c r="G82" s="18"/>
      <c r="H82" s="18"/>
      <c r="I82" s="18"/>
      <c r="J82" s="18"/>
    </row>
    <row r="83" spans="2:10" ht="12.75" customHeight="1" x14ac:dyDescent="0.2">
      <c r="B83" s="16"/>
      <c r="C83" s="17"/>
      <c r="D83" s="16"/>
      <c r="E83" s="18"/>
      <c r="F83" s="18"/>
      <c r="G83" s="18"/>
      <c r="H83" s="18"/>
      <c r="I83" s="18"/>
      <c r="J83" s="18"/>
    </row>
    <row r="84" spans="2:10" ht="12.75" customHeight="1" x14ac:dyDescent="0.2">
      <c r="B84" s="16"/>
      <c r="C84" s="17"/>
      <c r="D84" s="16"/>
      <c r="E84" s="18"/>
      <c r="F84" s="18"/>
      <c r="G84" s="18"/>
      <c r="H84" s="18"/>
      <c r="I84" s="18"/>
      <c r="J84" s="18"/>
    </row>
    <row r="85" spans="2:10" ht="12.75" customHeight="1" x14ac:dyDescent="0.2">
      <c r="B85" s="16"/>
      <c r="C85" s="17"/>
      <c r="D85" s="16"/>
      <c r="E85" s="18"/>
      <c r="F85" s="18"/>
      <c r="G85" s="18"/>
      <c r="H85" s="18"/>
      <c r="I85" s="18"/>
      <c r="J85" s="18"/>
    </row>
    <row r="86" spans="2:10" ht="15" customHeight="1" x14ac:dyDescent="0.2">
      <c r="B86" s="16"/>
      <c r="C86" s="17"/>
      <c r="D86" s="16"/>
      <c r="E86" s="18"/>
      <c r="F86" s="18"/>
      <c r="G86" s="18"/>
      <c r="H86" s="18"/>
      <c r="I86" s="18"/>
      <c r="J86" s="18"/>
    </row>
    <row r="87" spans="2:10" ht="15" customHeight="1" x14ac:dyDescent="0.2">
      <c r="B87" s="16"/>
      <c r="C87" s="17"/>
      <c r="D87" s="16"/>
      <c r="E87" s="18"/>
      <c r="F87" s="18"/>
      <c r="G87" s="18"/>
      <c r="H87" s="18"/>
      <c r="I87" s="18"/>
      <c r="J87" s="18"/>
    </row>
    <row r="88" spans="2:10" ht="15" customHeight="1" x14ac:dyDescent="0.2">
      <c r="B88" s="16"/>
      <c r="C88" s="17"/>
      <c r="D88" s="16"/>
      <c r="E88" s="18"/>
      <c r="F88" s="18"/>
      <c r="G88" s="18"/>
      <c r="H88" s="18"/>
      <c r="I88" s="18"/>
      <c r="J88" s="18"/>
    </row>
    <row r="89" spans="2:10" ht="12.75" customHeight="1" x14ac:dyDescent="0.2">
      <c r="B89" s="16"/>
      <c r="C89" s="17"/>
      <c r="D89" s="16"/>
      <c r="E89" s="18"/>
      <c r="F89" s="18"/>
      <c r="G89" s="18"/>
      <c r="H89" s="18"/>
      <c r="I89" s="18"/>
      <c r="J89" s="18"/>
    </row>
    <row r="90" spans="2:10" ht="12.75" customHeight="1" x14ac:dyDescent="0.2">
      <c r="B90" s="16"/>
      <c r="C90" s="17"/>
      <c r="D90" s="16"/>
      <c r="E90" s="18"/>
      <c r="F90" s="18"/>
      <c r="G90" s="18"/>
      <c r="H90" s="18"/>
      <c r="I90" s="18"/>
      <c r="J90" s="18"/>
    </row>
    <row r="91" spans="2:10" ht="12.75" customHeight="1" x14ac:dyDescent="0.2">
      <c r="B91" s="16"/>
      <c r="C91" s="17"/>
      <c r="D91" s="16"/>
      <c r="E91" s="18"/>
      <c r="F91" s="18"/>
      <c r="G91" s="18"/>
      <c r="H91" s="18"/>
      <c r="I91" s="18"/>
      <c r="J91" s="18"/>
    </row>
    <row r="92" spans="2:10" ht="19.5" customHeight="1" x14ac:dyDescent="0.2">
      <c r="B92" s="16"/>
      <c r="C92" s="17"/>
      <c r="D92" s="16"/>
      <c r="E92" s="18"/>
      <c r="F92" s="18"/>
      <c r="G92" s="18"/>
      <c r="H92" s="18"/>
      <c r="I92" s="18"/>
      <c r="J92" s="18"/>
    </row>
    <row r="93" spans="2:10" ht="34.5" customHeight="1" x14ac:dyDescent="0.2">
      <c r="B93" s="16"/>
      <c r="C93" s="17"/>
      <c r="D93" s="16"/>
      <c r="E93" s="18"/>
      <c r="F93" s="18"/>
      <c r="G93" s="18"/>
      <c r="H93" s="18"/>
      <c r="I93" s="18"/>
      <c r="J93" s="18"/>
    </row>
    <row r="94" spans="2:10" ht="18.75" customHeight="1" x14ac:dyDescent="0.2">
      <c r="B94" s="16"/>
      <c r="C94" s="17"/>
      <c r="D94" s="16"/>
      <c r="E94" s="18"/>
      <c r="F94" s="18"/>
      <c r="G94" s="18"/>
      <c r="H94" s="18"/>
      <c r="I94" s="18"/>
      <c r="J94" s="18"/>
    </row>
    <row r="95" spans="2:10" ht="12.75" customHeight="1" x14ac:dyDescent="0.2">
      <c r="B95" s="16"/>
      <c r="C95" s="17"/>
      <c r="D95" s="16"/>
      <c r="E95" s="18"/>
      <c r="F95" s="18"/>
      <c r="G95" s="18"/>
      <c r="H95" s="18"/>
      <c r="I95" s="18"/>
      <c r="J95" s="18"/>
    </row>
    <row r="96" spans="2:10" ht="12.75" customHeight="1" x14ac:dyDescent="0.2">
      <c r="B96" s="16"/>
      <c r="C96" s="17"/>
      <c r="D96" s="16"/>
      <c r="E96" s="18"/>
      <c r="F96" s="18"/>
      <c r="G96" s="18"/>
      <c r="H96" s="18"/>
      <c r="I96" s="18"/>
      <c r="J96" s="18"/>
    </row>
    <row r="97" spans="2:10" ht="12.75" customHeight="1" x14ac:dyDescent="0.2">
      <c r="B97" s="16"/>
      <c r="C97" s="17"/>
      <c r="D97" s="16"/>
      <c r="E97" s="18"/>
      <c r="F97" s="18"/>
      <c r="G97" s="18"/>
      <c r="H97" s="18"/>
      <c r="I97" s="18"/>
      <c r="J97" s="18"/>
    </row>
    <row r="98" spans="2:10" ht="12.75" customHeight="1" x14ac:dyDescent="0.2">
      <c r="B98" s="16"/>
      <c r="C98" s="17"/>
      <c r="D98" s="16"/>
      <c r="E98" s="18"/>
      <c r="F98" s="18"/>
      <c r="G98" s="18"/>
      <c r="H98" s="18"/>
      <c r="I98" s="18"/>
      <c r="J98" s="18"/>
    </row>
    <row r="99" spans="2:10" ht="12.75" customHeight="1" x14ac:dyDescent="0.2">
      <c r="B99" s="16"/>
      <c r="C99" s="17"/>
      <c r="D99" s="16"/>
      <c r="E99" s="18"/>
      <c r="F99" s="18"/>
      <c r="G99" s="18"/>
      <c r="H99" s="18"/>
      <c r="I99" s="18"/>
      <c r="J99" s="18"/>
    </row>
    <row r="100" spans="2:10" ht="12.75" customHeight="1" x14ac:dyDescent="0.2">
      <c r="B100" s="16"/>
      <c r="C100" s="17"/>
      <c r="D100" s="16"/>
      <c r="E100" s="18"/>
      <c r="F100" s="18"/>
      <c r="G100" s="18"/>
      <c r="H100" s="18"/>
      <c r="I100" s="18"/>
      <c r="J100" s="18"/>
    </row>
    <row r="101" spans="2:10" ht="12.75" customHeight="1" x14ac:dyDescent="0.2">
      <c r="B101" s="16"/>
      <c r="C101" s="17"/>
      <c r="D101" s="16"/>
      <c r="E101" s="18"/>
      <c r="F101" s="18"/>
      <c r="G101" s="18"/>
      <c r="H101" s="18"/>
      <c r="I101" s="18"/>
      <c r="J101" s="18"/>
    </row>
    <row r="102" spans="2:10" ht="12.75" customHeight="1" x14ac:dyDescent="0.2">
      <c r="B102" s="16"/>
      <c r="C102" s="17"/>
      <c r="D102" s="16"/>
      <c r="E102" s="18"/>
      <c r="F102" s="18"/>
      <c r="G102" s="18"/>
      <c r="H102" s="18"/>
      <c r="I102" s="18"/>
      <c r="J102" s="18"/>
    </row>
    <row r="103" spans="2:10" ht="12.75" customHeight="1" x14ac:dyDescent="0.2">
      <c r="B103" s="16"/>
      <c r="C103" s="17"/>
      <c r="D103" s="16"/>
      <c r="E103" s="18"/>
      <c r="F103" s="18"/>
      <c r="G103" s="18"/>
      <c r="H103" s="18"/>
      <c r="I103" s="18"/>
      <c r="J103" s="18"/>
    </row>
    <row r="104" spans="2:10" ht="12.75" customHeight="1" x14ac:dyDescent="0.2">
      <c r="B104" s="16"/>
      <c r="C104" s="17"/>
      <c r="D104" s="16"/>
      <c r="E104" s="18"/>
      <c r="F104" s="18"/>
      <c r="G104" s="18"/>
      <c r="H104" s="18"/>
      <c r="I104" s="18"/>
      <c r="J104" s="18"/>
    </row>
    <row r="105" spans="2:10" ht="12.75" customHeight="1" x14ac:dyDescent="0.2">
      <c r="B105" s="16"/>
      <c r="C105" s="17"/>
      <c r="D105" s="16"/>
      <c r="E105" s="18"/>
      <c r="F105" s="18"/>
      <c r="G105" s="18"/>
      <c r="H105" s="18"/>
      <c r="I105" s="18"/>
      <c r="J105" s="18"/>
    </row>
    <row r="106" spans="2:10" ht="12.75" customHeight="1" x14ac:dyDescent="0.2">
      <c r="B106" s="16"/>
      <c r="C106" s="17"/>
      <c r="D106" s="16"/>
      <c r="E106" s="18"/>
      <c r="F106" s="18"/>
      <c r="G106" s="18"/>
      <c r="H106" s="18"/>
      <c r="I106" s="18"/>
      <c r="J106" s="18"/>
    </row>
    <row r="107" spans="2:10" ht="12.75" customHeight="1" x14ac:dyDescent="0.2">
      <c r="B107" s="16"/>
      <c r="C107" s="17"/>
      <c r="D107" s="16"/>
      <c r="E107" s="18"/>
      <c r="F107" s="18"/>
      <c r="G107" s="18"/>
      <c r="H107" s="18"/>
      <c r="I107" s="18"/>
      <c r="J107" s="18"/>
    </row>
    <row r="108" spans="2:10" ht="12.75" customHeight="1" x14ac:dyDescent="0.2">
      <c r="B108" s="16"/>
      <c r="C108" s="17"/>
      <c r="D108" s="16"/>
      <c r="E108" s="18"/>
      <c r="F108" s="18"/>
      <c r="G108" s="18"/>
      <c r="H108" s="18"/>
      <c r="I108" s="18"/>
      <c r="J108" s="18"/>
    </row>
    <row r="109" spans="2:10" ht="12.75" customHeight="1" x14ac:dyDescent="0.2">
      <c r="B109" s="16"/>
      <c r="C109" s="17"/>
      <c r="D109" s="16"/>
      <c r="E109" s="18"/>
      <c r="F109" s="18"/>
      <c r="G109" s="18"/>
      <c r="H109" s="18"/>
      <c r="I109" s="18"/>
      <c r="J109" s="18"/>
    </row>
    <row r="110" spans="2:10" ht="12.75" customHeight="1" x14ac:dyDescent="0.2">
      <c r="B110" s="16"/>
      <c r="C110" s="17"/>
      <c r="D110" s="16"/>
      <c r="E110" s="18"/>
      <c r="F110" s="18"/>
      <c r="G110" s="18"/>
      <c r="H110" s="18"/>
      <c r="I110" s="18"/>
      <c r="J110" s="18"/>
    </row>
    <row r="111" spans="2:10" ht="12.75" customHeight="1" x14ac:dyDescent="0.2">
      <c r="B111" s="16"/>
      <c r="C111" s="17"/>
      <c r="D111" s="16"/>
      <c r="E111" s="18"/>
      <c r="F111" s="18"/>
      <c r="G111" s="18"/>
      <c r="H111" s="18"/>
      <c r="I111" s="18"/>
      <c r="J111" s="18"/>
    </row>
    <row r="112" spans="2:10" ht="12.75" customHeight="1" x14ac:dyDescent="0.2">
      <c r="B112" s="16"/>
      <c r="C112" s="17"/>
      <c r="D112" s="16"/>
      <c r="E112" s="18"/>
      <c r="F112" s="18"/>
      <c r="G112" s="18"/>
      <c r="H112" s="18"/>
      <c r="I112" s="18"/>
      <c r="J112" s="18"/>
    </row>
    <row r="113" spans="2:10" ht="12.75" customHeight="1" x14ac:dyDescent="0.2">
      <c r="B113" s="16"/>
      <c r="C113" s="17"/>
      <c r="D113" s="16"/>
      <c r="E113" s="18"/>
      <c r="F113" s="18"/>
      <c r="G113" s="18"/>
      <c r="H113" s="18"/>
      <c r="I113" s="18"/>
      <c r="J113" s="18"/>
    </row>
    <row r="114" spans="2:10" ht="12.75" customHeight="1" x14ac:dyDescent="0.2">
      <c r="B114" s="16"/>
      <c r="C114" s="17"/>
      <c r="D114" s="16"/>
      <c r="E114" s="18"/>
      <c r="F114" s="18"/>
      <c r="G114" s="18"/>
      <c r="H114" s="18"/>
      <c r="I114" s="18"/>
      <c r="J114" s="18"/>
    </row>
    <row r="115" spans="2:10" ht="12.75" customHeight="1" x14ac:dyDescent="0.2">
      <c r="B115" s="16"/>
      <c r="C115" s="17"/>
      <c r="D115" s="16"/>
      <c r="E115" s="18"/>
      <c r="F115" s="18"/>
      <c r="G115" s="18"/>
      <c r="H115" s="18"/>
      <c r="I115" s="18"/>
      <c r="J115" s="18"/>
    </row>
    <row r="116" spans="2:10" ht="12.75" customHeight="1" x14ac:dyDescent="0.2">
      <c r="B116" s="16"/>
      <c r="C116" s="17"/>
      <c r="D116" s="16"/>
      <c r="E116" s="18"/>
      <c r="F116" s="18"/>
      <c r="G116" s="18"/>
      <c r="H116" s="18"/>
      <c r="I116" s="18"/>
      <c r="J116" s="18"/>
    </row>
    <row r="117" spans="2:10" ht="12.75" customHeight="1" x14ac:dyDescent="0.2">
      <c r="B117" s="16"/>
      <c r="C117" s="17"/>
      <c r="D117" s="16"/>
      <c r="E117" s="18"/>
      <c r="F117" s="18"/>
      <c r="G117" s="18"/>
      <c r="H117" s="18"/>
      <c r="I117" s="18"/>
      <c r="J117" s="18"/>
    </row>
    <row r="118" spans="2:10" ht="12.75" customHeight="1" x14ac:dyDescent="0.2">
      <c r="B118" s="16"/>
      <c r="C118" s="17"/>
      <c r="D118" s="16"/>
      <c r="E118" s="18"/>
      <c r="F118" s="18"/>
      <c r="G118" s="18"/>
      <c r="H118" s="18"/>
      <c r="I118" s="18"/>
      <c r="J118" s="18"/>
    </row>
    <row r="119" spans="2:10" ht="12.75" customHeight="1" x14ac:dyDescent="0.2">
      <c r="B119" s="16"/>
      <c r="C119" s="17"/>
      <c r="D119" s="16"/>
      <c r="E119" s="18"/>
      <c r="F119" s="18"/>
      <c r="G119" s="18"/>
      <c r="H119" s="18"/>
      <c r="I119" s="18"/>
      <c r="J119" s="18"/>
    </row>
    <row r="120" spans="2:10" ht="12.75" customHeight="1" x14ac:dyDescent="0.2">
      <c r="B120" s="16"/>
      <c r="C120" s="17"/>
      <c r="D120" s="16"/>
      <c r="E120" s="18"/>
      <c r="F120" s="18"/>
      <c r="G120" s="18"/>
      <c r="H120" s="18"/>
      <c r="I120" s="18"/>
      <c r="J120" s="18"/>
    </row>
    <row r="121" spans="2:10" ht="12.75" customHeight="1" x14ac:dyDescent="0.2">
      <c r="B121" s="16"/>
      <c r="C121" s="17"/>
      <c r="D121" s="16"/>
      <c r="E121" s="18"/>
      <c r="F121" s="18"/>
      <c r="G121" s="18"/>
      <c r="H121" s="18"/>
      <c r="I121" s="18"/>
      <c r="J121" s="18"/>
    </row>
    <row r="122" spans="2:10" ht="12.75" customHeight="1" x14ac:dyDescent="0.2">
      <c r="B122" s="16"/>
      <c r="C122" s="17"/>
      <c r="D122" s="16"/>
      <c r="E122" s="18"/>
      <c r="F122" s="18"/>
      <c r="G122" s="18"/>
      <c r="H122" s="18"/>
      <c r="I122" s="18"/>
      <c r="J122" s="18"/>
    </row>
    <row r="123" spans="2:10" ht="12.75" customHeight="1" x14ac:dyDescent="0.2">
      <c r="B123" s="16"/>
      <c r="C123" s="17"/>
      <c r="D123" s="16"/>
      <c r="E123" s="18"/>
      <c r="F123" s="18"/>
      <c r="G123" s="18"/>
      <c r="H123" s="18"/>
      <c r="I123" s="18"/>
      <c r="J123" s="18"/>
    </row>
    <row r="124" spans="2:10" ht="12.75" customHeight="1" x14ac:dyDescent="0.2">
      <c r="B124" s="16"/>
      <c r="C124" s="17"/>
      <c r="D124" s="16"/>
      <c r="E124" s="18"/>
      <c r="F124" s="18"/>
      <c r="G124" s="18"/>
      <c r="H124" s="18"/>
      <c r="I124" s="18"/>
      <c r="J124" s="18"/>
    </row>
    <row r="125" spans="2:10" ht="12.75" customHeight="1" x14ac:dyDescent="0.2">
      <c r="B125" s="16"/>
      <c r="C125" s="17"/>
      <c r="D125" s="16"/>
      <c r="E125" s="18"/>
      <c r="F125" s="18"/>
      <c r="G125" s="18"/>
      <c r="H125" s="18"/>
      <c r="I125" s="18"/>
      <c r="J125" s="18"/>
    </row>
    <row r="126" spans="2:10" ht="12.75" customHeight="1" x14ac:dyDescent="0.2">
      <c r="B126" s="16"/>
      <c r="C126" s="17"/>
      <c r="D126" s="16"/>
      <c r="E126" s="18"/>
      <c r="F126" s="18"/>
      <c r="G126" s="18"/>
      <c r="H126" s="18"/>
      <c r="I126" s="18"/>
      <c r="J126" s="18"/>
    </row>
    <row r="127" spans="2:10" ht="12.75" customHeight="1" x14ac:dyDescent="0.2">
      <c r="B127" s="16"/>
      <c r="C127" s="17"/>
      <c r="D127" s="16"/>
      <c r="E127" s="18"/>
      <c r="F127" s="18"/>
      <c r="G127" s="18"/>
      <c r="H127" s="18"/>
      <c r="I127" s="18"/>
      <c r="J127" s="18"/>
    </row>
    <row r="128" spans="2:10" ht="12.75" customHeight="1" x14ac:dyDescent="0.2">
      <c r="B128" s="16"/>
      <c r="C128" s="17"/>
      <c r="D128" s="16"/>
      <c r="E128" s="18"/>
      <c r="F128" s="18"/>
      <c r="G128" s="18"/>
      <c r="H128" s="18"/>
      <c r="I128" s="18"/>
      <c r="J128" s="18"/>
    </row>
    <row r="129" spans="2:10" ht="12.75" customHeight="1" x14ac:dyDescent="0.2">
      <c r="B129" s="16"/>
      <c r="C129" s="17"/>
      <c r="D129" s="16"/>
      <c r="E129" s="18"/>
      <c r="F129" s="18"/>
      <c r="G129" s="18"/>
      <c r="H129" s="18"/>
      <c r="I129" s="18"/>
      <c r="J129" s="18"/>
    </row>
    <row r="130" spans="2:10" ht="12.75" customHeight="1" x14ac:dyDescent="0.2">
      <c r="B130" s="16"/>
      <c r="C130" s="17"/>
      <c r="D130" s="16"/>
      <c r="E130" s="18"/>
      <c r="F130" s="18"/>
      <c r="G130" s="18"/>
      <c r="H130" s="18"/>
      <c r="I130" s="18"/>
      <c r="J130" s="18"/>
    </row>
    <row r="131" spans="2:10" ht="12.75" customHeight="1" x14ac:dyDescent="0.2">
      <c r="B131" s="16"/>
      <c r="C131" s="17"/>
      <c r="D131" s="16"/>
      <c r="E131" s="18"/>
      <c r="F131" s="18"/>
      <c r="G131" s="18"/>
      <c r="H131" s="18"/>
      <c r="I131" s="18"/>
      <c r="J131" s="18"/>
    </row>
    <row r="132" spans="2:10" ht="12.75" customHeight="1" x14ac:dyDescent="0.2">
      <c r="B132" s="16"/>
      <c r="C132" s="17"/>
      <c r="D132" s="16"/>
      <c r="E132" s="18"/>
      <c r="F132" s="18"/>
      <c r="G132" s="18"/>
      <c r="H132" s="18"/>
      <c r="I132" s="18"/>
      <c r="J132" s="18"/>
    </row>
    <row r="133" spans="2:10" ht="12.75" customHeight="1" x14ac:dyDescent="0.2">
      <c r="B133" s="16"/>
      <c r="C133" s="17"/>
      <c r="D133" s="16"/>
      <c r="E133" s="18"/>
      <c r="F133" s="18"/>
      <c r="G133" s="18"/>
      <c r="H133" s="18"/>
      <c r="I133" s="18"/>
      <c r="J133" s="18"/>
    </row>
    <row r="134" spans="2:10" ht="12.75" customHeight="1" x14ac:dyDescent="0.2">
      <c r="B134" s="16"/>
      <c r="C134" s="17"/>
      <c r="D134" s="16"/>
      <c r="E134" s="18"/>
      <c r="F134" s="18"/>
      <c r="G134" s="18"/>
      <c r="H134" s="18"/>
      <c r="I134" s="18"/>
      <c r="J134" s="18"/>
    </row>
    <row r="135" spans="2:10" ht="12.75" customHeight="1" x14ac:dyDescent="0.2">
      <c r="B135" s="16"/>
      <c r="C135" s="17"/>
      <c r="D135" s="16"/>
      <c r="E135" s="18"/>
      <c r="F135" s="18"/>
      <c r="G135" s="18"/>
      <c r="H135" s="18"/>
      <c r="I135" s="18"/>
      <c r="J135" s="18"/>
    </row>
    <row r="136" spans="2:10" ht="12.75" customHeight="1" x14ac:dyDescent="0.2">
      <c r="B136" s="16"/>
      <c r="C136" s="17"/>
      <c r="D136" s="16"/>
      <c r="E136" s="18"/>
      <c r="F136" s="18"/>
      <c r="G136" s="18"/>
      <c r="H136" s="18"/>
      <c r="I136" s="18"/>
      <c r="J136" s="18"/>
    </row>
    <row r="137" spans="2:10" ht="12.75" customHeight="1" x14ac:dyDescent="0.2">
      <c r="B137" s="16"/>
      <c r="C137" s="17"/>
      <c r="D137" s="16"/>
      <c r="E137" s="18"/>
      <c r="F137" s="18"/>
      <c r="G137" s="18"/>
      <c r="H137" s="18"/>
      <c r="I137" s="18"/>
      <c r="J137" s="18"/>
    </row>
    <row r="138" spans="2:10" ht="12.75" customHeight="1" x14ac:dyDescent="0.2">
      <c r="B138" s="16"/>
      <c r="C138" s="17"/>
      <c r="D138" s="16"/>
      <c r="E138" s="18"/>
      <c r="F138" s="18"/>
      <c r="G138" s="18"/>
      <c r="H138" s="18"/>
      <c r="I138" s="18"/>
      <c r="J138" s="18"/>
    </row>
    <row r="139" spans="2:10" ht="12.75" customHeight="1" x14ac:dyDescent="0.2">
      <c r="B139" s="16"/>
      <c r="C139" s="17"/>
      <c r="D139" s="16"/>
      <c r="E139" s="18"/>
      <c r="F139" s="18"/>
      <c r="G139" s="18"/>
      <c r="H139" s="18"/>
      <c r="I139" s="18"/>
      <c r="J139" s="18"/>
    </row>
    <row r="140" spans="2:10" ht="12.75" customHeight="1" x14ac:dyDescent="0.2">
      <c r="B140" s="16"/>
      <c r="C140" s="17"/>
      <c r="D140" s="16"/>
      <c r="E140" s="18"/>
      <c r="F140" s="18"/>
      <c r="G140" s="18"/>
      <c r="H140" s="18"/>
      <c r="I140" s="18"/>
      <c r="J140" s="18"/>
    </row>
    <row r="141" spans="2:10" ht="12.75" customHeight="1" x14ac:dyDescent="0.2">
      <c r="B141" s="16"/>
      <c r="C141" s="17"/>
      <c r="D141" s="16"/>
      <c r="E141" s="18"/>
      <c r="F141" s="18"/>
      <c r="G141" s="18"/>
      <c r="H141" s="18"/>
      <c r="I141" s="18"/>
      <c r="J141" s="18"/>
    </row>
    <row r="142" spans="2:10" ht="12.75" customHeight="1" x14ac:dyDescent="0.2">
      <c r="B142" s="16"/>
      <c r="C142" s="17"/>
      <c r="D142" s="16"/>
      <c r="E142" s="18"/>
      <c r="F142" s="18"/>
      <c r="G142" s="18"/>
      <c r="H142" s="18"/>
      <c r="I142" s="18"/>
      <c r="J142" s="18"/>
    </row>
    <row r="143" spans="2:10" ht="12.75" customHeight="1" x14ac:dyDescent="0.2">
      <c r="B143" s="16"/>
      <c r="C143" s="17"/>
      <c r="D143" s="16"/>
      <c r="E143" s="18"/>
      <c r="F143" s="18"/>
      <c r="G143" s="18"/>
      <c r="H143" s="18"/>
      <c r="I143" s="18"/>
      <c r="J143" s="18"/>
    </row>
    <row r="144" spans="2:10" ht="12.75" customHeight="1" x14ac:dyDescent="0.2">
      <c r="B144" s="16"/>
      <c r="C144" s="17"/>
      <c r="D144" s="16"/>
      <c r="E144" s="18"/>
      <c r="F144" s="18"/>
      <c r="G144" s="18"/>
      <c r="H144" s="18"/>
      <c r="I144" s="18"/>
      <c r="J144" s="18"/>
    </row>
    <row r="145" spans="2:10" ht="12.75" customHeight="1" x14ac:dyDescent="0.2">
      <c r="B145" s="16"/>
      <c r="C145" s="17"/>
      <c r="D145" s="16"/>
      <c r="E145" s="18"/>
      <c r="F145" s="18"/>
      <c r="G145" s="18"/>
      <c r="H145" s="18"/>
      <c r="I145" s="18"/>
      <c r="J145" s="18"/>
    </row>
    <row r="146" spans="2:10" ht="12.75" customHeight="1" x14ac:dyDescent="0.2">
      <c r="B146" s="16"/>
      <c r="C146" s="17"/>
      <c r="D146" s="16"/>
      <c r="E146" s="18"/>
      <c r="F146" s="18"/>
      <c r="G146" s="18"/>
      <c r="H146" s="18"/>
      <c r="I146" s="18"/>
      <c r="J146" s="18"/>
    </row>
    <row r="147" spans="2:10" ht="12.75" customHeight="1" x14ac:dyDescent="0.2">
      <c r="B147" s="16"/>
      <c r="C147" s="17"/>
      <c r="D147" s="16"/>
      <c r="E147" s="18"/>
      <c r="F147" s="18"/>
      <c r="G147" s="18"/>
      <c r="H147" s="18"/>
      <c r="I147" s="18"/>
      <c r="J147" s="18"/>
    </row>
    <row r="148" spans="2:10" ht="12.75" customHeight="1" x14ac:dyDescent="0.2">
      <c r="B148" s="16"/>
      <c r="C148" s="17"/>
      <c r="D148" s="16"/>
      <c r="E148" s="18"/>
      <c r="F148" s="18"/>
      <c r="G148" s="18"/>
      <c r="H148" s="18"/>
      <c r="I148" s="18"/>
      <c r="J148" s="18"/>
    </row>
    <row r="149" spans="2:10" ht="12.75" customHeight="1" x14ac:dyDescent="0.2">
      <c r="B149" s="16"/>
      <c r="C149" s="17"/>
      <c r="D149" s="16"/>
      <c r="E149" s="18"/>
      <c r="F149" s="18"/>
      <c r="G149" s="18"/>
      <c r="H149" s="18"/>
      <c r="I149" s="18"/>
      <c r="J149" s="18"/>
    </row>
    <row r="150" spans="2:10" ht="12.75" customHeight="1" x14ac:dyDescent="0.2">
      <c r="B150" s="16"/>
      <c r="C150" s="17"/>
      <c r="D150" s="16"/>
      <c r="E150" s="18"/>
      <c r="F150" s="18"/>
      <c r="G150" s="18"/>
      <c r="H150" s="18"/>
      <c r="I150" s="18"/>
      <c r="J150" s="18"/>
    </row>
    <row r="151" spans="2:10" ht="12.75" customHeight="1" x14ac:dyDescent="0.2">
      <c r="B151" s="16"/>
      <c r="C151" s="17"/>
      <c r="D151" s="16"/>
      <c r="E151" s="18"/>
      <c r="F151" s="18"/>
      <c r="G151" s="18"/>
      <c r="H151" s="18"/>
      <c r="I151" s="18"/>
      <c r="J151" s="18"/>
    </row>
    <row r="152" spans="2:10" ht="12.75" customHeight="1" x14ac:dyDescent="0.2">
      <c r="B152" s="16"/>
      <c r="C152" s="17"/>
      <c r="D152" s="16"/>
      <c r="E152" s="18"/>
      <c r="F152" s="18"/>
      <c r="G152" s="18"/>
      <c r="H152" s="18"/>
      <c r="I152" s="18"/>
      <c r="J152" s="18"/>
    </row>
    <row r="153" spans="2:10" ht="12.75" customHeight="1" x14ac:dyDescent="0.2">
      <c r="B153" s="16"/>
      <c r="C153" s="17"/>
      <c r="D153" s="16"/>
      <c r="E153" s="18"/>
      <c r="F153" s="18"/>
      <c r="G153" s="18"/>
      <c r="H153" s="18"/>
      <c r="I153" s="18"/>
      <c r="J153" s="18"/>
    </row>
    <row r="154" spans="2:10" ht="12.75" customHeight="1" x14ac:dyDescent="0.2">
      <c r="B154" s="16"/>
      <c r="C154" s="17"/>
      <c r="D154" s="16"/>
      <c r="E154" s="18"/>
      <c r="F154" s="18"/>
      <c r="G154" s="18"/>
      <c r="H154" s="18"/>
      <c r="I154" s="18"/>
      <c r="J154" s="18"/>
    </row>
    <row r="155" spans="2:10" ht="12.75" customHeight="1" x14ac:dyDescent="0.2">
      <c r="B155" s="16"/>
      <c r="C155" s="17"/>
      <c r="D155" s="16"/>
      <c r="E155" s="18"/>
      <c r="F155" s="18"/>
      <c r="G155" s="18"/>
      <c r="H155" s="18"/>
      <c r="I155" s="18"/>
      <c r="J155" s="18"/>
    </row>
    <row r="156" spans="2:10" ht="12.75" customHeight="1" x14ac:dyDescent="0.2">
      <c r="B156" s="16"/>
      <c r="C156" s="17"/>
      <c r="D156" s="16"/>
      <c r="E156" s="18"/>
      <c r="F156" s="18"/>
      <c r="G156" s="18"/>
      <c r="H156" s="18"/>
      <c r="I156" s="18"/>
      <c r="J156" s="18"/>
    </row>
    <row r="157" spans="2:10" ht="12.75" customHeight="1" x14ac:dyDescent="0.2">
      <c r="B157" s="16"/>
      <c r="C157" s="17"/>
      <c r="D157" s="16"/>
      <c r="E157" s="18"/>
      <c r="F157" s="18"/>
      <c r="G157" s="18"/>
      <c r="H157" s="18"/>
      <c r="I157" s="18"/>
      <c r="J157" s="18"/>
    </row>
    <row r="158" spans="2:10" ht="12.75" customHeight="1" x14ac:dyDescent="0.2">
      <c r="B158" s="16"/>
      <c r="C158" s="17"/>
      <c r="D158" s="16"/>
      <c r="E158" s="18"/>
      <c r="F158" s="18"/>
      <c r="G158" s="18"/>
      <c r="H158" s="18"/>
      <c r="I158" s="18"/>
      <c r="J158" s="18"/>
    </row>
    <row r="159" spans="2:10" ht="12.75" customHeight="1" x14ac:dyDescent="0.2">
      <c r="B159" s="16"/>
      <c r="C159" s="17"/>
      <c r="D159" s="16"/>
      <c r="E159" s="18"/>
      <c r="F159" s="18"/>
      <c r="G159" s="18"/>
      <c r="H159" s="18"/>
      <c r="I159" s="18"/>
      <c r="J159" s="18"/>
    </row>
    <row r="160" spans="2:10" ht="12.75" customHeight="1" x14ac:dyDescent="0.2">
      <c r="B160" s="16"/>
      <c r="C160" s="17"/>
      <c r="D160" s="16"/>
      <c r="E160" s="18"/>
      <c r="F160" s="18"/>
      <c r="G160" s="18"/>
      <c r="H160" s="18"/>
      <c r="I160" s="18"/>
      <c r="J160" s="18"/>
    </row>
    <row r="161" spans="2:10" ht="12.75" customHeight="1" x14ac:dyDescent="0.2">
      <c r="B161" s="16"/>
      <c r="C161" s="17"/>
      <c r="D161" s="16"/>
      <c r="E161" s="18"/>
      <c r="F161" s="18"/>
      <c r="G161" s="18"/>
      <c r="H161" s="18"/>
      <c r="I161" s="18"/>
      <c r="J161" s="18"/>
    </row>
    <row r="162" spans="2:10" ht="12.75" customHeight="1" x14ac:dyDescent="0.2">
      <c r="B162" s="16"/>
      <c r="C162" s="17"/>
      <c r="D162" s="16"/>
      <c r="E162" s="18"/>
      <c r="F162" s="18"/>
      <c r="G162" s="18"/>
      <c r="H162" s="18"/>
      <c r="I162" s="18"/>
      <c r="J162" s="18"/>
    </row>
    <row r="163" spans="2:10" ht="12.75" customHeight="1" x14ac:dyDescent="0.2">
      <c r="B163" s="16"/>
      <c r="C163" s="17"/>
      <c r="D163" s="16"/>
      <c r="E163" s="18"/>
      <c r="F163" s="18"/>
      <c r="G163" s="18"/>
      <c r="H163" s="18"/>
      <c r="I163" s="18"/>
      <c r="J163" s="18"/>
    </row>
    <row r="164" spans="2:10" ht="12.75" customHeight="1" x14ac:dyDescent="0.2">
      <c r="B164" s="16"/>
      <c r="C164" s="17"/>
      <c r="D164" s="16"/>
      <c r="E164" s="18"/>
      <c r="F164" s="18"/>
      <c r="G164" s="18"/>
      <c r="H164" s="18"/>
      <c r="I164" s="18"/>
      <c r="J164" s="18"/>
    </row>
    <row r="165" spans="2:10" ht="12.75" customHeight="1" x14ac:dyDescent="0.2">
      <c r="B165" s="16"/>
      <c r="C165" s="17"/>
      <c r="D165" s="16"/>
      <c r="E165" s="18"/>
      <c r="F165" s="18"/>
      <c r="G165" s="18"/>
      <c r="H165" s="18"/>
      <c r="I165" s="18"/>
      <c r="J165" s="18"/>
    </row>
    <row r="166" spans="2:10" ht="12.75" customHeight="1" x14ac:dyDescent="0.2">
      <c r="B166" s="16"/>
      <c r="C166" s="17"/>
      <c r="D166" s="16"/>
      <c r="E166" s="18"/>
      <c r="F166" s="18"/>
      <c r="G166" s="18"/>
      <c r="H166" s="18"/>
      <c r="I166" s="18"/>
      <c r="J166" s="18"/>
    </row>
    <row r="167" spans="2:10" ht="12.75" customHeight="1" x14ac:dyDescent="0.2">
      <c r="B167" s="16"/>
      <c r="C167" s="17"/>
      <c r="D167" s="16"/>
      <c r="E167" s="18"/>
      <c r="F167" s="18"/>
      <c r="G167" s="18"/>
      <c r="H167" s="18"/>
      <c r="I167" s="18"/>
      <c r="J167" s="18"/>
    </row>
    <row r="168" spans="2:10" ht="12.75" customHeight="1" x14ac:dyDescent="0.2">
      <c r="B168" s="16"/>
      <c r="C168" s="17"/>
      <c r="D168" s="16"/>
      <c r="E168" s="18"/>
      <c r="F168" s="18"/>
      <c r="G168" s="18"/>
      <c r="H168" s="18"/>
      <c r="I168" s="18"/>
      <c r="J168" s="18"/>
    </row>
    <row r="169" spans="2:10" ht="12.75" customHeight="1" x14ac:dyDescent="0.2">
      <c r="B169" s="16"/>
      <c r="C169" s="17"/>
      <c r="D169" s="16"/>
      <c r="E169" s="18"/>
      <c r="F169" s="18"/>
      <c r="G169" s="18"/>
      <c r="H169" s="18"/>
      <c r="I169" s="18"/>
      <c r="J169" s="18"/>
    </row>
    <row r="170" spans="2:10" ht="12.75" customHeight="1" x14ac:dyDescent="0.2">
      <c r="B170" s="16"/>
      <c r="C170" s="17"/>
      <c r="D170" s="16"/>
      <c r="E170" s="18"/>
      <c r="F170" s="18"/>
      <c r="G170" s="18"/>
      <c r="H170" s="18"/>
      <c r="I170" s="18"/>
      <c r="J170" s="18"/>
    </row>
    <row r="171" spans="2:10" ht="12.75" customHeight="1" x14ac:dyDescent="0.2">
      <c r="B171" s="16"/>
      <c r="C171" s="17"/>
      <c r="D171" s="16"/>
      <c r="E171" s="18"/>
      <c r="F171" s="18"/>
      <c r="G171" s="18"/>
      <c r="H171" s="18"/>
      <c r="I171" s="18"/>
      <c r="J171" s="18"/>
    </row>
    <row r="172" spans="2:10" ht="12.75" customHeight="1" x14ac:dyDescent="0.2">
      <c r="B172" s="16"/>
      <c r="C172" s="17"/>
      <c r="D172" s="16"/>
      <c r="E172" s="18"/>
      <c r="F172" s="18"/>
      <c r="G172" s="18"/>
      <c r="H172" s="18"/>
      <c r="I172" s="18"/>
      <c r="J172" s="18"/>
    </row>
    <row r="173" spans="2:10" ht="12.75" customHeight="1" x14ac:dyDescent="0.2">
      <c r="B173" s="16"/>
      <c r="C173" s="17"/>
      <c r="D173" s="16"/>
      <c r="E173" s="18"/>
      <c r="F173" s="18"/>
      <c r="G173" s="18"/>
      <c r="H173" s="18"/>
      <c r="I173" s="18"/>
      <c r="J173" s="18"/>
    </row>
    <row r="174" spans="2:10" ht="12.75" customHeight="1" x14ac:dyDescent="0.2">
      <c r="B174" s="16"/>
      <c r="C174" s="17"/>
      <c r="D174" s="16"/>
      <c r="E174" s="18"/>
      <c r="F174" s="18"/>
      <c r="G174" s="18"/>
      <c r="H174" s="18"/>
      <c r="I174" s="18"/>
      <c r="J174" s="18"/>
    </row>
    <row r="175" spans="2:10" ht="12.75" customHeight="1" x14ac:dyDescent="0.2">
      <c r="B175" s="16"/>
      <c r="C175" s="17"/>
      <c r="D175" s="16"/>
      <c r="E175" s="18"/>
      <c r="F175" s="18"/>
      <c r="G175" s="18"/>
      <c r="H175" s="18"/>
      <c r="I175" s="18"/>
      <c r="J175" s="18"/>
    </row>
    <row r="176" spans="2:10" ht="12.75" customHeight="1" x14ac:dyDescent="0.2">
      <c r="B176" s="16"/>
      <c r="C176" s="17"/>
      <c r="D176" s="16"/>
      <c r="E176" s="18"/>
      <c r="F176" s="18"/>
      <c r="G176" s="18"/>
      <c r="H176" s="18"/>
      <c r="I176" s="18"/>
      <c r="J176" s="18"/>
    </row>
    <row r="177" spans="2:10" ht="12.75" customHeight="1" x14ac:dyDescent="0.2">
      <c r="B177" s="16"/>
      <c r="C177" s="17"/>
      <c r="D177" s="16"/>
      <c r="E177" s="18"/>
      <c r="F177" s="18"/>
      <c r="G177" s="18"/>
      <c r="H177" s="18"/>
      <c r="I177" s="18"/>
      <c r="J177" s="18"/>
    </row>
    <row r="178" spans="2:10" ht="12.75" customHeight="1" x14ac:dyDescent="0.2">
      <c r="B178" s="16"/>
      <c r="C178" s="17"/>
      <c r="D178" s="16"/>
      <c r="E178" s="18"/>
      <c r="F178" s="18"/>
      <c r="G178" s="18"/>
      <c r="H178" s="18"/>
      <c r="I178" s="18"/>
      <c r="J178" s="18"/>
    </row>
    <row r="179" spans="2:10" ht="12.75" customHeight="1" x14ac:dyDescent="0.2">
      <c r="B179" s="16"/>
      <c r="C179" s="17"/>
      <c r="D179" s="16"/>
      <c r="E179" s="18"/>
      <c r="F179" s="18"/>
      <c r="G179" s="18"/>
      <c r="H179" s="18"/>
      <c r="I179" s="18"/>
      <c r="J179" s="18"/>
    </row>
    <row r="180" spans="2:10" ht="12.75" customHeight="1" x14ac:dyDescent="0.2">
      <c r="B180" s="16"/>
      <c r="C180" s="17"/>
      <c r="D180" s="16"/>
      <c r="E180" s="18"/>
      <c r="F180" s="18"/>
      <c r="G180" s="18"/>
      <c r="H180" s="18"/>
      <c r="I180" s="18"/>
      <c r="J180" s="18"/>
    </row>
    <row r="181" spans="2:10" ht="12.75" customHeight="1" x14ac:dyDescent="0.2">
      <c r="B181" s="16"/>
      <c r="C181" s="17"/>
      <c r="D181" s="16"/>
      <c r="E181" s="18"/>
      <c r="F181" s="18"/>
      <c r="G181" s="18"/>
      <c r="H181" s="18"/>
      <c r="I181" s="18"/>
      <c r="J181" s="18"/>
    </row>
    <row r="182" spans="2:10" ht="12.75" customHeight="1" x14ac:dyDescent="0.2">
      <c r="B182" s="16"/>
      <c r="C182" s="17"/>
      <c r="D182" s="16"/>
      <c r="E182" s="18"/>
      <c r="F182" s="18"/>
      <c r="G182" s="18"/>
      <c r="H182" s="18"/>
      <c r="I182" s="18"/>
      <c r="J182" s="18"/>
    </row>
    <row r="183" spans="2:10" ht="12.75" customHeight="1" x14ac:dyDescent="0.2">
      <c r="B183" s="16"/>
      <c r="C183" s="17"/>
      <c r="D183" s="16"/>
      <c r="E183" s="18"/>
      <c r="F183" s="18"/>
      <c r="G183" s="18"/>
      <c r="H183" s="18"/>
      <c r="I183" s="18"/>
      <c r="J183" s="18"/>
    </row>
    <row r="184" spans="2:10" ht="12.75" customHeight="1" x14ac:dyDescent="0.2">
      <c r="B184" s="16"/>
      <c r="C184" s="17"/>
      <c r="D184" s="16"/>
      <c r="E184" s="18"/>
      <c r="F184" s="18"/>
      <c r="G184" s="18"/>
      <c r="H184" s="18"/>
      <c r="I184" s="18"/>
      <c r="J184" s="18"/>
    </row>
    <row r="185" spans="2:10" ht="12.75" customHeight="1" x14ac:dyDescent="0.2">
      <c r="B185" s="16"/>
      <c r="C185" s="17"/>
      <c r="D185" s="16"/>
      <c r="E185" s="18"/>
      <c r="F185" s="18"/>
      <c r="G185" s="18"/>
      <c r="H185" s="18"/>
      <c r="I185" s="18"/>
      <c r="J185" s="18"/>
    </row>
    <row r="186" spans="2:10" ht="12.75" customHeight="1" x14ac:dyDescent="0.2">
      <c r="B186" s="16"/>
      <c r="C186" s="17"/>
      <c r="D186" s="16"/>
      <c r="E186" s="18"/>
      <c r="F186" s="18"/>
      <c r="G186" s="18"/>
      <c r="H186" s="18"/>
      <c r="I186" s="18"/>
      <c r="J186" s="18"/>
    </row>
    <row r="187" spans="2:10" ht="12.75" customHeight="1" x14ac:dyDescent="0.2">
      <c r="B187" s="16"/>
      <c r="C187" s="17"/>
      <c r="D187" s="16"/>
      <c r="E187" s="18"/>
      <c r="F187" s="18"/>
      <c r="G187" s="18"/>
      <c r="H187" s="18"/>
      <c r="I187" s="18"/>
      <c r="J187" s="18"/>
    </row>
    <row r="188" spans="2:10" ht="12.75" customHeight="1" x14ac:dyDescent="0.2">
      <c r="B188" s="16"/>
      <c r="C188" s="17"/>
      <c r="D188" s="16"/>
      <c r="E188" s="18"/>
      <c r="F188" s="18"/>
      <c r="G188" s="18"/>
      <c r="H188" s="18"/>
      <c r="I188" s="18"/>
      <c r="J188" s="18"/>
    </row>
    <row r="189" spans="2:10" ht="12.75" customHeight="1" x14ac:dyDescent="0.2">
      <c r="B189" s="16"/>
      <c r="C189" s="17"/>
      <c r="D189" s="16"/>
      <c r="E189" s="18"/>
      <c r="F189" s="18"/>
      <c r="G189" s="18"/>
      <c r="H189" s="18"/>
      <c r="I189" s="18"/>
      <c r="J189" s="18"/>
    </row>
    <row r="190" spans="2:10" ht="12.75" customHeight="1" x14ac:dyDescent="0.2">
      <c r="B190" s="16"/>
      <c r="C190" s="17"/>
      <c r="D190" s="16"/>
      <c r="E190" s="18"/>
      <c r="F190" s="18"/>
      <c r="G190" s="18"/>
      <c r="H190" s="18"/>
      <c r="I190" s="18"/>
      <c r="J190" s="18"/>
    </row>
    <row r="191" spans="2:10" ht="12.75" customHeight="1" x14ac:dyDescent="0.2">
      <c r="B191" s="16"/>
      <c r="C191" s="17"/>
      <c r="D191" s="16"/>
      <c r="E191" s="18"/>
      <c r="F191" s="18"/>
      <c r="G191" s="18"/>
      <c r="H191" s="18"/>
      <c r="I191" s="18"/>
      <c r="J191" s="18"/>
    </row>
    <row r="192" spans="2:10" ht="12.75" customHeight="1" x14ac:dyDescent="0.2">
      <c r="B192" s="16"/>
      <c r="C192" s="17"/>
      <c r="D192" s="16"/>
      <c r="E192" s="18"/>
      <c r="F192" s="18"/>
      <c r="G192" s="18"/>
      <c r="H192" s="18"/>
      <c r="I192" s="18"/>
      <c r="J192" s="18"/>
    </row>
    <row r="193" spans="2:10" ht="12.75" customHeight="1" x14ac:dyDescent="0.2">
      <c r="B193" s="16"/>
      <c r="C193" s="17"/>
      <c r="D193" s="16"/>
      <c r="E193" s="18"/>
      <c r="F193" s="18"/>
      <c r="G193" s="18"/>
      <c r="H193" s="18"/>
      <c r="I193" s="18"/>
      <c r="J193" s="18"/>
    </row>
    <row r="194" spans="2:10" ht="12.75" customHeight="1" x14ac:dyDescent="0.2">
      <c r="B194" s="16"/>
      <c r="C194" s="17"/>
      <c r="D194" s="16"/>
      <c r="E194" s="18"/>
      <c r="F194" s="18"/>
      <c r="G194" s="18"/>
      <c r="H194" s="18"/>
      <c r="I194" s="18"/>
      <c r="J194" s="18"/>
    </row>
    <row r="195" spans="2:10" ht="12.75" customHeight="1" x14ac:dyDescent="0.2">
      <c r="B195" s="16"/>
      <c r="C195" s="17"/>
      <c r="D195" s="16"/>
      <c r="E195" s="18"/>
      <c r="F195" s="18"/>
      <c r="G195" s="18"/>
      <c r="H195" s="18"/>
      <c r="I195" s="18"/>
      <c r="J195" s="18"/>
    </row>
    <row r="196" spans="2:10" ht="12.75" customHeight="1" x14ac:dyDescent="0.2">
      <c r="B196" s="16"/>
      <c r="C196" s="17"/>
      <c r="D196" s="16"/>
      <c r="E196" s="18"/>
      <c r="F196" s="18"/>
      <c r="G196" s="18"/>
      <c r="H196" s="18"/>
      <c r="I196" s="18"/>
      <c r="J196" s="18"/>
    </row>
    <row r="197" spans="2:10" ht="12.75" customHeight="1" x14ac:dyDescent="0.2">
      <c r="B197" s="16"/>
      <c r="C197" s="17"/>
      <c r="D197" s="16"/>
      <c r="E197" s="18"/>
      <c r="F197" s="18"/>
      <c r="G197" s="18"/>
      <c r="H197" s="18"/>
      <c r="I197" s="18"/>
      <c r="J197" s="18"/>
    </row>
    <row r="198" spans="2:10" ht="12.75" customHeight="1" x14ac:dyDescent="0.2">
      <c r="B198" s="16"/>
      <c r="C198" s="17"/>
      <c r="D198" s="16"/>
      <c r="E198" s="18"/>
      <c r="F198" s="18"/>
      <c r="G198" s="18"/>
      <c r="H198" s="18"/>
      <c r="I198" s="18"/>
      <c r="J198" s="18"/>
    </row>
    <row r="199" spans="2:10" ht="12.75" customHeight="1" x14ac:dyDescent="0.2">
      <c r="B199" s="16"/>
      <c r="C199" s="17"/>
      <c r="D199" s="16"/>
      <c r="E199" s="18"/>
      <c r="F199" s="18"/>
      <c r="G199" s="18"/>
      <c r="H199" s="18"/>
      <c r="I199" s="18"/>
      <c r="J199" s="18"/>
    </row>
    <row r="200" spans="2:10" ht="12.75" customHeight="1" x14ac:dyDescent="0.2">
      <c r="B200" s="16"/>
      <c r="C200" s="17"/>
      <c r="D200" s="16"/>
      <c r="E200" s="18"/>
      <c r="F200" s="18"/>
      <c r="G200" s="18"/>
      <c r="H200" s="18"/>
      <c r="I200" s="18"/>
      <c r="J200" s="18"/>
    </row>
    <row r="201" spans="2:10" ht="12.75" customHeight="1" x14ac:dyDescent="0.2">
      <c r="B201" s="16"/>
      <c r="C201" s="17"/>
      <c r="D201" s="16"/>
      <c r="E201" s="18"/>
      <c r="F201" s="18"/>
      <c r="G201" s="18"/>
      <c r="H201" s="18"/>
      <c r="I201" s="18"/>
      <c r="J201" s="18"/>
    </row>
    <row r="202" spans="2:10" ht="12.75" customHeight="1" x14ac:dyDescent="0.2">
      <c r="B202" s="16"/>
      <c r="C202" s="17"/>
      <c r="D202" s="16"/>
      <c r="E202" s="18"/>
      <c r="F202" s="18"/>
      <c r="G202" s="18"/>
      <c r="H202" s="18"/>
      <c r="I202" s="18"/>
      <c r="J202" s="18"/>
    </row>
    <row r="203" spans="2:10" ht="12.75" customHeight="1" x14ac:dyDescent="0.2">
      <c r="B203" s="16"/>
      <c r="C203" s="17"/>
      <c r="D203" s="16"/>
      <c r="E203" s="18"/>
      <c r="F203" s="18"/>
      <c r="G203" s="18"/>
      <c r="H203" s="18"/>
      <c r="I203" s="18"/>
      <c r="J203" s="18"/>
    </row>
    <row r="204" spans="2:10" ht="12.75" customHeight="1" x14ac:dyDescent="0.2">
      <c r="B204" s="16"/>
      <c r="C204" s="17"/>
      <c r="D204" s="16"/>
      <c r="E204" s="18"/>
      <c r="F204" s="18"/>
      <c r="G204" s="18"/>
      <c r="H204" s="18"/>
      <c r="I204" s="18"/>
      <c r="J204" s="18"/>
    </row>
    <row r="205" spans="2:10" ht="12.75" customHeight="1" x14ac:dyDescent="0.2">
      <c r="B205" s="16"/>
      <c r="C205" s="17"/>
      <c r="D205" s="16"/>
      <c r="E205" s="18"/>
      <c r="F205" s="18"/>
      <c r="G205" s="18"/>
      <c r="H205" s="18"/>
      <c r="I205" s="18"/>
      <c r="J205" s="18"/>
    </row>
    <row r="206" spans="2:10" ht="12.75" customHeight="1" x14ac:dyDescent="0.2">
      <c r="B206" s="16"/>
      <c r="C206" s="17"/>
      <c r="D206" s="16"/>
      <c r="E206" s="18"/>
      <c r="F206" s="18"/>
      <c r="G206" s="18"/>
      <c r="H206" s="18"/>
      <c r="I206" s="18"/>
      <c r="J206" s="18"/>
    </row>
    <row r="207" spans="2:10" ht="12.75" customHeight="1" x14ac:dyDescent="0.2">
      <c r="B207" s="16"/>
      <c r="C207" s="17"/>
      <c r="D207" s="16"/>
      <c r="E207" s="18"/>
      <c r="F207" s="18"/>
      <c r="G207" s="18"/>
      <c r="H207" s="18"/>
      <c r="I207" s="18"/>
      <c r="J207" s="18"/>
    </row>
    <row r="208" spans="2:10" ht="12.75" customHeight="1" x14ac:dyDescent="0.2">
      <c r="B208" s="16"/>
      <c r="C208" s="17"/>
      <c r="D208" s="16"/>
      <c r="E208" s="18"/>
      <c r="F208" s="18"/>
      <c r="G208" s="18"/>
      <c r="H208" s="18"/>
      <c r="I208" s="18"/>
      <c r="J208" s="18"/>
    </row>
    <row r="209" spans="2:10" ht="12.75" customHeight="1" x14ac:dyDescent="0.2">
      <c r="B209" s="16"/>
      <c r="C209" s="17"/>
      <c r="D209" s="16"/>
      <c r="E209" s="18"/>
      <c r="F209" s="18"/>
      <c r="G209" s="18"/>
      <c r="H209" s="18"/>
      <c r="I209" s="18"/>
      <c r="J209" s="18"/>
    </row>
    <row r="210" spans="2:10" ht="12.75" customHeight="1" x14ac:dyDescent="0.2">
      <c r="B210" s="16"/>
      <c r="C210" s="17"/>
      <c r="D210" s="16"/>
      <c r="E210" s="18"/>
      <c r="F210" s="18"/>
      <c r="G210" s="18"/>
      <c r="H210" s="18"/>
      <c r="I210" s="18"/>
      <c r="J210" s="18"/>
    </row>
    <row r="211" spans="2:10" ht="12.75" customHeight="1" x14ac:dyDescent="0.2">
      <c r="B211" s="16"/>
      <c r="C211" s="17"/>
      <c r="D211" s="16"/>
      <c r="E211" s="18"/>
      <c r="F211" s="18"/>
      <c r="G211" s="18"/>
      <c r="H211" s="18"/>
      <c r="I211" s="18"/>
      <c r="J211" s="18"/>
    </row>
    <row r="212" spans="2:10" ht="12.75" customHeight="1" x14ac:dyDescent="0.2">
      <c r="B212" s="16"/>
      <c r="C212" s="17"/>
      <c r="D212" s="16"/>
      <c r="E212" s="18"/>
      <c r="F212" s="18"/>
      <c r="G212" s="18"/>
      <c r="H212" s="18"/>
      <c r="I212" s="18"/>
      <c r="J212" s="18"/>
    </row>
    <row r="213" spans="2:10" ht="12.75" customHeight="1" x14ac:dyDescent="0.2">
      <c r="B213" s="16"/>
      <c r="C213" s="17"/>
      <c r="D213" s="16"/>
      <c r="E213" s="18"/>
      <c r="F213" s="18"/>
      <c r="G213" s="18"/>
      <c r="H213" s="18"/>
      <c r="I213" s="18"/>
      <c r="J213" s="18"/>
    </row>
    <row r="214" spans="2:10" ht="12.75" customHeight="1" x14ac:dyDescent="0.2">
      <c r="B214" s="16"/>
      <c r="C214" s="17"/>
      <c r="D214" s="16"/>
      <c r="E214" s="18"/>
      <c r="F214" s="18"/>
      <c r="G214" s="18"/>
      <c r="H214" s="18"/>
      <c r="I214" s="18"/>
      <c r="J214" s="18"/>
    </row>
    <row r="215" spans="2:10" ht="12.75" customHeight="1" x14ac:dyDescent="0.2">
      <c r="B215" s="16"/>
      <c r="C215" s="17"/>
      <c r="D215" s="16"/>
      <c r="E215" s="18"/>
      <c r="F215" s="18"/>
      <c r="G215" s="18"/>
      <c r="H215" s="18"/>
      <c r="I215" s="18"/>
      <c r="J215" s="18"/>
    </row>
    <row r="216" spans="2:10" ht="12.75" customHeight="1" x14ac:dyDescent="0.2">
      <c r="B216" s="16"/>
      <c r="C216" s="17"/>
      <c r="D216" s="16"/>
      <c r="E216" s="18"/>
      <c r="F216" s="18"/>
      <c r="G216" s="18"/>
      <c r="H216" s="18"/>
      <c r="I216" s="18"/>
      <c r="J216" s="18"/>
    </row>
    <row r="217" spans="2:10" ht="12.75" customHeight="1" x14ac:dyDescent="0.2">
      <c r="B217" s="16"/>
      <c r="C217" s="17"/>
      <c r="D217" s="16"/>
      <c r="E217" s="18"/>
      <c r="F217" s="18"/>
      <c r="G217" s="18"/>
      <c r="H217" s="18"/>
      <c r="I217" s="18"/>
      <c r="J217" s="18"/>
    </row>
    <row r="218" spans="2:10" ht="12.75" customHeight="1" x14ac:dyDescent="0.2">
      <c r="B218" s="16"/>
      <c r="C218" s="17"/>
      <c r="D218" s="16"/>
      <c r="E218" s="18"/>
      <c r="F218" s="18"/>
      <c r="G218" s="18"/>
      <c r="H218" s="18"/>
      <c r="I218" s="18"/>
      <c r="J218" s="18"/>
    </row>
    <row r="219" spans="2:10" ht="12.75" customHeight="1" x14ac:dyDescent="0.2">
      <c r="B219" s="16"/>
      <c r="C219" s="17"/>
      <c r="D219" s="16"/>
      <c r="E219" s="18"/>
      <c r="F219" s="18"/>
      <c r="G219" s="18"/>
      <c r="H219" s="18"/>
      <c r="I219" s="18"/>
      <c r="J219" s="18"/>
    </row>
    <row r="220" spans="2:10" ht="12.75" customHeight="1" x14ac:dyDescent="0.2">
      <c r="B220" s="16"/>
      <c r="C220" s="17"/>
      <c r="D220" s="16"/>
      <c r="E220" s="18"/>
      <c r="F220" s="18"/>
      <c r="G220" s="18"/>
      <c r="H220" s="18"/>
      <c r="I220" s="18"/>
      <c r="J220" s="18"/>
    </row>
    <row r="221" spans="2:10" ht="12.75" customHeight="1" x14ac:dyDescent="0.2">
      <c r="B221" s="16"/>
      <c r="C221" s="17"/>
      <c r="D221" s="16"/>
      <c r="E221" s="18"/>
      <c r="F221" s="18"/>
      <c r="G221" s="18"/>
      <c r="H221" s="18"/>
      <c r="I221" s="18"/>
      <c r="J221" s="18"/>
    </row>
    <row r="222" spans="2:10" ht="12.75" customHeight="1" x14ac:dyDescent="0.2">
      <c r="B222" s="16"/>
      <c r="C222" s="17"/>
      <c r="D222" s="16"/>
      <c r="E222" s="18"/>
      <c r="F222" s="18"/>
      <c r="G222" s="18"/>
      <c r="H222" s="18"/>
      <c r="I222" s="18"/>
      <c r="J222" s="18"/>
    </row>
    <row r="223" spans="2:10" ht="12.75" customHeight="1" x14ac:dyDescent="0.2">
      <c r="B223" s="16"/>
      <c r="C223" s="17"/>
      <c r="D223" s="16"/>
      <c r="E223" s="18"/>
      <c r="F223" s="18"/>
      <c r="G223" s="18"/>
      <c r="H223" s="18"/>
      <c r="I223" s="18"/>
      <c r="J223" s="18"/>
    </row>
    <row r="224" spans="2:10" ht="12.75" customHeight="1" x14ac:dyDescent="0.2">
      <c r="B224" s="16"/>
      <c r="C224" s="17"/>
      <c r="D224" s="16"/>
      <c r="E224" s="18"/>
      <c r="F224" s="18"/>
      <c r="G224" s="18"/>
      <c r="H224" s="18"/>
      <c r="I224" s="18"/>
      <c r="J224" s="18"/>
    </row>
    <row r="225" spans="2:10" ht="12.75" customHeight="1" x14ac:dyDescent="0.2">
      <c r="B225" s="16"/>
      <c r="C225" s="17"/>
      <c r="D225" s="16"/>
      <c r="E225" s="18"/>
      <c r="F225" s="18"/>
      <c r="G225" s="18"/>
      <c r="H225" s="18"/>
      <c r="I225" s="18"/>
      <c r="J225" s="18"/>
    </row>
    <row r="226" spans="2:10" ht="12.75" customHeight="1" x14ac:dyDescent="0.2">
      <c r="B226" s="16"/>
      <c r="C226" s="17"/>
      <c r="D226" s="16"/>
      <c r="E226" s="18"/>
      <c r="F226" s="18"/>
      <c r="G226" s="18"/>
      <c r="H226" s="18"/>
      <c r="I226" s="18"/>
      <c r="J226" s="18"/>
    </row>
    <row r="227" spans="2:10" ht="12.75" customHeight="1" x14ac:dyDescent="0.2">
      <c r="B227" s="16"/>
      <c r="C227" s="17"/>
      <c r="D227" s="16"/>
      <c r="E227" s="18"/>
      <c r="F227" s="18"/>
      <c r="G227" s="18"/>
      <c r="H227" s="18"/>
      <c r="I227" s="18"/>
      <c r="J227" s="18"/>
    </row>
    <row r="228" spans="2:10" ht="12.75" customHeight="1" x14ac:dyDescent="0.2">
      <c r="B228" s="16"/>
      <c r="C228" s="17"/>
      <c r="D228" s="16"/>
      <c r="E228" s="18"/>
      <c r="F228" s="18"/>
      <c r="G228" s="18"/>
      <c r="H228" s="18"/>
      <c r="I228" s="18"/>
      <c r="J228" s="18"/>
    </row>
    <row r="229" spans="2:10" ht="12.75" customHeight="1" x14ac:dyDescent="0.2">
      <c r="B229" s="16"/>
      <c r="C229" s="17"/>
      <c r="D229" s="16"/>
      <c r="E229" s="18"/>
      <c r="F229" s="18"/>
      <c r="G229" s="18"/>
      <c r="H229" s="18"/>
      <c r="I229" s="18"/>
      <c r="J229" s="18"/>
    </row>
    <row r="230" spans="2:10" ht="12.75" customHeight="1" x14ac:dyDescent="0.2">
      <c r="B230" s="16"/>
      <c r="C230" s="17"/>
      <c r="D230" s="16"/>
      <c r="E230" s="18"/>
      <c r="F230" s="18"/>
      <c r="G230" s="18"/>
      <c r="H230" s="18"/>
      <c r="I230" s="18"/>
      <c r="J230" s="18"/>
    </row>
    <row r="231" spans="2:10" ht="12.75" customHeight="1" x14ac:dyDescent="0.2">
      <c r="B231" s="16"/>
      <c r="C231" s="17"/>
      <c r="D231" s="16"/>
      <c r="E231" s="18"/>
      <c r="F231" s="18"/>
      <c r="G231" s="18"/>
      <c r="H231" s="18"/>
      <c r="I231" s="18"/>
      <c r="J231" s="18"/>
    </row>
    <row r="232" spans="2:10" ht="12.75" customHeight="1" x14ac:dyDescent="0.2">
      <c r="B232" s="16"/>
      <c r="C232" s="17"/>
      <c r="D232" s="16"/>
      <c r="E232" s="18"/>
      <c r="F232" s="18"/>
      <c r="G232" s="18"/>
      <c r="H232" s="18"/>
      <c r="I232" s="18"/>
      <c r="J232" s="18"/>
    </row>
    <row r="233" spans="2:10" ht="12.75" customHeight="1" x14ac:dyDescent="0.2">
      <c r="B233" s="16"/>
      <c r="C233" s="17"/>
      <c r="D233" s="16"/>
      <c r="E233" s="18"/>
      <c r="F233" s="18"/>
      <c r="G233" s="18"/>
      <c r="H233" s="18"/>
      <c r="I233" s="18"/>
      <c r="J233" s="18"/>
    </row>
    <row r="234" spans="2:10" ht="12.75" customHeight="1" x14ac:dyDescent="0.2">
      <c r="B234" s="16"/>
      <c r="C234" s="17"/>
      <c r="D234" s="16"/>
      <c r="E234" s="18"/>
      <c r="F234" s="18"/>
      <c r="G234" s="18"/>
      <c r="H234" s="18"/>
      <c r="I234" s="18"/>
      <c r="J234" s="18"/>
    </row>
    <row r="235" spans="2:10" ht="12.75" customHeight="1" x14ac:dyDescent="0.2">
      <c r="B235" s="16"/>
      <c r="C235" s="17"/>
      <c r="D235" s="16"/>
      <c r="E235" s="18"/>
      <c r="F235" s="18"/>
      <c r="G235" s="18"/>
      <c r="H235" s="18"/>
      <c r="I235" s="18"/>
      <c r="J235" s="18"/>
    </row>
    <row r="236" spans="2:10" ht="12.75" customHeight="1" x14ac:dyDescent="0.2">
      <c r="B236" s="16"/>
      <c r="C236" s="17"/>
      <c r="D236" s="16"/>
      <c r="E236" s="18"/>
      <c r="F236" s="18"/>
      <c r="G236" s="18"/>
      <c r="H236" s="18"/>
      <c r="I236" s="18"/>
      <c r="J236" s="18"/>
    </row>
    <row r="237" spans="2:10" ht="12.75" customHeight="1" x14ac:dyDescent="0.2">
      <c r="B237" s="16"/>
      <c r="C237" s="17"/>
      <c r="D237" s="16"/>
      <c r="E237" s="18"/>
      <c r="F237" s="18"/>
      <c r="G237" s="18"/>
      <c r="H237" s="18"/>
      <c r="I237" s="18"/>
      <c r="J237" s="18"/>
    </row>
    <row r="238" spans="2:10" ht="12.75" customHeight="1" x14ac:dyDescent="0.2">
      <c r="B238" s="16"/>
      <c r="C238" s="17"/>
      <c r="D238" s="16"/>
      <c r="E238" s="18"/>
      <c r="F238" s="18"/>
      <c r="G238" s="18"/>
      <c r="H238" s="18"/>
      <c r="I238" s="18"/>
      <c r="J238" s="18"/>
    </row>
    <row r="239" spans="2:10" ht="12.75" customHeight="1" x14ac:dyDescent="0.2">
      <c r="B239" s="16"/>
      <c r="C239" s="17"/>
      <c r="D239" s="16"/>
      <c r="E239" s="18"/>
      <c r="F239" s="18"/>
      <c r="G239" s="18"/>
      <c r="H239" s="18"/>
      <c r="I239" s="18"/>
      <c r="J239" s="18"/>
    </row>
    <row r="240" spans="2:10" ht="12.75" customHeight="1" x14ac:dyDescent="0.2">
      <c r="B240" s="16"/>
      <c r="C240" s="17"/>
      <c r="D240" s="16"/>
      <c r="E240" s="18"/>
      <c r="F240" s="18"/>
      <c r="G240" s="18"/>
      <c r="H240" s="18"/>
      <c r="I240" s="18"/>
      <c r="J240" s="18"/>
    </row>
    <row r="241" spans="2:10" ht="12.75" customHeight="1" x14ac:dyDescent="0.2">
      <c r="B241" s="16"/>
      <c r="C241" s="17"/>
      <c r="D241" s="16"/>
      <c r="E241" s="18"/>
      <c r="F241" s="18"/>
      <c r="G241" s="18"/>
      <c r="H241" s="18"/>
      <c r="I241" s="18"/>
      <c r="J241" s="18"/>
    </row>
    <row r="242" spans="2:10" ht="12.75" customHeight="1" x14ac:dyDescent="0.2">
      <c r="B242" s="16"/>
      <c r="C242" s="17"/>
      <c r="D242" s="16"/>
      <c r="E242" s="18"/>
      <c r="F242" s="18"/>
      <c r="G242" s="18"/>
      <c r="H242" s="18"/>
      <c r="I242" s="18"/>
      <c r="J242" s="18"/>
    </row>
    <row r="243" spans="2:10" ht="12.75" customHeight="1" x14ac:dyDescent="0.2">
      <c r="B243" s="16"/>
      <c r="C243" s="17"/>
      <c r="D243" s="16"/>
      <c r="E243" s="18"/>
      <c r="F243" s="18"/>
      <c r="G243" s="18"/>
      <c r="H243" s="18"/>
      <c r="I243" s="18"/>
      <c r="J243" s="18"/>
    </row>
    <row r="244" spans="2:10" ht="12.75" customHeight="1" x14ac:dyDescent="0.2">
      <c r="B244" s="16"/>
      <c r="C244" s="17"/>
      <c r="D244" s="16"/>
      <c r="E244" s="18"/>
      <c r="F244" s="18"/>
      <c r="G244" s="18"/>
      <c r="H244" s="18"/>
      <c r="I244" s="18"/>
      <c r="J244" s="18"/>
    </row>
    <row r="245" spans="2:10" ht="12.75" customHeight="1" x14ac:dyDescent="0.2">
      <c r="B245" s="16"/>
      <c r="C245" s="17"/>
      <c r="D245" s="16"/>
      <c r="E245" s="18"/>
      <c r="F245" s="18"/>
      <c r="G245" s="18"/>
      <c r="H245" s="18"/>
      <c r="I245" s="18"/>
      <c r="J245" s="18"/>
    </row>
    <row r="246" spans="2:10" ht="12.75" customHeight="1" x14ac:dyDescent="0.2">
      <c r="B246" s="16"/>
      <c r="C246" s="17"/>
      <c r="D246" s="16"/>
      <c r="E246" s="18"/>
      <c r="F246" s="18"/>
      <c r="G246" s="18"/>
      <c r="H246" s="18"/>
      <c r="I246" s="18"/>
      <c r="J246" s="18"/>
    </row>
    <row r="247" spans="2:10" ht="12.75" customHeight="1" x14ac:dyDescent="0.2">
      <c r="B247" s="16"/>
      <c r="C247" s="17"/>
      <c r="D247" s="16"/>
      <c r="E247" s="18"/>
      <c r="F247" s="18"/>
      <c r="G247" s="18"/>
      <c r="H247" s="18"/>
      <c r="I247" s="18"/>
      <c r="J247" s="18"/>
    </row>
    <row r="248" spans="2:10" ht="12.75" customHeight="1" x14ac:dyDescent="0.2">
      <c r="B248" s="16"/>
      <c r="C248" s="17"/>
      <c r="D248" s="16"/>
      <c r="E248" s="18"/>
      <c r="F248" s="18"/>
      <c r="G248" s="18"/>
      <c r="H248" s="18"/>
      <c r="I248" s="18"/>
      <c r="J248" s="18"/>
    </row>
    <row r="249" spans="2:10" ht="12.75" customHeight="1" x14ac:dyDescent="0.2">
      <c r="B249" s="16"/>
      <c r="C249" s="17"/>
      <c r="D249" s="16"/>
      <c r="E249" s="18"/>
      <c r="F249" s="18"/>
      <c r="G249" s="18"/>
      <c r="H249" s="18"/>
      <c r="I249" s="18"/>
      <c r="J249" s="18"/>
    </row>
    <row r="250" spans="2:10" ht="12.75" customHeight="1" x14ac:dyDescent="0.2">
      <c r="B250" s="16"/>
      <c r="C250" s="17"/>
      <c r="D250" s="16"/>
      <c r="E250" s="18"/>
      <c r="F250" s="18"/>
      <c r="G250" s="18"/>
      <c r="H250" s="18"/>
      <c r="I250" s="18"/>
      <c r="J250" s="18"/>
    </row>
    <row r="251" spans="2:10" ht="12.75" customHeight="1" x14ac:dyDescent="0.2">
      <c r="B251" s="16"/>
      <c r="C251" s="17"/>
      <c r="D251" s="16"/>
      <c r="E251" s="18"/>
      <c r="F251" s="18"/>
      <c r="G251" s="18"/>
      <c r="H251" s="18"/>
      <c r="I251" s="18"/>
      <c r="J251" s="18"/>
    </row>
    <row r="252" spans="2:10" ht="12.75" customHeight="1" x14ac:dyDescent="0.2">
      <c r="B252" s="16"/>
      <c r="C252" s="17"/>
      <c r="D252" s="16"/>
      <c r="E252" s="18"/>
      <c r="F252" s="18"/>
      <c r="G252" s="18"/>
      <c r="H252" s="18"/>
      <c r="I252" s="18"/>
      <c r="J252" s="18"/>
    </row>
    <row r="253" spans="2:10" ht="12.75" customHeight="1" x14ac:dyDescent="0.2">
      <c r="B253" s="16"/>
      <c r="C253" s="17"/>
      <c r="D253" s="16"/>
      <c r="E253" s="18"/>
      <c r="F253" s="18"/>
      <c r="G253" s="18"/>
      <c r="H253" s="18"/>
      <c r="I253" s="18"/>
      <c r="J253" s="18"/>
    </row>
    <row r="254" spans="2:10" ht="12.75" customHeight="1" x14ac:dyDescent="0.2">
      <c r="B254" s="16"/>
      <c r="C254" s="17"/>
      <c r="D254" s="16"/>
      <c r="E254" s="18"/>
      <c r="F254" s="18"/>
      <c r="G254" s="18"/>
      <c r="H254" s="18"/>
      <c r="I254" s="18"/>
      <c r="J254" s="18"/>
    </row>
    <row r="255" spans="2:10" ht="12.75" customHeight="1" x14ac:dyDescent="0.2">
      <c r="B255" s="16"/>
      <c r="C255" s="17"/>
      <c r="D255" s="16"/>
      <c r="E255" s="18"/>
      <c r="F255" s="18"/>
      <c r="G255" s="18"/>
      <c r="H255" s="18"/>
      <c r="I255" s="18"/>
      <c r="J255" s="18"/>
    </row>
    <row r="256" spans="2:10" ht="12.75" customHeight="1" x14ac:dyDescent="0.2">
      <c r="B256" s="16"/>
      <c r="C256" s="17"/>
      <c r="D256" s="16"/>
      <c r="E256" s="18"/>
      <c r="F256" s="18"/>
      <c r="G256" s="18"/>
      <c r="H256" s="18"/>
      <c r="I256" s="18"/>
      <c r="J256" s="18"/>
    </row>
    <row r="257" spans="2:10" ht="12.75" customHeight="1" x14ac:dyDescent="0.2">
      <c r="B257" s="16"/>
      <c r="C257" s="17"/>
      <c r="D257" s="16"/>
      <c r="E257" s="18"/>
      <c r="F257" s="18"/>
      <c r="G257" s="18"/>
      <c r="H257" s="18"/>
      <c r="I257" s="18"/>
      <c r="J257" s="18"/>
    </row>
    <row r="258" spans="2:10" ht="12.75" customHeight="1" x14ac:dyDescent="0.2">
      <c r="B258" s="16"/>
      <c r="C258" s="17"/>
      <c r="D258" s="16"/>
      <c r="E258" s="18"/>
      <c r="F258" s="18"/>
      <c r="G258" s="18"/>
      <c r="H258" s="18"/>
      <c r="I258" s="18"/>
      <c r="J258" s="18"/>
    </row>
    <row r="259" spans="2:10" ht="12.75" customHeight="1" x14ac:dyDescent="0.2">
      <c r="B259" s="16"/>
      <c r="C259" s="17"/>
      <c r="D259" s="16"/>
      <c r="E259" s="18"/>
      <c r="F259" s="18"/>
      <c r="G259" s="18"/>
      <c r="H259" s="18"/>
      <c r="I259" s="18"/>
      <c r="J259" s="18"/>
    </row>
    <row r="260" spans="2:10" ht="12.75" customHeight="1" x14ac:dyDescent="0.2">
      <c r="B260" s="16"/>
      <c r="C260" s="17"/>
      <c r="D260" s="16"/>
      <c r="E260" s="18"/>
      <c r="F260" s="18"/>
      <c r="G260" s="18"/>
      <c r="H260" s="18"/>
      <c r="I260" s="18"/>
      <c r="J260" s="18"/>
    </row>
    <row r="261" spans="2:10" ht="12.75" customHeight="1" x14ac:dyDescent="0.2">
      <c r="B261" s="16"/>
      <c r="C261" s="17"/>
      <c r="D261" s="16"/>
      <c r="E261" s="18"/>
      <c r="F261" s="18"/>
      <c r="G261" s="18"/>
      <c r="H261" s="18"/>
      <c r="I261" s="18"/>
      <c r="J261" s="18"/>
    </row>
    <row r="262" spans="2:10" ht="12.75" customHeight="1" x14ac:dyDescent="0.2">
      <c r="B262" s="16"/>
      <c r="C262" s="17"/>
      <c r="D262" s="16"/>
      <c r="E262" s="18"/>
      <c r="F262" s="18"/>
      <c r="G262" s="18"/>
      <c r="H262" s="18"/>
      <c r="I262" s="18"/>
      <c r="J262" s="18"/>
    </row>
    <row r="263" spans="2:10" ht="12.75" customHeight="1" x14ac:dyDescent="0.2">
      <c r="B263" s="16"/>
      <c r="C263" s="17"/>
      <c r="D263" s="16"/>
      <c r="E263" s="18"/>
      <c r="F263" s="18"/>
      <c r="G263" s="18"/>
      <c r="H263" s="18"/>
      <c r="I263" s="18"/>
      <c r="J263" s="18"/>
    </row>
    <row r="264" spans="2:10" ht="12.75" customHeight="1" x14ac:dyDescent="0.2">
      <c r="B264" s="16"/>
      <c r="C264" s="17"/>
      <c r="D264" s="16"/>
      <c r="E264" s="18"/>
      <c r="F264" s="18"/>
      <c r="G264" s="18"/>
      <c r="H264" s="18"/>
      <c r="I264" s="18"/>
      <c r="J264" s="18"/>
    </row>
    <row r="265" spans="2:10" ht="12.75" customHeight="1" x14ac:dyDescent="0.2">
      <c r="B265" s="16"/>
      <c r="C265" s="17"/>
      <c r="D265" s="16"/>
      <c r="E265" s="18"/>
      <c r="F265" s="18"/>
      <c r="G265" s="18"/>
      <c r="H265" s="18"/>
      <c r="I265" s="18"/>
      <c r="J265" s="18"/>
    </row>
    <row r="266" spans="2:10" ht="12.75" customHeight="1" x14ac:dyDescent="0.2">
      <c r="B266" s="16"/>
      <c r="C266" s="17"/>
      <c r="D266" s="16"/>
      <c r="E266" s="18"/>
      <c r="F266" s="18"/>
      <c r="G266" s="18"/>
      <c r="H266" s="18"/>
      <c r="I266" s="18"/>
      <c r="J266" s="18"/>
    </row>
    <row r="267" spans="2:10" ht="12.75" customHeight="1" x14ac:dyDescent="0.2">
      <c r="B267" s="16"/>
      <c r="C267" s="17"/>
      <c r="D267" s="16"/>
      <c r="E267" s="18"/>
      <c r="F267" s="18"/>
      <c r="G267" s="18"/>
      <c r="H267" s="18"/>
      <c r="I267" s="18"/>
      <c r="J267" s="18"/>
    </row>
    <row r="268" spans="2:10" ht="12.75" customHeight="1" x14ac:dyDescent="0.2">
      <c r="B268" s="16"/>
      <c r="C268" s="17"/>
      <c r="D268" s="16"/>
      <c r="E268" s="18"/>
      <c r="F268" s="18"/>
      <c r="G268" s="18"/>
      <c r="H268" s="18"/>
      <c r="I268" s="18"/>
      <c r="J268" s="18"/>
    </row>
    <row r="269" spans="2:10" ht="12.75" customHeight="1" x14ac:dyDescent="0.2">
      <c r="B269" s="16"/>
      <c r="C269" s="17"/>
      <c r="D269" s="16"/>
      <c r="E269" s="18"/>
      <c r="F269" s="18"/>
      <c r="G269" s="18"/>
      <c r="H269" s="18"/>
      <c r="I269" s="18"/>
      <c r="J269" s="18"/>
    </row>
    <row r="270" spans="2:10" ht="12.75" customHeight="1" x14ac:dyDescent="0.2">
      <c r="B270" s="16"/>
      <c r="C270" s="17"/>
      <c r="D270" s="16"/>
      <c r="E270" s="18"/>
      <c r="F270" s="18"/>
      <c r="G270" s="18"/>
      <c r="H270" s="18"/>
      <c r="I270" s="18"/>
      <c r="J270" s="18"/>
    </row>
    <row r="271" spans="2:10" ht="12.75" customHeight="1" x14ac:dyDescent="0.2">
      <c r="B271" s="16"/>
      <c r="C271" s="17"/>
      <c r="D271" s="16"/>
      <c r="E271" s="18"/>
      <c r="F271" s="18"/>
      <c r="G271" s="18"/>
      <c r="H271" s="18"/>
      <c r="I271" s="18"/>
      <c r="J271" s="18"/>
    </row>
    <row r="272" spans="2:10" ht="12.75" customHeight="1" x14ac:dyDescent="0.2">
      <c r="B272" s="16"/>
      <c r="C272" s="17"/>
      <c r="D272" s="16"/>
      <c r="E272" s="18"/>
      <c r="F272" s="18"/>
      <c r="G272" s="18"/>
      <c r="H272" s="18"/>
      <c r="I272" s="18"/>
      <c r="J272" s="18"/>
    </row>
    <row r="273" spans="2:10" ht="12.75" customHeight="1" x14ac:dyDescent="0.2">
      <c r="B273" s="16"/>
      <c r="C273" s="17"/>
      <c r="D273" s="16"/>
      <c r="E273" s="18"/>
      <c r="F273" s="18"/>
      <c r="G273" s="18"/>
      <c r="H273" s="18"/>
      <c r="I273" s="18"/>
      <c r="J273" s="18"/>
    </row>
    <row r="274" spans="2:10" ht="12.75" customHeight="1" x14ac:dyDescent="0.2">
      <c r="B274" s="16"/>
      <c r="C274" s="17"/>
      <c r="D274" s="16"/>
      <c r="E274" s="18"/>
      <c r="F274" s="18"/>
      <c r="G274" s="18"/>
      <c r="H274" s="18"/>
      <c r="I274" s="18"/>
      <c r="J274" s="18"/>
    </row>
    <row r="275" spans="2:10" ht="12.75" customHeight="1" x14ac:dyDescent="0.2">
      <c r="B275" s="16"/>
      <c r="C275" s="17"/>
      <c r="D275" s="16"/>
      <c r="E275" s="18"/>
      <c r="F275" s="18"/>
      <c r="G275" s="18"/>
      <c r="H275" s="18"/>
      <c r="I275" s="18"/>
      <c r="J275" s="18"/>
    </row>
    <row r="276" spans="2:10" ht="12.75" customHeight="1" x14ac:dyDescent="0.2">
      <c r="B276" s="16"/>
      <c r="C276" s="17"/>
      <c r="D276" s="16"/>
      <c r="E276" s="18"/>
      <c r="F276" s="18"/>
      <c r="G276" s="18"/>
      <c r="H276" s="18"/>
      <c r="I276" s="18"/>
      <c r="J276" s="18"/>
    </row>
    <row r="277" spans="2:10" ht="12.75" customHeight="1" x14ac:dyDescent="0.2">
      <c r="B277" s="16"/>
      <c r="C277" s="17"/>
      <c r="D277" s="16"/>
      <c r="E277" s="18"/>
      <c r="F277" s="18"/>
      <c r="G277" s="18"/>
      <c r="H277" s="18"/>
      <c r="I277" s="18"/>
      <c r="J277" s="18"/>
    </row>
    <row r="278" spans="2:10" ht="12.75" customHeight="1" x14ac:dyDescent="0.2">
      <c r="B278" s="16"/>
      <c r="C278" s="17"/>
      <c r="D278" s="16"/>
      <c r="E278" s="18"/>
      <c r="F278" s="18"/>
      <c r="G278" s="18"/>
      <c r="H278" s="18"/>
      <c r="I278" s="18"/>
      <c r="J278" s="18"/>
    </row>
    <row r="279" spans="2:10" ht="12.75" customHeight="1" x14ac:dyDescent="0.2">
      <c r="B279" s="16"/>
      <c r="C279" s="17"/>
      <c r="D279" s="16"/>
      <c r="E279" s="18"/>
      <c r="F279" s="18"/>
      <c r="G279" s="18"/>
      <c r="H279" s="18"/>
      <c r="I279" s="18"/>
      <c r="J279" s="18"/>
    </row>
    <row r="280" spans="2:10" ht="12.75" customHeight="1" x14ac:dyDescent="0.2">
      <c r="B280" s="16"/>
      <c r="C280" s="17"/>
      <c r="D280" s="16"/>
      <c r="E280" s="18"/>
      <c r="F280" s="18"/>
      <c r="G280" s="18"/>
      <c r="H280" s="18"/>
      <c r="I280" s="18"/>
      <c r="J280" s="18"/>
    </row>
    <row r="281" spans="2:10" ht="12.75" customHeight="1" x14ac:dyDescent="0.2">
      <c r="B281" s="16"/>
      <c r="C281" s="17"/>
      <c r="D281" s="16"/>
      <c r="E281" s="18"/>
      <c r="F281" s="18"/>
      <c r="G281" s="18"/>
      <c r="H281" s="18"/>
      <c r="I281" s="18"/>
      <c r="J281" s="18"/>
    </row>
    <row r="282" spans="2:10" ht="12.75" customHeight="1" x14ac:dyDescent="0.2">
      <c r="B282" s="16"/>
      <c r="C282" s="17"/>
      <c r="D282" s="16"/>
      <c r="E282" s="18"/>
      <c r="F282" s="18"/>
      <c r="G282" s="18"/>
      <c r="H282" s="18"/>
      <c r="I282" s="18"/>
      <c r="J282" s="18"/>
    </row>
    <row r="283" spans="2:10" ht="12.75" customHeight="1" x14ac:dyDescent="0.2">
      <c r="B283" s="16"/>
      <c r="C283" s="17"/>
      <c r="D283" s="16"/>
      <c r="E283" s="18"/>
      <c r="F283" s="18"/>
      <c r="G283" s="18"/>
      <c r="H283" s="18"/>
      <c r="I283" s="18"/>
      <c r="J283" s="18"/>
    </row>
    <row r="284" spans="2:10" ht="12.75" customHeight="1" x14ac:dyDescent="0.2">
      <c r="B284" s="16"/>
      <c r="C284" s="17"/>
      <c r="D284" s="16"/>
      <c r="E284" s="18"/>
      <c r="F284" s="18"/>
      <c r="G284" s="18"/>
      <c r="H284" s="18"/>
      <c r="I284" s="18"/>
      <c r="J284" s="18"/>
    </row>
    <row r="285" spans="2:10" ht="12.75" customHeight="1" x14ac:dyDescent="0.2">
      <c r="B285" s="16"/>
      <c r="C285" s="17"/>
      <c r="D285" s="16"/>
      <c r="E285" s="18"/>
      <c r="F285" s="18"/>
      <c r="G285" s="18"/>
      <c r="H285" s="18"/>
      <c r="I285" s="18"/>
      <c r="J285" s="18"/>
    </row>
    <row r="286" spans="2:10" ht="12.75" customHeight="1" x14ac:dyDescent="0.2">
      <c r="B286" s="16"/>
      <c r="C286" s="17"/>
      <c r="D286" s="16"/>
      <c r="E286" s="18"/>
      <c r="F286" s="18"/>
      <c r="G286" s="18"/>
      <c r="H286" s="18"/>
      <c r="I286" s="18"/>
      <c r="J286" s="18"/>
    </row>
    <row r="287" spans="2:10" ht="12.75" customHeight="1" x14ac:dyDescent="0.2">
      <c r="B287" s="16"/>
      <c r="C287" s="17"/>
      <c r="D287" s="16"/>
      <c r="E287" s="18"/>
      <c r="F287" s="18"/>
      <c r="G287" s="18"/>
      <c r="H287" s="18"/>
      <c r="I287" s="18"/>
      <c r="J287" s="18"/>
    </row>
    <row r="288" spans="2:10" ht="12.75" customHeight="1" x14ac:dyDescent="0.2">
      <c r="B288" s="16"/>
      <c r="C288" s="17"/>
      <c r="D288" s="16"/>
      <c r="E288" s="18"/>
      <c r="F288" s="18"/>
      <c r="G288" s="18"/>
      <c r="H288" s="18"/>
      <c r="I288" s="18"/>
      <c r="J288" s="18"/>
    </row>
    <row r="289" spans="2:10" ht="12.75" customHeight="1" x14ac:dyDescent="0.2">
      <c r="B289" s="16"/>
      <c r="C289" s="17"/>
      <c r="D289" s="16"/>
      <c r="E289" s="18"/>
      <c r="F289" s="18"/>
      <c r="G289" s="18"/>
      <c r="H289" s="18"/>
      <c r="I289" s="18"/>
      <c r="J289" s="18"/>
    </row>
    <row r="290" spans="2:10" ht="12.75" customHeight="1" x14ac:dyDescent="0.2">
      <c r="B290" s="16"/>
      <c r="C290" s="17"/>
      <c r="D290" s="16"/>
      <c r="E290" s="18"/>
      <c r="F290" s="18"/>
      <c r="G290" s="18"/>
      <c r="H290" s="18"/>
      <c r="I290" s="18"/>
      <c r="J290" s="18"/>
    </row>
    <row r="291" spans="2:10" ht="12.75" customHeight="1" x14ac:dyDescent="0.2">
      <c r="B291" s="16"/>
      <c r="C291" s="17"/>
      <c r="D291" s="16"/>
      <c r="E291" s="18"/>
      <c r="F291" s="18"/>
      <c r="G291" s="18"/>
      <c r="H291" s="18"/>
      <c r="I291" s="18"/>
      <c r="J291" s="18"/>
    </row>
    <row r="292" spans="2:10" ht="12.75" customHeight="1" x14ac:dyDescent="0.2">
      <c r="B292" s="16"/>
      <c r="C292" s="17"/>
      <c r="D292" s="16"/>
      <c r="E292" s="18"/>
      <c r="F292" s="18"/>
      <c r="G292" s="18"/>
      <c r="H292" s="18"/>
      <c r="I292" s="18"/>
      <c r="J292" s="18"/>
    </row>
    <row r="293" spans="2:10" ht="12.75" customHeight="1" x14ac:dyDescent="0.2">
      <c r="B293" s="16"/>
      <c r="C293" s="17"/>
      <c r="D293" s="16"/>
      <c r="E293" s="18"/>
      <c r="F293" s="18"/>
      <c r="G293" s="18"/>
      <c r="H293" s="18"/>
      <c r="I293" s="18"/>
      <c r="J293" s="18"/>
    </row>
    <row r="294" spans="2:10" ht="12.75" customHeight="1" x14ac:dyDescent="0.2">
      <c r="B294" s="16"/>
      <c r="C294" s="17"/>
      <c r="D294" s="16"/>
      <c r="E294" s="18"/>
      <c r="F294" s="18"/>
      <c r="G294" s="18"/>
      <c r="H294" s="18"/>
      <c r="I294" s="18"/>
      <c r="J294" s="18"/>
    </row>
    <row r="295" spans="2:10" ht="12.75" customHeight="1" x14ac:dyDescent="0.2">
      <c r="B295" s="16"/>
      <c r="C295" s="17"/>
      <c r="D295" s="16"/>
      <c r="E295" s="18"/>
      <c r="F295" s="18"/>
      <c r="G295" s="18"/>
      <c r="H295" s="18"/>
      <c r="I295" s="18"/>
      <c r="J295" s="18"/>
    </row>
    <row r="296" spans="2:10" ht="12.75" customHeight="1" x14ac:dyDescent="0.2">
      <c r="B296" s="16"/>
      <c r="C296" s="17"/>
      <c r="D296" s="16"/>
      <c r="E296" s="18"/>
      <c r="F296" s="18"/>
      <c r="G296" s="18"/>
      <c r="H296" s="18"/>
      <c r="I296" s="18"/>
      <c r="J296" s="18"/>
    </row>
    <row r="297" spans="2:10" ht="12.75" customHeight="1" x14ac:dyDescent="0.2">
      <c r="B297" s="16"/>
      <c r="C297" s="17"/>
      <c r="D297" s="16"/>
      <c r="E297" s="18"/>
      <c r="F297" s="18"/>
      <c r="G297" s="18"/>
      <c r="H297" s="18"/>
      <c r="I297" s="18"/>
      <c r="J297" s="18"/>
    </row>
    <row r="298" spans="2:10" ht="12.75" customHeight="1" x14ac:dyDescent="0.2">
      <c r="B298" s="16"/>
      <c r="C298" s="17"/>
      <c r="D298" s="16"/>
      <c r="E298" s="18"/>
      <c r="F298" s="18"/>
      <c r="G298" s="18"/>
      <c r="H298" s="18"/>
      <c r="I298" s="18"/>
      <c r="J298" s="18"/>
    </row>
    <row r="299" spans="2:10" ht="12.75" customHeight="1" x14ac:dyDescent="0.2">
      <c r="B299" s="16"/>
      <c r="C299" s="17"/>
      <c r="D299" s="16"/>
      <c r="E299" s="18"/>
      <c r="F299" s="18"/>
      <c r="G299" s="18"/>
      <c r="H299" s="18"/>
      <c r="I299" s="18"/>
      <c r="J299" s="18"/>
    </row>
    <row r="300" spans="2:10" ht="12.75" customHeight="1" x14ac:dyDescent="0.2">
      <c r="B300" s="16"/>
      <c r="C300" s="17"/>
      <c r="D300" s="16"/>
      <c r="E300" s="18"/>
      <c r="F300" s="18"/>
      <c r="G300" s="18"/>
      <c r="H300" s="18"/>
      <c r="I300" s="18"/>
      <c r="J300" s="18"/>
    </row>
    <row r="301" spans="2:10" ht="12.75" customHeight="1" x14ac:dyDescent="0.2">
      <c r="B301" s="16"/>
      <c r="C301" s="17"/>
      <c r="D301" s="16"/>
      <c r="E301" s="18"/>
      <c r="F301" s="18"/>
      <c r="G301" s="18"/>
      <c r="H301" s="18"/>
      <c r="I301" s="18"/>
      <c r="J301" s="18"/>
    </row>
    <row r="302" spans="2:10" ht="12.75" customHeight="1" x14ac:dyDescent="0.2">
      <c r="B302" s="16"/>
      <c r="C302" s="17"/>
      <c r="D302" s="16"/>
      <c r="E302" s="18"/>
      <c r="F302" s="18"/>
      <c r="G302" s="18"/>
      <c r="H302" s="18"/>
      <c r="I302" s="18"/>
      <c r="J302" s="18"/>
    </row>
    <row r="303" spans="2:10" ht="12.75" customHeight="1" x14ac:dyDescent="0.2">
      <c r="B303" s="16"/>
      <c r="C303" s="17"/>
      <c r="D303" s="16"/>
      <c r="E303" s="18"/>
      <c r="F303" s="18"/>
      <c r="G303" s="18"/>
      <c r="H303" s="18"/>
      <c r="I303" s="18"/>
      <c r="J303" s="18"/>
    </row>
    <row r="304" spans="2:10" ht="12.75" customHeight="1" x14ac:dyDescent="0.2">
      <c r="B304" s="16"/>
      <c r="C304" s="17"/>
      <c r="D304" s="16"/>
      <c r="E304" s="18"/>
      <c r="F304" s="18"/>
      <c r="G304" s="18"/>
      <c r="H304" s="18"/>
      <c r="I304" s="18"/>
      <c r="J304" s="18"/>
    </row>
    <row r="305" spans="2:10" ht="12.75" customHeight="1" x14ac:dyDescent="0.2">
      <c r="B305" s="16"/>
      <c r="C305" s="17"/>
      <c r="D305" s="16"/>
      <c r="E305" s="18"/>
      <c r="F305" s="18"/>
      <c r="G305" s="18"/>
      <c r="H305" s="18"/>
      <c r="I305" s="18"/>
      <c r="J305" s="18"/>
    </row>
    <row r="306" spans="2:10" ht="12.75" customHeight="1" x14ac:dyDescent="0.2">
      <c r="B306" s="16"/>
      <c r="C306" s="17"/>
      <c r="D306" s="16"/>
      <c r="E306" s="18"/>
      <c r="F306" s="18"/>
      <c r="G306" s="18"/>
      <c r="H306" s="18"/>
      <c r="I306" s="18"/>
      <c r="J306" s="18"/>
    </row>
    <row r="307" spans="2:10" ht="12.75" customHeight="1" x14ac:dyDescent="0.2">
      <c r="B307" s="16"/>
      <c r="C307" s="17"/>
      <c r="D307" s="16"/>
      <c r="E307" s="18"/>
      <c r="F307" s="18"/>
      <c r="G307" s="18"/>
      <c r="H307" s="18"/>
      <c r="I307" s="18"/>
      <c r="J307" s="18"/>
    </row>
    <row r="308" spans="2:10" ht="12.75" customHeight="1" x14ac:dyDescent="0.2">
      <c r="B308" s="16"/>
      <c r="C308" s="17"/>
      <c r="D308" s="16"/>
      <c r="E308" s="18"/>
      <c r="F308" s="18"/>
      <c r="G308" s="18"/>
      <c r="H308" s="18"/>
      <c r="I308" s="18"/>
      <c r="J308" s="18"/>
    </row>
    <row r="309" spans="2:10" ht="12.75" customHeight="1" x14ac:dyDescent="0.2">
      <c r="B309" s="16"/>
      <c r="C309" s="17"/>
      <c r="D309" s="16"/>
      <c r="E309" s="18"/>
      <c r="F309" s="18"/>
      <c r="G309" s="18"/>
      <c r="H309" s="18"/>
      <c r="I309" s="18"/>
      <c r="J309" s="18"/>
    </row>
    <row r="310" spans="2:10" ht="12.75" customHeight="1" x14ac:dyDescent="0.2">
      <c r="B310" s="16"/>
      <c r="C310" s="17"/>
      <c r="D310" s="16"/>
      <c r="E310" s="18"/>
      <c r="F310" s="18"/>
      <c r="G310" s="18"/>
      <c r="H310" s="18"/>
      <c r="I310" s="18"/>
      <c r="J310" s="18"/>
    </row>
    <row r="311" spans="2:10" ht="12.75" customHeight="1" x14ac:dyDescent="0.2">
      <c r="B311" s="16"/>
      <c r="C311" s="17"/>
      <c r="D311" s="16"/>
      <c r="E311" s="18"/>
      <c r="F311" s="18"/>
      <c r="G311" s="18"/>
      <c r="H311" s="18"/>
      <c r="I311" s="18"/>
      <c r="J311" s="18"/>
    </row>
    <row r="312" spans="2:10" ht="12.75" customHeight="1" x14ac:dyDescent="0.2">
      <c r="B312" s="16"/>
      <c r="C312" s="17"/>
      <c r="D312" s="16"/>
      <c r="E312" s="18"/>
      <c r="F312" s="18"/>
      <c r="G312" s="18"/>
      <c r="H312" s="18"/>
      <c r="I312" s="18"/>
      <c r="J312" s="18"/>
    </row>
    <row r="313" spans="2:10" ht="12.75" customHeight="1" x14ac:dyDescent="0.2">
      <c r="B313" s="16"/>
      <c r="C313" s="17"/>
      <c r="D313" s="16"/>
      <c r="E313" s="18"/>
      <c r="F313" s="18"/>
      <c r="G313" s="18"/>
      <c r="H313" s="18"/>
      <c r="I313" s="18"/>
      <c r="J313" s="18"/>
    </row>
    <row r="314" spans="2:10" ht="12.75" customHeight="1" x14ac:dyDescent="0.2">
      <c r="B314" s="16"/>
      <c r="C314" s="17"/>
      <c r="D314" s="16"/>
      <c r="E314" s="18"/>
      <c r="F314" s="18"/>
      <c r="G314" s="18"/>
      <c r="H314" s="18"/>
      <c r="I314" s="18"/>
      <c r="J314" s="18"/>
    </row>
    <row r="315" spans="2:10" ht="12.75" customHeight="1" x14ac:dyDescent="0.2">
      <c r="B315" s="16"/>
      <c r="C315" s="17"/>
      <c r="D315" s="16"/>
      <c r="E315" s="18"/>
      <c r="F315" s="18"/>
      <c r="G315" s="18"/>
      <c r="H315" s="18"/>
      <c r="I315" s="18"/>
      <c r="J315" s="18"/>
    </row>
    <row r="316" spans="2:10" ht="12.75" customHeight="1" x14ac:dyDescent="0.2">
      <c r="B316" s="16"/>
      <c r="C316" s="17"/>
      <c r="D316" s="16"/>
      <c r="E316" s="18"/>
      <c r="F316" s="18"/>
      <c r="G316" s="18"/>
      <c r="H316" s="18"/>
      <c r="I316" s="18"/>
      <c r="J316" s="18"/>
    </row>
    <row r="317" spans="2:10" ht="12.75" customHeight="1" x14ac:dyDescent="0.2">
      <c r="B317" s="16"/>
      <c r="C317" s="17"/>
      <c r="D317" s="16"/>
      <c r="E317" s="18"/>
      <c r="F317" s="18"/>
      <c r="G317" s="18"/>
      <c r="H317" s="18"/>
      <c r="I317" s="18"/>
      <c r="J317" s="18"/>
    </row>
    <row r="318" spans="2:10" ht="12.75" customHeight="1" x14ac:dyDescent="0.2">
      <c r="B318" s="16"/>
      <c r="C318" s="17"/>
      <c r="D318" s="16"/>
      <c r="E318" s="18"/>
      <c r="F318" s="18"/>
      <c r="G318" s="18"/>
      <c r="H318" s="18"/>
      <c r="I318" s="18"/>
      <c r="J318" s="18"/>
    </row>
    <row r="319" spans="2:10" ht="12.75" customHeight="1" x14ac:dyDescent="0.2">
      <c r="B319" s="16"/>
      <c r="C319" s="17"/>
      <c r="D319" s="16"/>
      <c r="E319" s="18"/>
      <c r="F319" s="18"/>
      <c r="G319" s="18"/>
      <c r="H319" s="18"/>
      <c r="I319" s="18"/>
      <c r="J319" s="18"/>
    </row>
    <row r="320" spans="2:10" ht="12.75" customHeight="1" x14ac:dyDescent="0.2">
      <c r="B320" s="16"/>
      <c r="C320" s="17"/>
      <c r="D320" s="16"/>
      <c r="E320" s="18"/>
      <c r="F320" s="18"/>
      <c r="G320" s="18"/>
      <c r="H320" s="18"/>
      <c r="I320" s="18"/>
      <c r="J320" s="18"/>
    </row>
    <row r="321" spans="2:10" ht="12.75" customHeight="1" x14ac:dyDescent="0.2">
      <c r="B321" s="16"/>
      <c r="C321" s="17"/>
      <c r="D321" s="16"/>
      <c r="E321" s="18"/>
      <c r="F321" s="18"/>
      <c r="G321" s="18"/>
      <c r="H321" s="18"/>
      <c r="I321" s="18"/>
      <c r="J321" s="18"/>
    </row>
    <row r="322" spans="2:10" ht="12.75" customHeight="1" x14ac:dyDescent="0.2">
      <c r="B322" s="16"/>
      <c r="C322" s="17"/>
      <c r="D322" s="16"/>
      <c r="E322" s="18"/>
      <c r="F322" s="18"/>
      <c r="G322" s="18"/>
      <c r="H322" s="18"/>
      <c r="I322" s="18"/>
      <c r="J322" s="18"/>
    </row>
    <row r="323" spans="2:10" ht="12.75" customHeight="1" x14ac:dyDescent="0.2">
      <c r="B323" s="16"/>
      <c r="C323" s="17"/>
      <c r="D323" s="16"/>
      <c r="E323" s="18"/>
      <c r="F323" s="18"/>
      <c r="G323" s="18"/>
      <c r="H323" s="18"/>
      <c r="I323" s="18"/>
      <c r="J323" s="18"/>
    </row>
    <row r="324" spans="2:10" ht="12.75" customHeight="1" x14ac:dyDescent="0.2">
      <c r="B324" s="16"/>
      <c r="C324" s="17"/>
      <c r="D324" s="16"/>
      <c r="E324" s="18"/>
      <c r="F324" s="18"/>
      <c r="G324" s="18"/>
      <c r="H324" s="18"/>
      <c r="I324" s="18"/>
      <c r="J324" s="18"/>
    </row>
    <row r="325" spans="2:10" ht="12.75" customHeight="1" x14ac:dyDescent="0.2">
      <c r="B325" s="16"/>
      <c r="C325" s="17"/>
      <c r="D325" s="16"/>
      <c r="E325" s="18"/>
      <c r="F325" s="18"/>
      <c r="G325" s="18"/>
      <c r="H325" s="18"/>
      <c r="I325" s="18"/>
      <c r="J325" s="18"/>
    </row>
    <row r="326" spans="2:10" ht="12.75" customHeight="1" x14ac:dyDescent="0.2">
      <c r="B326" s="16"/>
      <c r="C326" s="17"/>
      <c r="D326" s="16"/>
      <c r="E326" s="18"/>
      <c r="F326" s="18"/>
      <c r="G326" s="18"/>
      <c r="H326" s="18"/>
      <c r="I326" s="18"/>
      <c r="J326" s="18"/>
    </row>
    <row r="327" spans="2:10" ht="12.75" customHeight="1" x14ac:dyDescent="0.2">
      <c r="B327" s="16"/>
      <c r="C327" s="17"/>
      <c r="D327" s="16"/>
      <c r="E327" s="18"/>
      <c r="F327" s="18"/>
      <c r="G327" s="18"/>
      <c r="H327" s="18"/>
      <c r="I327" s="18"/>
      <c r="J327" s="18"/>
    </row>
    <row r="328" spans="2:10" ht="12.75" customHeight="1" x14ac:dyDescent="0.2">
      <c r="B328" s="16"/>
      <c r="C328" s="17"/>
      <c r="D328" s="16"/>
      <c r="E328" s="18"/>
      <c r="F328" s="18"/>
      <c r="G328" s="18"/>
      <c r="H328" s="18"/>
      <c r="I328" s="18"/>
      <c r="J328" s="18"/>
    </row>
    <row r="329" spans="2:10" ht="12.75" customHeight="1" x14ac:dyDescent="0.2">
      <c r="B329" s="16"/>
      <c r="C329" s="17"/>
      <c r="D329" s="16"/>
      <c r="E329" s="18"/>
      <c r="F329" s="18"/>
      <c r="G329" s="18"/>
      <c r="H329" s="18"/>
      <c r="I329" s="18"/>
      <c r="J329" s="18"/>
    </row>
    <row r="330" spans="2:10" ht="12.75" customHeight="1" x14ac:dyDescent="0.2">
      <c r="B330" s="16"/>
      <c r="C330" s="17"/>
      <c r="D330" s="16"/>
      <c r="E330" s="18"/>
      <c r="F330" s="18"/>
      <c r="G330" s="18"/>
      <c r="H330" s="18"/>
      <c r="I330" s="18"/>
      <c r="J330" s="18"/>
    </row>
    <row r="331" spans="2:10" ht="12.75" customHeight="1" x14ac:dyDescent="0.2">
      <c r="B331" s="16"/>
      <c r="C331" s="17"/>
      <c r="D331" s="16"/>
      <c r="E331" s="18"/>
      <c r="F331" s="18"/>
      <c r="G331" s="18"/>
      <c r="H331" s="18"/>
      <c r="I331" s="18"/>
      <c r="J331" s="18"/>
    </row>
    <row r="332" spans="2:10" ht="12.75" customHeight="1" x14ac:dyDescent="0.2">
      <c r="B332" s="16"/>
      <c r="C332" s="17"/>
      <c r="D332" s="16"/>
      <c r="E332" s="18"/>
      <c r="F332" s="18"/>
      <c r="G332" s="18"/>
      <c r="H332" s="18"/>
      <c r="I332" s="18"/>
      <c r="J332" s="18"/>
    </row>
    <row r="333" spans="2:10" ht="12.75" customHeight="1" x14ac:dyDescent="0.2">
      <c r="B333" s="16"/>
      <c r="C333" s="17"/>
      <c r="D333" s="16"/>
      <c r="E333" s="18"/>
      <c r="F333" s="18"/>
      <c r="G333" s="18"/>
      <c r="H333" s="18"/>
      <c r="I333" s="18"/>
      <c r="J333" s="18"/>
    </row>
    <row r="334" spans="2:10" ht="12.75" customHeight="1" x14ac:dyDescent="0.2">
      <c r="B334" s="16"/>
      <c r="C334" s="17"/>
      <c r="D334" s="16"/>
      <c r="E334" s="18"/>
      <c r="F334" s="18"/>
      <c r="G334" s="18"/>
      <c r="H334" s="18"/>
      <c r="I334" s="18"/>
      <c r="J334" s="18"/>
    </row>
    <row r="335" spans="2:10" ht="12.75" customHeight="1" x14ac:dyDescent="0.2">
      <c r="B335" s="16"/>
      <c r="C335" s="17"/>
      <c r="D335" s="16"/>
      <c r="E335" s="18"/>
      <c r="F335" s="18"/>
      <c r="G335" s="18"/>
      <c r="H335" s="18"/>
      <c r="I335" s="18"/>
      <c r="J335" s="18"/>
    </row>
    <row r="336" spans="2:10" ht="12.75" customHeight="1" x14ac:dyDescent="0.2">
      <c r="B336" s="16"/>
      <c r="C336" s="17"/>
      <c r="D336" s="16"/>
      <c r="E336" s="18"/>
      <c r="F336" s="18"/>
      <c r="G336" s="18"/>
      <c r="H336" s="18"/>
      <c r="I336" s="18"/>
      <c r="J336" s="18"/>
    </row>
    <row r="337" spans="2:10" ht="12.75" customHeight="1" x14ac:dyDescent="0.2">
      <c r="B337" s="16"/>
      <c r="C337" s="17"/>
      <c r="D337" s="16"/>
      <c r="E337" s="18"/>
      <c r="F337" s="18"/>
      <c r="G337" s="18"/>
      <c r="H337" s="18"/>
      <c r="I337" s="18"/>
      <c r="J337" s="18"/>
    </row>
    <row r="338" spans="2:10" ht="12.75" customHeight="1" x14ac:dyDescent="0.2">
      <c r="B338" s="16"/>
      <c r="C338" s="17"/>
      <c r="D338" s="16"/>
      <c r="E338" s="18"/>
      <c r="F338" s="18"/>
      <c r="G338" s="18"/>
      <c r="H338" s="18"/>
      <c r="I338" s="18"/>
      <c r="J338" s="18"/>
    </row>
    <row r="339" spans="2:10" ht="12.75" customHeight="1" x14ac:dyDescent="0.2">
      <c r="B339" s="16"/>
      <c r="C339" s="17"/>
      <c r="D339" s="16"/>
      <c r="E339" s="18"/>
      <c r="F339" s="18"/>
      <c r="G339" s="18"/>
      <c r="H339" s="18"/>
      <c r="I339" s="18"/>
      <c r="J339" s="18"/>
    </row>
    <row r="340" spans="2:10" ht="12.75" customHeight="1" x14ac:dyDescent="0.2">
      <c r="B340" s="16"/>
      <c r="C340" s="17"/>
      <c r="D340" s="16"/>
      <c r="E340" s="18"/>
      <c r="F340" s="18"/>
      <c r="G340" s="18"/>
      <c r="H340" s="18"/>
      <c r="I340" s="18"/>
      <c r="J340" s="18"/>
    </row>
    <row r="341" spans="2:10" ht="12.75" customHeight="1" x14ac:dyDescent="0.2">
      <c r="B341" s="16"/>
      <c r="C341" s="17"/>
      <c r="D341" s="16"/>
      <c r="E341" s="18"/>
      <c r="F341" s="18"/>
      <c r="G341" s="18"/>
      <c r="H341" s="18"/>
      <c r="I341" s="18"/>
      <c r="J341" s="18"/>
    </row>
    <row r="342" spans="2:10" ht="12.75" customHeight="1" x14ac:dyDescent="0.2">
      <c r="B342" s="16"/>
      <c r="C342" s="17"/>
      <c r="D342" s="16"/>
      <c r="E342" s="18"/>
      <c r="F342" s="18"/>
      <c r="G342" s="18"/>
      <c r="H342" s="18"/>
      <c r="I342" s="18"/>
      <c r="J342" s="18"/>
    </row>
    <row r="343" spans="2:10" ht="12.75" customHeight="1" x14ac:dyDescent="0.2">
      <c r="B343" s="16"/>
      <c r="C343" s="17"/>
      <c r="D343" s="16"/>
      <c r="E343" s="18"/>
      <c r="F343" s="18"/>
      <c r="G343" s="18"/>
      <c r="H343" s="18"/>
      <c r="I343" s="18"/>
      <c r="J343" s="18"/>
    </row>
    <row r="344" spans="2:10" ht="12.75" customHeight="1" x14ac:dyDescent="0.2">
      <c r="B344" s="16"/>
      <c r="C344" s="17"/>
      <c r="D344" s="16"/>
      <c r="E344" s="18"/>
      <c r="F344" s="18"/>
      <c r="G344" s="18"/>
      <c r="H344" s="18"/>
      <c r="I344" s="18"/>
      <c r="J344" s="18"/>
    </row>
    <row r="345" spans="2:10" ht="12.75" customHeight="1" x14ac:dyDescent="0.2">
      <c r="B345" s="16"/>
      <c r="C345" s="17"/>
      <c r="D345" s="16"/>
      <c r="E345" s="18"/>
      <c r="F345" s="18"/>
      <c r="G345" s="18"/>
      <c r="H345" s="18"/>
      <c r="I345" s="18"/>
      <c r="J345" s="18"/>
    </row>
    <row r="346" spans="2:10" ht="12.75" customHeight="1" x14ac:dyDescent="0.2">
      <c r="B346" s="16"/>
      <c r="C346" s="17"/>
      <c r="D346" s="16"/>
      <c r="E346" s="18"/>
      <c r="F346" s="18"/>
      <c r="G346" s="18"/>
      <c r="H346" s="18"/>
      <c r="I346" s="18"/>
      <c r="J346" s="18"/>
    </row>
    <row r="347" spans="2:10" ht="12.75" customHeight="1" x14ac:dyDescent="0.2">
      <c r="B347" s="16"/>
      <c r="C347" s="17"/>
      <c r="D347" s="16"/>
      <c r="E347" s="18"/>
      <c r="F347" s="18"/>
      <c r="G347" s="18"/>
      <c r="H347" s="18"/>
      <c r="I347" s="18"/>
      <c r="J347" s="18"/>
    </row>
    <row r="348" spans="2:10" ht="12.75" customHeight="1" x14ac:dyDescent="0.2">
      <c r="B348" s="16"/>
      <c r="C348" s="17"/>
      <c r="D348" s="16"/>
      <c r="E348" s="18"/>
      <c r="F348" s="18"/>
      <c r="G348" s="18"/>
      <c r="H348" s="18"/>
      <c r="I348" s="18"/>
      <c r="J348" s="18"/>
    </row>
    <row r="349" spans="2:10" ht="12.75" customHeight="1" x14ac:dyDescent="0.2">
      <c r="B349" s="16"/>
      <c r="C349" s="17"/>
      <c r="D349" s="16"/>
      <c r="E349" s="18"/>
      <c r="F349" s="18"/>
      <c r="G349" s="18"/>
      <c r="H349" s="18"/>
      <c r="I349" s="18"/>
      <c r="J349" s="18"/>
    </row>
    <row r="350" spans="2:10" ht="12.75" customHeight="1" x14ac:dyDescent="0.2">
      <c r="B350" s="16"/>
      <c r="C350" s="17"/>
      <c r="D350" s="16"/>
      <c r="E350" s="18"/>
      <c r="F350" s="18"/>
      <c r="G350" s="18"/>
      <c r="H350" s="18"/>
      <c r="I350" s="18"/>
      <c r="J350" s="18"/>
    </row>
    <row r="351" spans="2:10" ht="12.75" customHeight="1" x14ac:dyDescent="0.2">
      <c r="B351" s="16"/>
      <c r="C351" s="17"/>
      <c r="D351" s="16"/>
      <c r="E351" s="18"/>
      <c r="F351" s="18"/>
      <c r="G351" s="18"/>
      <c r="H351" s="18"/>
      <c r="I351" s="18"/>
      <c r="J351" s="18"/>
    </row>
    <row r="352" spans="2:10" ht="12.75" customHeight="1" x14ac:dyDescent="0.2">
      <c r="B352" s="16"/>
      <c r="C352" s="17"/>
      <c r="D352" s="16"/>
      <c r="E352" s="18"/>
      <c r="F352" s="18"/>
      <c r="G352" s="18"/>
      <c r="H352" s="18"/>
      <c r="I352" s="18"/>
      <c r="J352" s="18"/>
    </row>
    <row r="353" spans="2:10" ht="12.75" customHeight="1" x14ac:dyDescent="0.2">
      <c r="B353" s="16"/>
      <c r="C353" s="17"/>
      <c r="D353" s="16"/>
      <c r="E353" s="18"/>
      <c r="F353" s="18"/>
      <c r="G353" s="18"/>
      <c r="H353" s="18"/>
      <c r="I353" s="18"/>
      <c r="J353" s="18"/>
    </row>
    <row r="354" spans="2:10" ht="12.75" customHeight="1" x14ac:dyDescent="0.2">
      <c r="B354" s="16"/>
      <c r="C354" s="17"/>
      <c r="D354" s="16"/>
      <c r="E354" s="18"/>
      <c r="F354" s="18"/>
      <c r="G354" s="18"/>
      <c r="H354" s="18"/>
      <c r="I354" s="18"/>
      <c r="J354" s="18"/>
    </row>
    <row r="355" spans="2:10" ht="12.75" customHeight="1" x14ac:dyDescent="0.2">
      <c r="B355" s="16"/>
      <c r="C355" s="17"/>
      <c r="D355" s="16"/>
      <c r="E355" s="18"/>
      <c r="F355" s="18"/>
      <c r="G355" s="18"/>
      <c r="H355" s="18"/>
      <c r="I355" s="18"/>
      <c r="J355" s="18"/>
    </row>
    <row r="356" spans="2:10" ht="12.75" customHeight="1" x14ac:dyDescent="0.2">
      <c r="B356" s="16"/>
      <c r="C356" s="17"/>
      <c r="D356" s="16"/>
      <c r="E356" s="18"/>
      <c r="F356" s="18"/>
      <c r="G356" s="18"/>
      <c r="H356" s="18"/>
      <c r="I356" s="18"/>
      <c r="J356" s="18"/>
    </row>
    <row r="357" spans="2:10" ht="12.75" customHeight="1" x14ac:dyDescent="0.2">
      <c r="B357" s="16"/>
      <c r="C357" s="17"/>
      <c r="D357" s="16"/>
      <c r="E357" s="18"/>
      <c r="F357" s="18"/>
      <c r="G357" s="18"/>
      <c r="H357" s="18"/>
      <c r="I357" s="18"/>
      <c r="J357" s="18"/>
    </row>
    <row r="358" spans="2:10" ht="12.75" customHeight="1" x14ac:dyDescent="0.2">
      <c r="B358" s="16"/>
      <c r="C358" s="17"/>
      <c r="D358" s="16"/>
      <c r="E358" s="18"/>
      <c r="F358" s="18"/>
      <c r="G358" s="18"/>
      <c r="H358" s="18"/>
      <c r="I358" s="18"/>
      <c r="J358" s="18"/>
    </row>
    <row r="359" spans="2:10" ht="12.75" customHeight="1" x14ac:dyDescent="0.2">
      <c r="B359" s="16"/>
      <c r="C359" s="17"/>
      <c r="D359" s="16"/>
      <c r="E359" s="18"/>
      <c r="F359" s="18"/>
      <c r="G359" s="18"/>
      <c r="H359" s="18"/>
      <c r="I359" s="18"/>
      <c r="J359" s="18"/>
    </row>
    <row r="360" spans="2:10" ht="12.75" customHeight="1" x14ac:dyDescent="0.2">
      <c r="B360" s="16"/>
      <c r="C360" s="17"/>
      <c r="D360" s="16"/>
      <c r="E360" s="18"/>
      <c r="F360" s="18"/>
      <c r="G360" s="18"/>
      <c r="H360" s="18"/>
      <c r="I360" s="18"/>
      <c r="J360" s="18"/>
    </row>
    <row r="361" spans="2:10" ht="12.75" customHeight="1" x14ac:dyDescent="0.2">
      <c r="B361" s="16"/>
      <c r="C361" s="17"/>
      <c r="D361" s="16"/>
      <c r="E361" s="18"/>
      <c r="F361" s="18"/>
      <c r="G361" s="18"/>
      <c r="H361" s="18"/>
      <c r="I361" s="18"/>
      <c r="J361" s="18"/>
    </row>
    <row r="362" spans="2:10" ht="12.75" customHeight="1" x14ac:dyDescent="0.2">
      <c r="B362" s="16"/>
      <c r="C362" s="17"/>
      <c r="D362" s="16"/>
      <c r="E362" s="18"/>
      <c r="F362" s="18"/>
      <c r="G362" s="18"/>
      <c r="H362" s="18"/>
      <c r="I362" s="18"/>
      <c r="J362" s="18"/>
    </row>
    <row r="363" spans="2:10" ht="12.75" customHeight="1" x14ac:dyDescent="0.2">
      <c r="B363" s="16"/>
      <c r="C363" s="17"/>
      <c r="D363" s="16"/>
      <c r="E363" s="18"/>
      <c r="F363" s="18"/>
      <c r="G363" s="18"/>
      <c r="H363" s="18"/>
      <c r="I363" s="18"/>
      <c r="J363" s="18"/>
    </row>
    <row r="364" spans="2:10" ht="12.75" customHeight="1" x14ac:dyDescent="0.2">
      <c r="B364" s="16"/>
      <c r="C364" s="17"/>
      <c r="D364" s="16"/>
      <c r="E364" s="18"/>
      <c r="F364" s="18"/>
      <c r="G364" s="18"/>
      <c r="H364" s="18"/>
      <c r="I364" s="18"/>
      <c r="J364" s="18"/>
    </row>
    <row r="365" spans="2:10" ht="12.75" customHeight="1" x14ac:dyDescent="0.2">
      <c r="B365" s="16"/>
      <c r="C365" s="17"/>
      <c r="D365" s="16"/>
      <c r="E365" s="18"/>
      <c r="F365" s="18"/>
      <c r="G365" s="18"/>
      <c r="H365" s="18"/>
      <c r="I365" s="18"/>
      <c r="J365" s="18"/>
    </row>
    <row r="366" spans="2:10" ht="12.75" customHeight="1" x14ac:dyDescent="0.2">
      <c r="B366" s="16"/>
      <c r="C366" s="17"/>
      <c r="D366" s="16"/>
      <c r="E366" s="18"/>
      <c r="F366" s="18"/>
      <c r="G366" s="18"/>
      <c r="H366" s="18"/>
      <c r="I366" s="18"/>
      <c r="J366" s="18"/>
    </row>
    <row r="367" spans="2:10" ht="12.75" customHeight="1" x14ac:dyDescent="0.2">
      <c r="B367" s="16"/>
      <c r="C367" s="17"/>
      <c r="D367" s="16"/>
      <c r="E367" s="18"/>
      <c r="F367" s="18"/>
      <c r="G367" s="18"/>
      <c r="H367" s="18"/>
      <c r="I367" s="18"/>
      <c r="J367" s="18"/>
    </row>
    <row r="368" spans="2:10" ht="12.75" customHeight="1" x14ac:dyDescent="0.2">
      <c r="B368" s="16"/>
      <c r="C368" s="17"/>
      <c r="D368" s="16"/>
      <c r="E368" s="18"/>
      <c r="F368" s="18"/>
      <c r="G368" s="18"/>
      <c r="H368" s="18"/>
      <c r="I368" s="18"/>
      <c r="J368" s="18"/>
    </row>
    <row r="369" spans="2:10" ht="12.75" customHeight="1" x14ac:dyDescent="0.2">
      <c r="B369" s="16"/>
      <c r="C369" s="17"/>
      <c r="D369" s="16"/>
      <c r="E369" s="18"/>
      <c r="F369" s="18"/>
      <c r="G369" s="18"/>
      <c r="H369" s="18"/>
      <c r="I369" s="18"/>
      <c r="J369" s="18"/>
    </row>
    <row r="370" spans="2:10" ht="12.75" customHeight="1" x14ac:dyDescent="0.2">
      <c r="B370" s="16"/>
      <c r="C370" s="17"/>
      <c r="D370" s="16"/>
      <c r="E370" s="18"/>
      <c r="F370" s="18"/>
      <c r="G370" s="18"/>
      <c r="H370" s="18"/>
      <c r="I370" s="18"/>
      <c r="J370" s="18"/>
    </row>
    <row r="371" spans="2:10" ht="12.75" customHeight="1" x14ac:dyDescent="0.2">
      <c r="B371" s="16"/>
      <c r="C371" s="17"/>
      <c r="D371" s="16"/>
      <c r="E371" s="18"/>
      <c r="F371" s="18"/>
      <c r="G371" s="18"/>
      <c r="H371" s="18"/>
      <c r="I371" s="18"/>
      <c r="J371" s="18"/>
    </row>
    <row r="372" spans="2:10" ht="12.75" customHeight="1" x14ac:dyDescent="0.2">
      <c r="B372" s="16"/>
      <c r="C372" s="17"/>
      <c r="D372" s="16"/>
      <c r="E372" s="18"/>
      <c r="F372" s="18"/>
      <c r="G372" s="18"/>
      <c r="H372" s="18"/>
      <c r="I372" s="18"/>
      <c r="J372" s="18"/>
    </row>
    <row r="373" spans="2:10" ht="12.75" customHeight="1" x14ac:dyDescent="0.2">
      <c r="B373" s="16"/>
      <c r="C373" s="17"/>
      <c r="D373" s="16"/>
      <c r="E373" s="18"/>
      <c r="F373" s="18"/>
      <c r="G373" s="18"/>
      <c r="H373" s="18"/>
      <c r="I373" s="18"/>
      <c r="J373" s="18"/>
    </row>
    <row r="374" spans="2:10" ht="12.75" customHeight="1" x14ac:dyDescent="0.2">
      <c r="B374" s="16"/>
      <c r="C374" s="17"/>
      <c r="D374" s="16"/>
      <c r="E374" s="18"/>
      <c r="F374" s="18"/>
      <c r="G374" s="18"/>
      <c r="H374" s="18"/>
      <c r="I374" s="18"/>
      <c r="J374" s="18"/>
    </row>
    <row r="375" spans="2:10" ht="12.75" customHeight="1" x14ac:dyDescent="0.2">
      <c r="B375" s="16"/>
      <c r="C375" s="17"/>
      <c r="D375" s="16"/>
      <c r="E375" s="18"/>
      <c r="F375" s="18"/>
      <c r="G375" s="18"/>
      <c r="H375" s="18"/>
      <c r="I375" s="18"/>
      <c r="J375" s="18"/>
    </row>
    <row r="376" spans="2:10" ht="12.75" customHeight="1" x14ac:dyDescent="0.2">
      <c r="B376" s="16"/>
      <c r="C376" s="17"/>
      <c r="D376" s="16"/>
      <c r="E376" s="18"/>
      <c r="F376" s="18"/>
      <c r="G376" s="18"/>
      <c r="H376" s="18"/>
      <c r="I376" s="18"/>
      <c r="J376" s="18"/>
    </row>
    <row r="377" spans="2:10" ht="12.75" customHeight="1" x14ac:dyDescent="0.2">
      <c r="B377" s="16"/>
      <c r="C377" s="17"/>
      <c r="D377" s="16"/>
      <c r="E377" s="18"/>
      <c r="F377" s="18"/>
      <c r="G377" s="18"/>
      <c r="H377" s="18"/>
      <c r="I377" s="18"/>
      <c r="J377" s="18"/>
    </row>
    <row r="378" spans="2:10" ht="12.75" customHeight="1" x14ac:dyDescent="0.2">
      <c r="B378" s="16"/>
      <c r="C378" s="17"/>
      <c r="D378" s="16"/>
      <c r="E378" s="18"/>
      <c r="F378" s="18"/>
      <c r="G378" s="18"/>
      <c r="H378" s="18"/>
      <c r="I378" s="18"/>
      <c r="J378" s="18"/>
    </row>
    <row r="379" spans="2:10" ht="12.75" customHeight="1" x14ac:dyDescent="0.2">
      <c r="B379" s="16"/>
      <c r="C379" s="17"/>
      <c r="D379" s="16"/>
      <c r="E379" s="18"/>
      <c r="F379" s="18"/>
      <c r="G379" s="18"/>
      <c r="H379" s="18"/>
      <c r="I379" s="18"/>
      <c r="J379" s="18"/>
    </row>
    <row r="380" spans="2:10" ht="12.75" customHeight="1" x14ac:dyDescent="0.2">
      <c r="B380" s="16"/>
      <c r="C380" s="17"/>
      <c r="D380" s="16"/>
      <c r="E380" s="18"/>
      <c r="F380" s="18"/>
      <c r="G380" s="18"/>
      <c r="H380" s="18"/>
      <c r="I380" s="18"/>
      <c r="J380" s="18"/>
    </row>
    <row r="381" spans="2:10" ht="12.75" customHeight="1" x14ac:dyDescent="0.2">
      <c r="B381" s="16"/>
      <c r="C381" s="17"/>
      <c r="D381" s="16"/>
      <c r="E381" s="18"/>
      <c r="F381" s="18"/>
      <c r="G381" s="18"/>
      <c r="H381" s="18"/>
      <c r="I381" s="18"/>
      <c r="J381" s="18"/>
    </row>
    <row r="382" spans="2:10" ht="12.75" customHeight="1" x14ac:dyDescent="0.2">
      <c r="B382" s="16"/>
      <c r="C382" s="17"/>
      <c r="D382" s="16"/>
      <c r="E382" s="18"/>
      <c r="F382" s="18"/>
      <c r="G382" s="18"/>
      <c r="H382" s="18"/>
      <c r="I382" s="18"/>
      <c r="J382" s="18"/>
    </row>
    <row r="383" spans="2:10" ht="12.75" customHeight="1" x14ac:dyDescent="0.2">
      <c r="B383" s="16"/>
      <c r="C383" s="17"/>
      <c r="D383" s="16"/>
      <c r="E383" s="18"/>
      <c r="F383" s="18"/>
      <c r="G383" s="18"/>
      <c r="H383" s="18"/>
      <c r="I383" s="18"/>
      <c r="J383" s="18"/>
    </row>
    <row r="384" spans="2:10" ht="12.75" customHeight="1" x14ac:dyDescent="0.2">
      <c r="B384" s="16"/>
      <c r="C384" s="17"/>
      <c r="D384" s="16"/>
      <c r="E384" s="18"/>
      <c r="F384" s="18"/>
      <c r="G384" s="18"/>
      <c r="H384" s="18"/>
      <c r="I384" s="18"/>
      <c r="J384" s="18"/>
    </row>
    <row r="385" spans="2:10" ht="12.75" customHeight="1" x14ac:dyDescent="0.2">
      <c r="B385" s="16"/>
      <c r="C385" s="17"/>
      <c r="D385" s="16"/>
      <c r="E385" s="18"/>
      <c r="F385" s="18"/>
      <c r="G385" s="18"/>
      <c r="H385" s="18"/>
      <c r="I385" s="18"/>
      <c r="J385" s="18"/>
    </row>
    <row r="386" spans="2:10" ht="12.75" customHeight="1" x14ac:dyDescent="0.2">
      <c r="B386" s="16"/>
      <c r="C386" s="17"/>
      <c r="D386" s="16"/>
      <c r="E386" s="18"/>
      <c r="F386" s="18"/>
      <c r="G386" s="18"/>
      <c r="H386" s="18"/>
      <c r="I386" s="18"/>
      <c r="J386" s="18"/>
    </row>
    <row r="387" spans="2:10" ht="12.75" customHeight="1" x14ac:dyDescent="0.2">
      <c r="B387" s="16"/>
      <c r="C387" s="17"/>
      <c r="D387" s="16"/>
      <c r="E387" s="18"/>
      <c r="F387" s="18"/>
      <c r="G387" s="18"/>
      <c r="H387" s="18"/>
      <c r="I387" s="18"/>
      <c r="J387" s="18"/>
    </row>
    <row r="388" spans="2:10" ht="12.75" customHeight="1" x14ac:dyDescent="0.2">
      <c r="B388" s="16"/>
      <c r="C388" s="17"/>
      <c r="D388" s="16"/>
      <c r="E388" s="18"/>
      <c r="F388" s="18"/>
      <c r="G388" s="18"/>
      <c r="H388" s="18"/>
      <c r="I388" s="18"/>
      <c r="J388" s="18"/>
    </row>
    <row r="389" spans="2:10" ht="12.75" customHeight="1" x14ac:dyDescent="0.2">
      <c r="B389" s="16"/>
      <c r="C389" s="17"/>
      <c r="D389" s="16"/>
      <c r="E389" s="18"/>
      <c r="F389" s="18"/>
      <c r="G389" s="18"/>
      <c r="H389" s="18"/>
      <c r="I389" s="18"/>
      <c r="J389" s="18"/>
    </row>
    <row r="390" spans="2:10" ht="12.75" customHeight="1" x14ac:dyDescent="0.2">
      <c r="B390" s="16"/>
      <c r="C390" s="17"/>
      <c r="D390" s="16"/>
      <c r="E390" s="18"/>
      <c r="F390" s="18"/>
      <c r="G390" s="18"/>
      <c r="H390" s="18"/>
      <c r="I390" s="18"/>
      <c r="J390" s="18"/>
    </row>
    <row r="391" spans="2:10" ht="12.75" customHeight="1" x14ac:dyDescent="0.2">
      <c r="B391" s="16"/>
      <c r="C391" s="17"/>
      <c r="D391" s="16"/>
      <c r="E391" s="18"/>
      <c r="F391" s="18"/>
      <c r="G391" s="18"/>
      <c r="H391" s="18"/>
      <c r="I391" s="18"/>
      <c r="J391" s="18"/>
    </row>
    <row r="392" spans="2:10" ht="12.75" customHeight="1" x14ac:dyDescent="0.2">
      <c r="B392" s="16"/>
      <c r="C392" s="17"/>
      <c r="D392" s="16"/>
      <c r="E392" s="18"/>
      <c r="F392" s="18"/>
      <c r="G392" s="18"/>
      <c r="H392" s="18"/>
      <c r="I392" s="18"/>
      <c r="J392" s="18"/>
    </row>
    <row r="393" spans="2:10" ht="12.75" customHeight="1" x14ac:dyDescent="0.2">
      <c r="B393" s="16"/>
      <c r="C393" s="17"/>
      <c r="D393" s="16"/>
      <c r="E393" s="18"/>
      <c r="F393" s="18"/>
      <c r="G393" s="18"/>
      <c r="H393" s="18"/>
      <c r="I393" s="18"/>
      <c r="J393" s="18"/>
    </row>
    <row r="394" spans="2:10" ht="12.75" customHeight="1" x14ac:dyDescent="0.2">
      <c r="B394" s="16"/>
      <c r="C394" s="17"/>
      <c r="D394" s="16"/>
      <c r="E394" s="18"/>
      <c r="F394" s="18"/>
      <c r="G394" s="18"/>
      <c r="H394" s="18"/>
      <c r="I394" s="18"/>
      <c r="J394" s="18"/>
    </row>
    <row r="395" spans="2:10" ht="12.75" customHeight="1" x14ac:dyDescent="0.2">
      <c r="B395" s="16"/>
      <c r="C395" s="17"/>
      <c r="D395" s="16"/>
      <c r="E395" s="18"/>
      <c r="F395" s="18"/>
      <c r="G395" s="18"/>
      <c r="H395" s="18"/>
      <c r="I395" s="18"/>
      <c r="J395" s="18"/>
    </row>
    <row r="396" spans="2:10" ht="12.75" customHeight="1" x14ac:dyDescent="0.2">
      <c r="B396" s="16"/>
      <c r="C396" s="17"/>
      <c r="D396" s="16"/>
      <c r="E396" s="18"/>
      <c r="F396" s="18"/>
      <c r="G396" s="18"/>
      <c r="H396" s="18"/>
      <c r="I396" s="18"/>
      <c r="J396" s="18"/>
    </row>
    <row r="397" spans="2:10" ht="12.75" customHeight="1" x14ac:dyDescent="0.2">
      <c r="B397" s="16"/>
      <c r="C397" s="17"/>
      <c r="D397" s="16"/>
      <c r="E397" s="18"/>
      <c r="F397" s="18"/>
      <c r="G397" s="18"/>
      <c r="H397" s="18"/>
      <c r="I397" s="18"/>
      <c r="J397" s="18"/>
    </row>
    <row r="398" spans="2:10" ht="12.75" customHeight="1" x14ac:dyDescent="0.2">
      <c r="B398" s="16"/>
      <c r="C398" s="17"/>
      <c r="D398" s="16"/>
      <c r="E398" s="18"/>
      <c r="F398" s="18"/>
      <c r="G398" s="18"/>
      <c r="H398" s="18"/>
      <c r="I398" s="18"/>
      <c r="J398" s="18"/>
    </row>
    <row r="399" spans="2:10" ht="12.75" customHeight="1" x14ac:dyDescent="0.2">
      <c r="B399" s="16"/>
      <c r="C399" s="17"/>
      <c r="D399" s="16"/>
      <c r="E399" s="18"/>
      <c r="F399" s="18"/>
      <c r="G399" s="18"/>
      <c r="H399" s="18"/>
      <c r="I399" s="18"/>
      <c r="J399" s="18"/>
    </row>
    <row r="400" spans="2:10" ht="12.75" customHeight="1" x14ac:dyDescent="0.2">
      <c r="B400" s="16"/>
      <c r="C400" s="17"/>
      <c r="D400" s="16"/>
      <c r="E400" s="18"/>
      <c r="F400" s="18"/>
      <c r="G400" s="18"/>
      <c r="H400" s="18"/>
      <c r="I400" s="18"/>
      <c r="J400" s="18"/>
    </row>
    <row r="401" spans="2:10" ht="12.75" customHeight="1" x14ac:dyDescent="0.2">
      <c r="B401" s="16"/>
      <c r="C401" s="17"/>
      <c r="D401" s="16"/>
      <c r="E401" s="18"/>
      <c r="F401" s="18"/>
      <c r="G401" s="18"/>
      <c r="H401" s="18"/>
      <c r="I401" s="18"/>
      <c r="J401" s="18"/>
    </row>
    <row r="402" spans="2:10" ht="12.75" customHeight="1" x14ac:dyDescent="0.2">
      <c r="B402" s="16"/>
      <c r="C402" s="17"/>
      <c r="D402" s="16"/>
      <c r="E402" s="18"/>
      <c r="F402" s="18"/>
      <c r="G402" s="18"/>
      <c r="H402" s="18"/>
      <c r="I402" s="18"/>
      <c r="J402" s="18"/>
    </row>
    <row r="403" spans="2:10" ht="12.75" customHeight="1" x14ac:dyDescent="0.2">
      <c r="B403" s="16"/>
      <c r="C403" s="17"/>
      <c r="D403" s="16"/>
      <c r="E403" s="18"/>
      <c r="F403" s="18"/>
      <c r="G403" s="18"/>
      <c r="H403" s="18"/>
      <c r="I403" s="18"/>
      <c r="J403" s="18"/>
    </row>
    <row r="404" spans="2:10" ht="12.75" customHeight="1" x14ac:dyDescent="0.2">
      <c r="B404" s="16"/>
      <c r="C404" s="17"/>
      <c r="D404" s="16"/>
      <c r="E404" s="18"/>
      <c r="F404" s="18"/>
      <c r="G404" s="18"/>
      <c r="H404" s="18"/>
      <c r="I404" s="18"/>
      <c r="J404" s="18"/>
    </row>
    <row r="405" spans="2:10" ht="12.75" customHeight="1" x14ac:dyDescent="0.2">
      <c r="B405" s="16"/>
      <c r="C405" s="17"/>
      <c r="D405" s="16"/>
      <c r="E405" s="18"/>
      <c r="F405" s="18"/>
      <c r="G405" s="18"/>
      <c r="H405" s="18"/>
      <c r="I405" s="18"/>
      <c r="J405" s="18"/>
    </row>
    <row r="406" spans="2:10" ht="12.75" customHeight="1" x14ac:dyDescent="0.2">
      <c r="B406" s="16"/>
      <c r="C406" s="17"/>
      <c r="D406" s="16"/>
      <c r="E406" s="18"/>
      <c r="F406" s="18"/>
      <c r="G406" s="18"/>
      <c r="H406" s="18"/>
      <c r="I406" s="18"/>
      <c r="J406" s="18"/>
    </row>
    <row r="407" spans="2:10" ht="12.75" customHeight="1" x14ac:dyDescent="0.2">
      <c r="B407" s="16"/>
      <c r="C407" s="17"/>
      <c r="D407" s="16"/>
      <c r="E407" s="18"/>
      <c r="F407" s="18"/>
      <c r="G407" s="18"/>
      <c r="H407" s="18"/>
      <c r="I407" s="18"/>
      <c r="J407" s="18"/>
    </row>
    <row r="408" spans="2:10" ht="12.75" customHeight="1" x14ac:dyDescent="0.2">
      <c r="B408" s="16"/>
      <c r="C408" s="17"/>
      <c r="D408" s="16"/>
      <c r="E408" s="18"/>
      <c r="F408" s="18"/>
      <c r="G408" s="18"/>
      <c r="H408" s="18"/>
      <c r="I408" s="18"/>
      <c r="J408" s="18"/>
    </row>
    <row r="409" spans="2:10" ht="12.75" customHeight="1" x14ac:dyDescent="0.2">
      <c r="B409" s="16"/>
      <c r="C409" s="17"/>
      <c r="D409" s="16"/>
      <c r="E409" s="18"/>
      <c r="F409" s="18"/>
      <c r="G409" s="18"/>
      <c r="H409" s="18"/>
      <c r="I409" s="18"/>
      <c r="J409" s="18"/>
    </row>
    <row r="410" spans="2:10" ht="12.75" customHeight="1" x14ac:dyDescent="0.2">
      <c r="B410" s="16"/>
      <c r="C410" s="17"/>
      <c r="D410" s="16"/>
      <c r="E410" s="18"/>
      <c r="F410" s="18"/>
      <c r="G410" s="18"/>
      <c r="H410" s="18"/>
      <c r="I410" s="18"/>
      <c r="J410" s="18"/>
    </row>
    <row r="411" spans="2:10" ht="12.75" customHeight="1" x14ac:dyDescent="0.2">
      <c r="B411" s="16"/>
      <c r="C411" s="17"/>
      <c r="D411" s="16"/>
      <c r="E411" s="18"/>
      <c r="F411" s="18"/>
      <c r="G411" s="18"/>
      <c r="H411" s="18"/>
      <c r="I411" s="18"/>
      <c r="J411" s="18"/>
    </row>
    <row r="412" spans="2:10" ht="12.75" customHeight="1" x14ac:dyDescent="0.2">
      <c r="B412" s="16"/>
      <c r="C412" s="17"/>
      <c r="D412" s="16"/>
      <c r="E412" s="18"/>
      <c r="F412" s="18"/>
      <c r="G412" s="18"/>
      <c r="H412" s="18"/>
      <c r="I412" s="18"/>
      <c r="J412" s="18"/>
    </row>
    <row r="413" spans="2:10" ht="12.75" customHeight="1" x14ac:dyDescent="0.2">
      <c r="B413" s="16"/>
      <c r="C413" s="17"/>
      <c r="D413" s="16"/>
      <c r="E413" s="18"/>
      <c r="F413" s="18"/>
      <c r="G413" s="18"/>
      <c r="H413" s="18"/>
      <c r="I413" s="18"/>
      <c r="J413" s="18"/>
    </row>
    <row r="414" spans="2:10" ht="12.75" customHeight="1" x14ac:dyDescent="0.2">
      <c r="B414" s="16"/>
      <c r="C414" s="17"/>
      <c r="D414" s="16"/>
      <c r="E414" s="18"/>
      <c r="F414" s="18"/>
      <c r="G414" s="18"/>
      <c r="H414" s="18"/>
      <c r="I414" s="18"/>
      <c r="J414" s="18"/>
    </row>
    <row r="415" spans="2:10" ht="12.75" customHeight="1" x14ac:dyDescent="0.2">
      <c r="B415" s="16"/>
      <c r="C415" s="17"/>
      <c r="D415" s="16"/>
      <c r="E415" s="18"/>
      <c r="F415" s="18"/>
      <c r="G415" s="18"/>
      <c r="H415" s="18"/>
      <c r="I415" s="18"/>
      <c r="J415" s="18"/>
    </row>
    <row r="416" spans="2:10" ht="12.75" customHeight="1" x14ac:dyDescent="0.2">
      <c r="B416" s="16"/>
      <c r="C416" s="17"/>
      <c r="D416" s="16"/>
      <c r="E416" s="18"/>
      <c r="F416" s="18"/>
      <c r="G416" s="18"/>
      <c r="H416" s="18"/>
      <c r="I416" s="18"/>
      <c r="J416" s="18"/>
    </row>
    <row r="417" spans="2:10" ht="12.75" customHeight="1" x14ac:dyDescent="0.2">
      <c r="B417" s="16"/>
      <c r="C417" s="17"/>
      <c r="D417" s="16"/>
      <c r="E417" s="18"/>
      <c r="F417" s="18"/>
      <c r="G417" s="18"/>
      <c r="H417" s="18"/>
      <c r="I417" s="18"/>
      <c r="J417" s="18"/>
    </row>
    <row r="418" spans="2:10" ht="12.75" customHeight="1" x14ac:dyDescent="0.2">
      <c r="B418" s="16"/>
      <c r="C418" s="17"/>
      <c r="D418" s="16"/>
      <c r="E418" s="18"/>
      <c r="F418" s="18"/>
      <c r="G418" s="18"/>
      <c r="H418" s="18"/>
      <c r="I418" s="18"/>
      <c r="J418" s="18"/>
    </row>
    <row r="419" spans="2:10" ht="12.75" customHeight="1" x14ac:dyDescent="0.2">
      <c r="B419" s="16"/>
      <c r="C419" s="17"/>
      <c r="D419" s="16"/>
      <c r="E419" s="18"/>
      <c r="F419" s="18"/>
      <c r="G419" s="18"/>
      <c r="H419" s="18"/>
      <c r="I419" s="18"/>
      <c r="J419" s="18"/>
    </row>
    <row r="420" spans="2:10" ht="12.75" customHeight="1" x14ac:dyDescent="0.2">
      <c r="B420" s="16"/>
      <c r="C420" s="17"/>
      <c r="D420" s="16"/>
      <c r="E420" s="18"/>
      <c r="F420" s="18"/>
      <c r="G420" s="18"/>
      <c r="H420" s="18"/>
      <c r="I420" s="18"/>
      <c r="J420" s="18"/>
    </row>
    <row r="421" spans="2:10" ht="12.75" customHeight="1" x14ac:dyDescent="0.2">
      <c r="B421" s="16"/>
      <c r="C421" s="17"/>
      <c r="D421" s="16"/>
      <c r="E421" s="18"/>
      <c r="F421" s="18"/>
      <c r="G421" s="18"/>
      <c r="H421" s="18"/>
      <c r="I421" s="18"/>
      <c r="J421" s="18"/>
    </row>
    <row r="422" spans="2:10" ht="12.75" customHeight="1" x14ac:dyDescent="0.2">
      <c r="B422" s="16"/>
      <c r="C422" s="17"/>
      <c r="D422" s="16"/>
      <c r="E422" s="18"/>
      <c r="F422" s="18"/>
      <c r="G422" s="18"/>
      <c r="H422" s="18"/>
      <c r="I422" s="18"/>
      <c r="J422" s="18"/>
    </row>
    <row r="423" spans="2:10" ht="12.75" customHeight="1" x14ac:dyDescent="0.2">
      <c r="B423" s="16"/>
      <c r="C423" s="17"/>
      <c r="D423" s="16"/>
      <c r="E423" s="18"/>
      <c r="F423" s="18"/>
      <c r="G423" s="18"/>
      <c r="H423" s="18"/>
      <c r="I423" s="18"/>
      <c r="J423" s="18"/>
    </row>
    <row r="424" spans="2:10" ht="12.75" customHeight="1" x14ac:dyDescent="0.2">
      <c r="B424" s="16"/>
      <c r="C424" s="17"/>
      <c r="D424" s="16"/>
      <c r="E424" s="18"/>
      <c r="F424" s="18"/>
      <c r="G424" s="18"/>
      <c r="H424" s="18"/>
      <c r="I424" s="18"/>
      <c r="J424" s="18"/>
    </row>
    <row r="425" spans="2:10" ht="12.75" customHeight="1" x14ac:dyDescent="0.2">
      <c r="B425" s="16"/>
      <c r="C425" s="17"/>
      <c r="D425" s="16"/>
      <c r="E425" s="18"/>
      <c r="F425" s="18"/>
      <c r="G425" s="18"/>
      <c r="H425" s="18"/>
      <c r="I425" s="18"/>
      <c r="J425" s="18"/>
    </row>
    <row r="426" spans="2:10" ht="12.75" customHeight="1" x14ac:dyDescent="0.2">
      <c r="B426" s="16"/>
      <c r="C426" s="17"/>
      <c r="D426" s="16"/>
      <c r="E426" s="18"/>
      <c r="F426" s="18"/>
      <c r="G426" s="18"/>
      <c r="H426" s="18"/>
      <c r="I426" s="18"/>
      <c r="J426" s="18"/>
    </row>
    <row r="427" spans="2:10" ht="12.75" customHeight="1" x14ac:dyDescent="0.2">
      <c r="B427" s="16"/>
      <c r="C427" s="17"/>
      <c r="D427" s="16"/>
      <c r="E427" s="18"/>
      <c r="F427" s="18"/>
      <c r="G427" s="18"/>
      <c r="H427" s="18"/>
      <c r="I427" s="18"/>
      <c r="J427" s="18"/>
    </row>
    <row r="428" spans="2:10" ht="12.75" customHeight="1" x14ac:dyDescent="0.2">
      <c r="B428" s="16"/>
      <c r="C428" s="17"/>
      <c r="D428" s="16"/>
      <c r="E428" s="18"/>
      <c r="F428" s="18"/>
      <c r="G428" s="18"/>
      <c r="H428" s="18"/>
      <c r="I428" s="18"/>
      <c r="J428" s="18"/>
    </row>
    <row r="429" spans="2:10" ht="12.75" customHeight="1" x14ac:dyDescent="0.2">
      <c r="B429" s="16"/>
      <c r="C429" s="17"/>
      <c r="D429" s="16"/>
      <c r="E429" s="18"/>
      <c r="F429" s="18"/>
      <c r="G429" s="18"/>
      <c r="H429" s="18"/>
      <c r="I429" s="18"/>
      <c r="J429" s="18"/>
    </row>
    <row r="430" spans="2:10" ht="12.75" customHeight="1" x14ac:dyDescent="0.2">
      <c r="B430" s="16"/>
      <c r="C430" s="17"/>
      <c r="D430" s="16"/>
      <c r="E430" s="18"/>
      <c r="F430" s="18"/>
      <c r="G430" s="18"/>
      <c r="H430" s="18"/>
      <c r="I430" s="18"/>
      <c r="J430" s="18"/>
    </row>
    <row r="431" spans="2:10" ht="12.75" customHeight="1" x14ac:dyDescent="0.2">
      <c r="B431" s="16"/>
      <c r="C431" s="17"/>
      <c r="D431" s="16"/>
      <c r="E431" s="18"/>
      <c r="F431" s="18"/>
      <c r="G431" s="18"/>
      <c r="H431" s="18"/>
      <c r="I431" s="18"/>
      <c r="J431" s="18"/>
    </row>
    <row r="432" spans="2:10" ht="12.75" customHeight="1" x14ac:dyDescent="0.2">
      <c r="B432" s="16"/>
      <c r="C432" s="17"/>
      <c r="D432" s="16"/>
      <c r="E432" s="18"/>
      <c r="F432" s="18"/>
      <c r="G432" s="18"/>
      <c r="H432" s="18"/>
      <c r="I432" s="18"/>
      <c r="J432" s="18"/>
    </row>
    <row r="433" spans="2:10" ht="12.75" customHeight="1" x14ac:dyDescent="0.2">
      <c r="B433" s="16"/>
      <c r="C433" s="17"/>
      <c r="D433" s="16"/>
      <c r="E433" s="18"/>
      <c r="F433" s="18"/>
      <c r="G433" s="18"/>
      <c r="H433" s="18"/>
      <c r="I433" s="18"/>
      <c r="J433" s="18"/>
    </row>
    <row r="434" spans="2:10" ht="12.75" customHeight="1" x14ac:dyDescent="0.2">
      <c r="B434" s="16"/>
      <c r="C434" s="17"/>
      <c r="D434" s="16"/>
      <c r="E434" s="18"/>
      <c r="F434" s="18"/>
      <c r="G434" s="18"/>
      <c r="H434" s="18"/>
      <c r="I434" s="18"/>
      <c r="J434" s="18"/>
    </row>
    <row r="435" spans="2:10" ht="12.75" customHeight="1" x14ac:dyDescent="0.2">
      <c r="B435" s="16"/>
      <c r="C435" s="17"/>
      <c r="D435" s="16"/>
      <c r="E435" s="18"/>
      <c r="F435" s="18"/>
      <c r="G435" s="18"/>
      <c r="H435" s="18"/>
      <c r="I435" s="18"/>
      <c r="J435" s="18"/>
    </row>
    <row r="436" spans="2:10" ht="12.75" customHeight="1" x14ac:dyDescent="0.2">
      <c r="B436" s="16"/>
      <c r="C436" s="17"/>
      <c r="D436" s="16"/>
      <c r="E436" s="18"/>
      <c r="F436" s="18"/>
      <c r="G436" s="18"/>
      <c r="H436" s="18"/>
      <c r="I436" s="18"/>
      <c r="J436" s="18"/>
    </row>
    <row r="437" spans="2:10" ht="12.75" customHeight="1" x14ac:dyDescent="0.2">
      <c r="B437" s="16"/>
      <c r="C437" s="17"/>
      <c r="D437" s="16"/>
      <c r="E437" s="18"/>
      <c r="F437" s="18"/>
      <c r="G437" s="18"/>
      <c r="H437" s="18"/>
      <c r="I437" s="18"/>
      <c r="J437" s="18"/>
    </row>
    <row r="438" spans="2:10" ht="12.75" customHeight="1" x14ac:dyDescent="0.2">
      <c r="B438" s="16"/>
      <c r="C438" s="17"/>
      <c r="D438" s="16"/>
      <c r="E438" s="18"/>
      <c r="F438" s="18"/>
      <c r="G438" s="18"/>
      <c r="H438" s="18"/>
      <c r="I438" s="18"/>
      <c r="J438" s="18"/>
    </row>
    <row r="439" spans="2:10" ht="12.75" customHeight="1" x14ac:dyDescent="0.2">
      <c r="B439" s="16"/>
      <c r="C439" s="17"/>
      <c r="D439" s="16"/>
      <c r="E439" s="18"/>
      <c r="F439" s="18"/>
      <c r="G439" s="18"/>
      <c r="H439" s="18"/>
      <c r="I439" s="18"/>
      <c r="J439" s="18"/>
    </row>
    <row r="440" spans="2:10" ht="12.75" customHeight="1" x14ac:dyDescent="0.2">
      <c r="B440" s="16"/>
      <c r="C440" s="17"/>
      <c r="D440" s="16"/>
      <c r="E440" s="18"/>
      <c r="F440" s="18"/>
      <c r="G440" s="18"/>
      <c r="H440" s="18"/>
      <c r="I440" s="18"/>
      <c r="J440" s="18"/>
    </row>
    <row r="441" spans="2:10" ht="12.75" customHeight="1" x14ac:dyDescent="0.2">
      <c r="B441" s="16"/>
      <c r="C441" s="17"/>
      <c r="D441" s="16"/>
      <c r="E441" s="18"/>
      <c r="F441" s="18"/>
      <c r="G441" s="18"/>
      <c r="H441" s="18"/>
      <c r="I441" s="18"/>
      <c r="J441" s="18"/>
    </row>
    <row r="442" spans="2:10" ht="12.75" customHeight="1" x14ac:dyDescent="0.2">
      <c r="B442" s="16"/>
      <c r="C442" s="17"/>
      <c r="D442" s="16"/>
      <c r="E442" s="18"/>
      <c r="F442" s="18"/>
      <c r="G442" s="18"/>
      <c r="H442" s="18"/>
      <c r="I442" s="18"/>
      <c r="J442" s="18"/>
    </row>
    <row r="443" spans="2:10" ht="12.75" customHeight="1" x14ac:dyDescent="0.2">
      <c r="B443" s="16"/>
      <c r="C443" s="17"/>
      <c r="D443" s="16"/>
      <c r="E443" s="18"/>
      <c r="F443" s="18"/>
      <c r="G443" s="18"/>
      <c r="H443" s="18"/>
      <c r="I443" s="18"/>
      <c r="J443" s="18"/>
    </row>
    <row r="444" spans="2:10" ht="12.75" customHeight="1" x14ac:dyDescent="0.2">
      <c r="B444" s="16"/>
      <c r="C444" s="17"/>
      <c r="D444" s="16"/>
      <c r="E444" s="18"/>
      <c r="F444" s="18"/>
      <c r="G444" s="18"/>
      <c r="H444" s="18"/>
      <c r="I444" s="18"/>
      <c r="J444" s="18"/>
    </row>
    <row r="445" spans="2:10" ht="12.75" customHeight="1" x14ac:dyDescent="0.2">
      <c r="B445" s="16"/>
      <c r="C445" s="17"/>
      <c r="D445" s="16"/>
      <c r="E445" s="18"/>
      <c r="F445" s="18"/>
      <c r="G445" s="18"/>
      <c r="H445" s="18"/>
      <c r="I445" s="18"/>
      <c r="J445" s="18"/>
    </row>
    <row r="446" spans="2:10" ht="12.75" customHeight="1" x14ac:dyDescent="0.2">
      <c r="B446" s="16"/>
      <c r="C446" s="17"/>
      <c r="D446" s="16"/>
      <c r="E446" s="18"/>
      <c r="F446" s="18"/>
      <c r="G446" s="18"/>
      <c r="H446" s="18"/>
      <c r="I446" s="18"/>
      <c r="J446" s="18"/>
    </row>
    <row r="447" spans="2:10" ht="12.75" customHeight="1" x14ac:dyDescent="0.2">
      <c r="B447" s="16"/>
      <c r="C447" s="17"/>
      <c r="D447" s="16"/>
      <c r="E447" s="18"/>
      <c r="F447" s="18"/>
      <c r="G447" s="18"/>
      <c r="H447" s="18"/>
      <c r="I447" s="18"/>
      <c r="J447" s="18"/>
    </row>
    <row r="448" spans="2:10" ht="12.75" customHeight="1" x14ac:dyDescent="0.2">
      <c r="B448" s="16"/>
      <c r="C448" s="17"/>
      <c r="D448" s="16"/>
      <c r="E448" s="18"/>
      <c r="F448" s="18"/>
      <c r="G448" s="18"/>
      <c r="H448" s="18"/>
      <c r="I448" s="18"/>
      <c r="J448" s="18"/>
    </row>
    <row r="449" spans="2:10" ht="12.75" customHeight="1" x14ac:dyDescent="0.2">
      <c r="B449" s="16"/>
      <c r="C449" s="17"/>
      <c r="D449" s="16"/>
      <c r="E449" s="18"/>
      <c r="F449" s="18"/>
      <c r="G449" s="18"/>
      <c r="H449" s="18"/>
      <c r="I449" s="18"/>
      <c r="J449" s="18"/>
    </row>
    <row r="450" spans="2:10" ht="12.75" customHeight="1" x14ac:dyDescent="0.2">
      <c r="B450" s="16"/>
      <c r="C450" s="17"/>
      <c r="D450" s="16"/>
      <c r="E450" s="18"/>
      <c r="F450" s="18"/>
      <c r="G450" s="18"/>
      <c r="H450" s="18"/>
      <c r="I450" s="18"/>
      <c r="J450" s="18"/>
    </row>
    <row r="451" spans="2:10" ht="12.75" customHeight="1" x14ac:dyDescent="0.2">
      <c r="B451" s="16"/>
      <c r="C451" s="17"/>
      <c r="D451" s="16"/>
      <c r="E451" s="18"/>
      <c r="F451" s="18"/>
      <c r="G451" s="18"/>
      <c r="H451" s="18"/>
      <c r="I451" s="18"/>
      <c r="J451" s="18"/>
    </row>
    <row r="452" spans="2:10" ht="12.75" customHeight="1" x14ac:dyDescent="0.2">
      <c r="B452" s="16"/>
      <c r="C452" s="17"/>
      <c r="D452" s="16"/>
      <c r="E452" s="18"/>
      <c r="F452" s="18"/>
      <c r="G452" s="18"/>
      <c r="H452" s="18"/>
      <c r="I452" s="18"/>
      <c r="J452" s="18"/>
    </row>
    <row r="453" spans="2:10" ht="12.75" customHeight="1" x14ac:dyDescent="0.2">
      <c r="B453" s="16"/>
      <c r="C453" s="17"/>
      <c r="D453" s="16"/>
      <c r="E453" s="18"/>
      <c r="F453" s="18"/>
      <c r="G453" s="18"/>
      <c r="H453" s="18"/>
      <c r="I453" s="18"/>
      <c r="J453" s="18"/>
    </row>
    <row r="454" spans="2:10" ht="12.75" customHeight="1" x14ac:dyDescent="0.2">
      <c r="B454" s="16"/>
      <c r="C454" s="17"/>
      <c r="D454" s="16"/>
      <c r="E454" s="18"/>
      <c r="F454" s="18"/>
      <c r="G454" s="18"/>
      <c r="H454" s="18"/>
      <c r="I454" s="18"/>
      <c r="J454" s="18"/>
    </row>
    <row r="455" spans="2:10" ht="12.75" customHeight="1" x14ac:dyDescent="0.2">
      <c r="B455" s="16"/>
      <c r="C455" s="17"/>
      <c r="D455" s="16"/>
      <c r="E455" s="18"/>
      <c r="F455" s="18"/>
      <c r="G455" s="18"/>
      <c r="H455" s="18"/>
      <c r="I455" s="18"/>
      <c r="J455" s="18"/>
    </row>
    <row r="456" spans="2:10" ht="12.75" customHeight="1" x14ac:dyDescent="0.2">
      <c r="B456" s="16"/>
      <c r="C456" s="17"/>
      <c r="D456" s="16"/>
      <c r="E456" s="18"/>
      <c r="F456" s="18"/>
      <c r="G456" s="18"/>
      <c r="H456" s="18"/>
      <c r="I456" s="18"/>
      <c r="J456" s="18"/>
    </row>
    <row r="457" spans="2:10" ht="12.75" customHeight="1" x14ac:dyDescent="0.2">
      <c r="B457" s="16"/>
      <c r="C457" s="17"/>
      <c r="D457" s="16"/>
      <c r="E457" s="18"/>
      <c r="F457" s="18"/>
      <c r="G457" s="18"/>
      <c r="H457" s="18"/>
      <c r="I457" s="18"/>
      <c r="J457" s="18"/>
    </row>
    <row r="458" spans="2:10" ht="12.75" customHeight="1" x14ac:dyDescent="0.2">
      <c r="B458" s="16"/>
      <c r="C458" s="17"/>
      <c r="D458" s="16"/>
      <c r="E458" s="18"/>
      <c r="F458" s="18"/>
      <c r="G458" s="18"/>
      <c r="H458" s="18"/>
      <c r="I458" s="18"/>
      <c r="J458" s="18"/>
    </row>
    <row r="459" spans="2:10" ht="12.75" customHeight="1" x14ac:dyDescent="0.2">
      <c r="B459" s="16"/>
      <c r="C459" s="17"/>
      <c r="D459" s="16"/>
      <c r="E459" s="18"/>
      <c r="F459" s="18"/>
      <c r="G459" s="18"/>
      <c r="H459" s="18"/>
      <c r="I459" s="18"/>
      <c r="J459" s="18"/>
    </row>
    <row r="460" spans="2:10" ht="12.75" customHeight="1" x14ac:dyDescent="0.2">
      <c r="B460" s="16"/>
      <c r="C460" s="17"/>
      <c r="D460" s="16"/>
      <c r="E460" s="18"/>
      <c r="F460" s="18"/>
      <c r="G460" s="18"/>
      <c r="H460" s="18"/>
      <c r="I460" s="18"/>
      <c r="J460" s="18"/>
    </row>
    <row r="461" spans="2:10" ht="12.75" customHeight="1" x14ac:dyDescent="0.2">
      <c r="B461" s="16"/>
      <c r="C461" s="17"/>
      <c r="D461" s="16"/>
      <c r="E461" s="18"/>
      <c r="F461" s="18"/>
      <c r="G461" s="18"/>
      <c r="H461" s="18"/>
      <c r="I461" s="18"/>
      <c r="J461" s="18"/>
    </row>
    <row r="462" spans="2:10" ht="12.75" customHeight="1" x14ac:dyDescent="0.2">
      <c r="B462" s="16"/>
      <c r="C462" s="17"/>
      <c r="D462" s="16"/>
      <c r="E462" s="18"/>
      <c r="F462" s="18"/>
      <c r="G462" s="18"/>
      <c r="H462" s="18"/>
      <c r="I462" s="18"/>
      <c r="J462" s="18"/>
    </row>
    <row r="463" spans="2:10" ht="12.75" customHeight="1" x14ac:dyDescent="0.2">
      <c r="B463" s="16"/>
      <c r="C463" s="17"/>
      <c r="D463" s="16"/>
      <c r="E463" s="18"/>
      <c r="F463" s="18"/>
      <c r="G463" s="18"/>
      <c r="H463" s="18"/>
      <c r="I463" s="18"/>
      <c r="J463" s="18"/>
    </row>
    <row r="464" spans="2:10" ht="12.75" customHeight="1" x14ac:dyDescent="0.2">
      <c r="B464" s="16"/>
      <c r="C464" s="17"/>
      <c r="D464" s="16"/>
      <c r="E464" s="18"/>
      <c r="F464" s="18"/>
      <c r="G464" s="18"/>
      <c r="H464" s="18"/>
      <c r="I464" s="18"/>
      <c r="J464" s="18"/>
    </row>
    <row r="465" spans="2:10" ht="12.75" customHeight="1" x14ac:dyDescent="0.2">
      <c r="B465" s="16"/>
      <c r="C465" s="17"/>
      <c r="D465" s="16"/>
      <c r="E465" s="18"/>
      <c r="F465" s="18"/>
      <c r="G465" s="18"/>
      <c r="H465" s="18"/>
      <c r="I465" s="18"/>
      <c r="J465" s="18"/>
    </row>
    <row r="466" spans="2:10" ht="12.75" customHeight="1" x14ac:dyDescent="0.2">
      <c r="B466" s="16"/>
      <c r="C466" s="17"/>
      <c r="D466" s="16"/>
      <c r="E466" s="18"/>
      <c r="F466" s="18"/>
      <c r="G466" s="18"/>
      <c r="H466" s="18"/>
      <c r="I466" s="18"/>
      <c r="J466" s="18"/>
    </row>
    <row r="467" spans="2:10" ht="12.75" customHeight="1" x14ac:dyDescent="0.2">
      <c r="B467" s="16"/>
      <c r="C467" s="17"/>
      <c r="D467" s="16"/>
      <c r="E467" s="18"/>
      <c r="F467" s="18"/>
      <c r="G467" s="18"/>
      <c r="H467" s="18"/>
      <c r="I467" s="18"/>
      <c r="J467" s="18"/>
    </row>
    <row r="468" spans="2:10" ht="12.75" customHeight="1" x14ac:dyDescent="0.2">
      <c r="B468" s="16"/>
      <c r="C468" s="17"/>
      <c r="D468" s="16"/>
      <c r="E468" s="18"/>
      <c r="F468" s="18"/>
      <c r="G468" s="18"/>
      <c r="H468" s="18"/>
      <c r="I468" s="18"/>
      <c r="J468" s="18"/>
    </row>
    <row r="469" spans="2:10" ht="12.75" customHeight="1" x14ac:dyDescent="0.2">
      <c r="B469" s="16"/>
      <c r="C469" s="17"/>
      <c r="D469" s="16"/>
      <c r="E469" s="18"/>
      <c r="F469" s="18"/>
      <c r="G469" s="18"/>
      <c r="H469" s="18"/>
      <c r="I469" s="18"/>
      <c r="J469" s="18"/>
    </row>
    <row r="470" spans="2:10" ht="12.75" customHeight="1" x14ac:dyDescent="0.2">
      <c r="B470" s="16"/>
      <c r="C470" s="17"/>
      <c r="D470" s="16"/>
      <c r="E470" s="18"/>
      <c r="F470" s="18"/>
      <c r="G470" s="18"/>
      <c r="H470" s="18"/>
      <c r="I470" s="18"/>
      <c r="J470" s="18"/>
    </row>
    <row r="471" spans="2:10" ht="12.75" customHeight="1" x14ac:dyDescent="0.2">
      <c r="B471" s="16"/>
      <c r="C471" s="17"/>
      <c r="D471" s="16"/>
      <c r="E471" s="18"/>
      <c r="F471" s="18"/>
      <c r="G471" s="18"/>
      <c r="H471" s="18"/>
      <c r="I471" s="18"/>
      <c r="J471" s="18"/>
    </row>
    <row r="472" spans="2:10" ht="12.75" customHeight="1" x14ac:dyDescent="0.2">
      <c r="B472" s="16"/>
      <c r="C472" s="17"/>
      <c r="D472" s="16"/>
      <c r="E472" s="18"/>
      <c r="F472" s="18"/>
      <c r="G472" s="18"/>
      <c r="H472" s="18"/>
      <c r="I472" s="18"/>
      <c r="J472" s="18"/>
    </row>
    <row r="473" spans="2:10" ht="12.75" customHeight="1" x14ac:dyDescent="0.2">
      <c r="B473" s="16"/>
      <c r="C473" s="17"/>
      <c r="D473" s="16"/>
      <c r="E473" s="18"/>
      <c r="F473" s="18"/>
      <c r="G473" s="18"/>
      <c r="H473" s="18"/>
      <c r="I473" s="18"/>
      <c r="J473" s="18"/>
    </row>
    <row r="474" spans="2:10" ht="12.75" customHeight="1" x14ac:dyDescent="0.2">
      <c r="B474" s="16"/>
      <c r="C474" s="17"/>
      <c r="D474" s="16"/>
      <c r="E474" s="18"/>
      <c r="F474" s="18"/>
      <c r="G474" s="18"/>
      <c r="H474" s="18"/>
      <c r="I474" s="18"/>
      <c r="J474" s="18"/>
    </row>
    <row r="475" spans="2:10" ht="12.75" customHeight="1" x14ac:dyDescent="0.2">
      <c r="B475" s="16"/>
      <c r="C475" s="17"/>
      <c r="D475" s="16"/>
      <c r="E475" s="18"/>
      <c r="F475" s="18"/>
      <c r="G475" s="18"/>
      <c r="H475" s="18"/>
      <c r="I475" s="18"/>
      <c r="J475" s="18"/>
    </row>
    <row r="476" spans="2:10" ht="12.75" customHeight="1" x14ac:dyDescent="0.2">
      <c r="B476" s="16"/>
      <c r="C476" s="17"/>
      <c r="D476" s="16"/>
      <c r="E476" s="18"/>
      <c r="F476" s="18"/>
      <c r="G476" s="18"/>
      <c r="H476" s="18"/>
      <c r="I476" s="18"/>
      <c r="J476" s="18"/>
    </row>
    <row r="477" spans="2:10" ht="12.75" customHeight="1" x14ac:dyDescent="0.2">
      <c r="B477" s="16"/>
      <c r="C477" s="17"/>
      <c r="D477" s="16"/>
      <c r="E477" s="18"/>
      <c r="F477" s="18"/>
      <c r="G477" s="18"/>
      <c r="H477" s="18"/>
      <c r="I477" s="18"/>
      <c r="J477" s="18"/>
    </row>
    <row r="478" spans="2:10" ht="12.75" customHeight="1" x14ac:dyDescent="0.2">
      <c r="B478" s="16"/>
      <c r="C478" s="17"/>
      <c r="D478" s="16"/>
      <c r="E478" s="18"/>
      <c r="F478" s="18"/>
      <c r="G478" s="18"/>
      <c r="H478" s="18"/>
      <c r="I478" s="18"/>
      <c r="J478" s="18"/>
    </row>
    <row r="479" spans="2:10" ht="12.75" customHeight="1" x14ac:dyDescent="0.2">
      <c r="B479" s="16"/>
      <c r="C479" s="17"/>
      <c r="D479" s="16"/>
      <c r="E479" s="18"/>
      <c r="F479" s="18"/>
      <c r="G479" s="18"/>
      <c r="H479" s="18"/>
      <c r="I479" s="18"/>
      <c r="J479" s="18"/>
    </row>
    <row r="480" spans="2:10" ht="12.75" customHeight="1" x14ac:dyDescent="0.2">
      <c r="B480" s="16"/>
      <c r="C480" s="17"/>
      <c r="D480" s="16"/>
      <c r="E480" s="18"/>
      <c r="F480" s="18"/>
      <c r="G480" s="18"/>
      <c r="H480" s="18"/>
      <c r="I480" s="18"/>
      <c r="J480" s="18"/>
    </row>
    <row r="481" spans="2:10" ht="12.75" customHeight="1" x14ac:dyDescent="0.2">
      <c r="B481" s="16"/>
      <c r="C481" s="17"/>
      <c r="D481" s="16"/>
      <c r="E481" s="18"/>
      <c r="F481" s="18"/>
      <c r="G481" s="18"/>
      <c r="H481" s="18"/>
      <c r="I481" s="18"/>
      <c r="J481" s="18"/>
    </row>
    <row r="482" spans="2:10" ht="12.75" customHeight="1" x14ac:dyDescent="0.2">
      <c r="B482" s="16"/>
      <c r="C482" s="17"/>
      <c r="D482" s="16"/>
      <c r="E482" s="18"/>
      <c r="F482" s="18"/>
      <c r="G482" s="18"/>
      <c r="H482" s="18"/>
      <c r="I482" s="18"/>
      <c r="J482" s="18"/>
    </row>
    <row r="483" spans="2:10" ht="12.75" customHeight="1" x14ac:dyDescent="0.2">
      <c r="B483" s="16"/>
      <c r="C483" s="17"/>
      <c r="D483" s="16"/>
      <c r="E483" s="18"/>
      <c r="F483" s="18"/>
      <c r="G483" s="18"/>
      <c r="H483" s="18"/>
      <c r="I483" s="18"/>
      <c r="J483" s="18"/>
    </row>
    <row r="484" spans="2:10" ht="12.75" customHeight="1" x14ac:dyDescent="0.2">
      <c r="B484" s="16"/>
      <c r="C484" s="17"/>
      <c r="D484" s="16"/>
      <c r="E484" s="18"/>
      <c r="F484" s="18"/>
      <c r="G484" s="18"/>
      <c r="H484" s="18"/>
      <c r="I484" s="18"/>
      <c r="J484" s="18"/>
    </row>
    <row r="485" spans="2:10" ht="12.75" customHeight="1" x14ac:dyDescent="0.2">
      <c r="B485" s="16"/>
      <c r="C485" s="17"/>
      <c r="D485" s="16"/>
      <c r="E485" s="18"/>
      <c r="F485" s="18"/>
      <c r="G485" s="18"/>
      <c r="H485" s="18"/>
      <c r="I485" s="18"/>
      <c r="J485" s="18"/>
    </row>
    <row r="486" spans="2:10" ht="12.75" customHeight="1" x14ac:dyDescent="0.2">
      <c r="B486" s="16"/>
      <c r="C486" s="17"/>
      <c r="D486" s="16"/>
      <c r="E486" s="18"/>
      <c r="F486" s="18"/>
      <c r="G486" s="18"/>
      <c r="H486" s="18"/>
      <c r="I486" s="18"/>
      <c r="J486" s="18"/>
    </row>
    <row r="487" spans="2:10" ht="12.75" customHeight="1" x14ac:dyDescent="0.2">
      <c r="B487" s="16"/>
      <c r="C487" s="17"/>
      <c r="D487" s="16"/>
      <c r="E487" s="18"/>
      <c r="F487" s="18"/>
      <c r="G487" s="18"/>
      <c r="H487" s="18"/>
      <c r="I487" s="18"/>
      <c r="J487" s="18"/>
    </row>
    <row r="488" spans="2:10" ht="12.75" customHeight="1" x14ac:dyDescent="0.2">
      <c r="B488" s="16"/>
      <c r="C488" s="17"/>
      <c r="D488" s="16"/>
      <c r="E488" s="18"/>
      <c r="F488" s="18"/>
      <c r="G488" s="18"/>
      <c r="H488" s="18"/>
      <c r="I488" s="18"/>
      <c r="J488" s="18"/>
    </row>
    <row r="489" spans="2:10" ht="12.75" customHeight="1" x14ac:dyDescent="0.2">
      <c r="B489" s="16"/>
      <c r="C489" s="17"/>
      <c r="D489" s="16"/>
      <c r="E489" s="18"/>
      <c r="F489" s="18"/>
      <c r="G489" s="18"/>
      <c r="H489" s="18"/>
      <c r="I489" s="18"/>
      <c r="J489" s="18"/>
    </row>
    <row r="490" spans="2:10" ht="12.75" customHeight="1" x14ac:dyDescent="0.2">
      <c r="B490" s="16"/>
      <c r="C490" s="17"/>
      <c r="D490" s="16"/>
      <c r="E490" s="18"/>
      <c r="F490" s="18"/>
      <c r="G490" s="18"/>
      <c r="H490" s="18"/>
      <c r="I490" s="18"/>
      <c r="J490" s="18"/>
    </row>
    <row r="491" spans="2:10" ht="12.75" customHeight="1" x14ac:dyDescent="0.2">
      <c r="B491" s="16"/>
      <c r="C491" s="17"/>
      <c r="D491" s="16"/>
      <c r="E491" s="18"/>
      <c r="F491" s="18"/>
      <c r="G491" s="18"/>
      <c r="H491" s="18"/>
      <c r="I491" s="18"/>
      <c r="J491" s="18"/>
    </row>
    <row r="492" spans="2:10" ht="12.75" customHeight="1" x14ac:dyDescent="0.2">
      <c r="B492" s="16"/>
      <c r="C492" s="17"/>
      <c r="D492" s="16"/>
      <c r="E492" s="18"/>
      <c r="F492" s="18"/>
      <c r="G492" s="18"/>
      <c r="H492" s="18"/>
      <c r="I492" s="18"/>
      <c r="J492" s="18"/>
    </row>
    <row r="493" spans="2:10" ht="12.75" customHeight="1" x14ac:dyDescent="0.2">
      <c r="B493" s="16"/>
      <c r="C493" s="17"/>
      <c r="D493" s="16"/>
      <c r="E493" s="18"/>
      <c r="F493" s="18"/>
      <c r="G493" s="18"/>
      <c r="H493" s="18"/>
      <c r="I493" s="18"/>
      <c r="J493" s="18"/>
    </row>
    <row r="494" spans="2:10" ht="12.75" customHeight="1" x14ac:dyDescent="0.2">
      <c r="B494" s="16"/>
      <c r="C494" s="17"/>
      <c r="D494" s="16"/>
      <c r="E494" s="18"/>
      <c r="F494" s="18"/>
      <c r="G494" s="18"/>
      <c r="H494" s="18"/>
      <c r="I494" s="18"/>
      <c r="J494" s="18"/>
    </row>
    <row r="495" spans="2:10" ht="12.75" customHeight="1" x14ac:dyDescent="0.2">
      <c r="B495" s="16"/>
      <c r="C495" s="17"/>
      <c r="D495" s="16"/>
      <c r="E495" s="18"/>
      <c r="F495" s="18"/>
      <c r="G495" s="18"/>
      <c r="H495" s="18"/>
      <c r="I495" s="18"/>
      <c r="J495" s="18"/>
    </row>
    <row r="496" spans="2:10" ht="12.75" customHeight="1" x14ac:dyDescent="0.2">
      <c r="B496" s="16"/>
      <c r="C496" s="17"/>
      <c r="D496" s="16"/>
      <c r="E496" s="18"/>
      <c r="F496" s="18"/>
      <c r="G496" s="18"/>
      <c r="H496" s="18"/>
      <c r="I496" s="18"/>
      <c r="J496" s="18"/>
    </row>
    <row r="497" spans="2:10" ht="12.75" customHeight="1" x14ac:dyDescent="0.2">
      <c r="B497" s="16"/>
      <c r="C497" s="17"/>
      <c r="D497" s="16"/>
      <c r="E497" s="18"/>
      <c r="F497" s="18"/>
      <c r="G497" s="18"/>
      <c r="H497" s="18"/>
      <c r="I497" s="18"/>
      <c r="J497" s="18"/>
    </row>
    <row r="498" spans="2:10" ht="12.75" customHeight="1" x14ac:dyDescent="0.2">
      <c r="B498" s="16"/>
      <c r="C498" s="17"/>
      <c r="D498" s="16"/>
      <c r="E498" s="18"/>
      <c r="F498" s="18"/>
      <c r="G498" s="18"/>
      <c r="H498" s="18"/>
      <c r="I498" s="18"/>
      <c r="J498" s="18"/>
    </row>
    <row r="499" spans="2:10" ht="12.75" customHeight="1" x14ac:dyDescent="0.2">
      <c r="B499" s="16"/>
      <c r="C499" s="17"/>
      <c r="D499" s="16"/>
      <c r="E499" s="18"/>
      <c r="F499" s="18"/>
      <c r="G499" s="18"/>
      <c r="H499" s="18"/>
      <c r="I499" s="18"/>
      <c r="J499" s="18"/>
    </row>
    <row r="500" spans="2:10" ht="12.75" customHeight="1" x14ac:dyDescent="0.2">
      <c r="B500" s="16"/>
      <c r="C500" s="17"/>
      <c r="D500" s="16"/>
      <c r="E500" s="18"/>
      <c r="F500" s="18"/>
      <c r="G500" s="18"/>
      <c r="H500" s="18"/>
      <c r="I500" s="18"/>
      <c r="J500" s="18"/>
    </row>
    <row r="501" spans="2:10" ht="12.75" customHeight="1" x14ac:dyDescent="0.2">
      <c r="B501" s="16"/>
      <c r="C501" s="17"/>
      <c r="D501" s="16"/>
      <c r="E501" s="18"/>
      <c r="F501" s="18"/>
      <c r="G501" s="18"/>
      <c r="H501" s="18"/>
      <c r="I501" s="18"/>
      <c r="J501" s="18"/>
    </row>
    <row r="502" spans="2:10" ht="12.75" customHeight="1" x14ac:dyDescent="0.2">
      <c r="B502" s="16"/>
      <c r="C502" s="17"/>
      <c r="D502" s="16"/>
      <c r="E502" s="18"/>
      <c r="F502" s="18"/>
      <c r="G502" s="18"/>
      <c r="H502" s="18"/>
      <c r="I502" s="18"/>
      <c r="J502" s="18"/>
    </row>
    <row r="503" spans="2:10" ht="12.75" customHeight="1" x14ac:dyDescent="0.2">
      <c r="B503" s="16"/>
      <c r="C503" s="17"/>
      <c r="D503" s="16"/>
      <c r="E503" s="18"/>
      <c r="F503" s="18"/>
      <c r="G503" s="18"/>
      <c r="H503" s="18"/>
      <c r="I503" s="18"/>
      <c r="J503" s="18"/>
    </row>
    <row r="504" spans="2:10" ht="12.75" customHeight="1" x14ac:dyDescent="0.2">
      <c r="B504" s="16"/>
      <c r="C504" s="17"/>
      <c r="D504" s="16"/>
      <c r="E504" s="18"/>
      <c r="F504" s="18"/>
      <c r="G504" s="18"/>
      <c r="H504" s="18"/>
      <c r="I504" s="18"/>
      <c r="J504" s="18"/>
    </row>
    <row r="505" spans="2:10" ht="12.75" customHeight="1" x14ac:dyDescent="0.2">
      <c r="B505" s="16"/>
      <c r="C505" s="17"/>
      <c r="D505" s="16"/>
      <c r="E505" s="18"/>
      <c r="F505" s="18"/>
      <c r="G505" s="18"/>
      <c r="H505" s="18"/>
      <c r="I505" s="18"/>
      <c r="J505" s="18"/>
    </row>
    <row r="506" spans="2:10" ht="12.75" customHeight="1" x14ac:dyDescent="0.2">
      <c r="B506" s="16"/>
      <c r="C506" s="17"/>
      <c r="D506" s="16"/>
      <c r="E506" s="18"/>
      <c r="F506" s="18"/>
      <c r="G506" s="18"/>
      <c r="H506" s="18"/>
      <c r="I506" s="18"/>
      <c r="J506" s="18"/>
    </row>
    <row r="507" spans="2:10" ht="12.75" customHeight="1" x14ac:dyDescent="0.2">
      <c r="B507" s="16"/>
      <c r="C507" s="17"/>
      <c r="D507" s="16"/>
      <c r="E507" s="18"/>
      <c r="F507" s="18"/>
      <c r="G507" s="18"/>
      <c r="H507" s="18"/>
      <c r="I507" s="18"/>
      <c r="J507" s="18"/>
    </row>
    <row r="508" spans="2:10" ht="12.75" customHeight="1" x14ac:dyDescent="0.2">
      <c r="B508" s="16"/>
      <c r="C508" s="17"/>
      <c r="D508" s="16"/>
      <c r="E508" s="18"/>
      <c r="F508" s="18"/>
      <c r="G508" s="18"/>
      <c r="H508" s="18"/>
      <c r="I508" s="18"/>
      <c r="J508" s="18"/>
    </row>
    <row r="509" spans="2:10" ht="12.75" customHeight="1" x14ac:dyDescent="0.2">
      <c r="B509" s="16"/>
      <c r="C509" s="17"/>
      <c r="D509" s="16"/>
      <c r="E509" s="18"/>
      <c r="F509" s="18"/>
      <c r="G509" s="18"/>
      <c r="H509" s="18"/>
      <c r="I509" s="18"/>
      <c r="J509" s="18"/>
    </row>
    <row r="510" spans="2:10" ht="12.75" customHeight="1" x14ac:dyDescent="0.2">
      <c r="B510" s="16"/>
      <c r="C510" s="17"/>
      <c r="D510" s="16"/>
      <c r="E510" s="18"/>
      <c r="F510" s="18"/>
      <c r="G510" s="18"/>
      <c r="H510" s="18"/>
      <c r="I510" s="18"/>
      <c r="J510" s="18"/>
    </row>
    <row r="511" spans="2:10" ht="12.75" customHeight="1" x14ac:dyDescent="0.2">
      <c r="B511" s="16"/>
      <c r="C511" s="17"/>
      <c r="D511" s="16"/>
      <c r="E511" s="18"/>
      <c r="F511" s="18"/>
      <c r="G511" s="18"/>
      <c r="H511" s="18"/>
      <c r="I511" s="18"/>
      <c r="J511" s="18"/>
    </row>
    <row r="512" spans="2:10" ht="12.75" customHeight="1" x14ac:dyDescent="0.2">
      <c r="B512" s="16"/>
      <c r="C512" s="17"/>
      <c r="D512" s="16"/>
      <c r="E512" s="18"/>
      <c r="F512" s="18"/>
      <c r="G512" s="18"/>
      <c r="H512" s="18"/>
      <c r="I512" s="18"/>
      <c r="J512" s="18"/>
    </row>
    <row r="513" spans="2:10" ht="12.75" customHeight="1" x14ac:dyDescent="0.2">
      <c r="B513" s="16"/>
      <c r="C513" s="17"/>
      <c r="D513" s="16"/>
      <c r="E513" s="18"/>
      <c r="F513" s="18"/>
      <c r="G513" s="18"/>
      <c r="H513" s="18"/>
      <c r="I513" s="18"/>
      <c r="J513" s="18"/>
    </row>
    <row r="514" spans="2:10" ht="12.75" customHeight="1" x14ac:dyDescent="0.2">
      <c r="B514" s="16"/>
      <c r="C514" s="17"/>
      <c r="D514" s="16"/>
      <c r="E514" s="18"/>
      <c r="F514" s="18"/>
      <c r="G514" s="18"/>
      <c r="H514" s="18"/>
      <c r="I514" s="18"/>
      <c r="J514" s="18"/>
    </row>
    <row r="515" spans="2:10" ht="12.75" customHeight="1" x14ac:dyDescent="0.2">
      <c r="B515" s="16"/>
      <c r="C515" s="17"/>
      <c r="D515" s="16"/>
      <c r="E515" s="18"/>
      <c r="F515" s="18"/>
      <c r="G515" s="18"/>
      <c r="H515" s="18"/>
      <c r="I515" s="18"/>
      <c r="J515" s="18"/>
    </row>
    <row r="516" spans="2:10" ht="12.75" customHeight="1" x14ac:dyDescent="0.2">
      <c r="B516" s="16"/>
      <c r="C516" s="17"/>
      <c r="D516" s="16"/>
      <c r="E516" s="18"/>
      <c r="F516" s="18"/>
      <c r="G516" s="18"/>
      <c r="H516" s="18"/>
      <c r="I516" s="18"/>
      <c r="J516" s="18"/>
    </row>
    <row r="517" spans="2:10" ht="12.75" customHeight="1" x14ac:dyDescent="0.2">
      <c r="B517" s="16"/>
      <c r="C517" s="17"/>
      <c r="D517" s="16"/>
      <c r="E517" s="18"/>
      <c r="F517" s="18"/>
      <c r="G517" s="18"/>
      <c r="H517" s="18"/>
      <c r="I517" s="18"/>
      <c r="J517" s="18"/>
    </row>
    <row r="518" spans="2:10" ht="12.75" customHeight="1" x14ac:dyDescent="0.2">
      <c r="B518" s="16"/>
      <c r="C518" s="17"/>
      <c r="D518" s="16"/>
      <c r="E518" s="18"/>
      <c r="F518" s="18"/>
      <c r="G518" s="18"/>
      <c r="H518" s="18"/>
      <c r="I518" s="18"/>
      <c r="J518" s="18"/>
    </row>
    <row r="519" spans="2:10" ht="12.75" customHeight="1" x14ac:dyDescent="0.2">
      <c r="B519" s="16"/>
      <c r="C519" s="17"/>
      <c r="D519" s="16"/>
      <c r="E519" s="18"/>
      <c r="F519" s="18"/>
      <c r="G519" s="18"/>
      <c r="H519" s="18"/>
      <c r="I519" s="18"/>
      <c r="J519" s="18"/>
    </row>
    <row r="520" spans="2:10" ht="12.75" customHeight="1" x14ac:dyDescent="0.2">
      <c r="B520" s="16"/>
      <c r="C520" s="17"/>
      <c r="D520" s="16"/>
      <c r="E520" s="18"/>
      <c r="F520" s="18"/>
      <c r="G520" s="18"/>
      <c r="H520" s="18"/>
      <c r="I520" s="18"/>
      <c r="J520" s="18"/>
    </row>
    <row r="521" spans="2:10" ht="12.75" customHeight="1" x14ac:dyDescent="0.2">
      <c r="B521" s="16"/>
      <c r="C521" s="17"/>
      <c r="D521" s="16"/>
      <c r="E521" s="18"/>
      <c r="F521" s="18"/>
      <c r="G521" s="18"/>
      <c r="H521" s="18"/>
      <c r="I521" s="18"/>
      <c r="J521" s="18"/>
    </row>
    <row r="522" spans="2:10" ht="12.75" customHeight="1" x14ac:dyDescent="0.2">
      <c r="B522" s="16"/>
      <c r="C522" s="17"/>
      <c r="D522" s="16"/>
      <c r="E522" s="18"/>
      <c r="F522" s="18"/>
      <c r="G522" s="18"/>
      <c r="H522" s="18"/>
      <c r="I522" s="18"/>
      <c r="J522" s="18"/>
    </row>
    <row r="523" spans="2:10" ht="12.75" customHeight="1" x14ac:dyDescent="0.2">
      <c r="B523" s="16"/>
      <c r="C523" s="17"/>
      <c r="D523" s="16"/>
      <c r="E523" s="18"/>
      <c r="F523" s="18"/>
      <c r="G523" s="18"/>
      <c r="H523" s="18"/>
      <c r="I523" s="18"/>
      <c r="J523" s="18"/>
    </row>
    <row r="524" spans="2:10" ht="12.75" customHeight="1" x14ac:dyDescent="0.2">
      <c r="B524" s="16"/>
      <c r="C524" s="17"/>
      <c r="D524" s="16"/>
      <c r="E524" s="18"/>
      <c r="F524" s="18"/>
      <c r="G524" s="18"/>
      <c r="H524" s="18"/>
      <c r="I524" s="18"/>
      <c r="J524" s="18"/>
    </row>
    <row r="525" spans="2:10" ht="12.75" customHeight="1" x14ac:dyDescent="0.2">
      <c r="B525" s="16"/>
      <c r="C525" s="17"/>
      <c r="D525" s="16"/>
      <c r="E525" s="18"/>
      <c r="F525" s="18"/>
      <c r="G525" s="18"/>
      <c r="H525" s="18"/>
      <c r="I525" s="18"/>
      <c r="J525" s="18"/>
    </row>
    <row r="526" spans="2:10" ht="12.75" customHeight="1" x14ac:dyDescent="0.2">
      <c r="B526" s="16"/>
      <c r="C526" s="17"/>
      <c r="D526" s="16"/>
      <c r="E526" s="18"/>
      <c r="F526" s="18"/>
      <c r="G526" s="18"/>
      <c r="H526" s="18"/>
      <c r="I526" s="18"/>
      <c r="J526" s="18"/>
    </row>
    <row r="527" spans="2:10" ht="12.75" customHeight="1" x14ac:dyDescent="0.2">
      <c r="B527" s="16"/>
      <c r="C527" s="17"/>
      <c r="D527" s="16"/>
      <c r="E527" s="18"/>
      <c r="F527" s="18"/>
      <c r="G527" s="18"/>
      <c r="H527" s="18"/>
      <c r="I527" s="18"/>
      <c r="J527" s="18"/>
    </row>
    <row r="528" spans="2:10" ht="12.75" customHeight="1" x14ac:dyDescent="0.2">
      <c r="B528" s="16"/>
      <c r="C528" s="17"/>
      <c r="D528" s="16"/>
      <c r="E528" s="18"/>
      <c r="F528" s="18"/>
      <c r="G528" s="18"/>
      <c r="H528" s="18"/>
      <c r="I528" s="18"/>
      <c r="J528" s="18"/>
    </row>
    <row r="529" spans="2:10" ht="12.75" customHeight="1" x14ac:dyDescent="0.2">
      <c r="B529" s="16"/>
      <c r="C529" s="17"/>
      <c r="D529" s="16"/>
      <c r="E529" s="18"/>
      <c r="F529" s="18"/>
      <c r="G529" s="18"/>
      <c r="H529" s="18"/>
      <c r="I529" s="18"/>
      <c r="J529" s="18"/>
    </row>
    <row r="530" spans="2:10" ht="12.75" customHeight="1" x14ac:dyDescent="0.2">
      <c r="B530" s="16"/>
      <c r="C530" s="17"/>
      <c r="D530" s="16"/>
      <c r="E530" s="18"/>
      <c r="F530" s="18"/>
      <c r="G530" s="18"/>
      <c r="H530" s="18"/>
      <c r="I530" s="18"/>
      <c r="J530" s="18"/>
    </row>
    <row r="531" spans="2:10" ht="12.75" customHeight="1" x14ac:dyDescent="0.2">
      <c r="B531" s="16"/>
      <c r="C531" s="17"/>
      <c r="D531" s="16"/>
      <c r="E531" s="18"/>
      <c r="F531" s="18"/>
      <c r="G531" s="18"/>
      <c r="H531" s="18"/>
      <c r="I531" s="18"/>
      <c r="J531" s="18"/>
    </row>
    <row r="532" spans="2:10" ht="12.75" customHeight="1" x14ac:dyDescent="0.2">
      <c r="B532" s="16"/>
      <c r="C532" s="17"/>
      <c r="D532" s="16"/>
      <c r="E532" s="18"/>
      <c r="F532" s="18"/>
      <c r="G532" s="18"/>
      <c r="H532" s="18"/>
      <c r="I532" s="18"/>
      <c r="J532" s="18"/>
    </row>
    <row r="533" spans="2:10" ht="12.75" customHeight="1" x14ac:dyDescent="0.2">
      <c r="B533" s="16"/>
      <c r="C533" s="17"/>
      <c r="D533" s="16"/>
      <c r="E533" s="18"/>
      <c r="F533" s="18"/>
      <c r="G533" s="18"/>
      <c r="H533" s="18"/>
      <c r="I533" s="18"/>
      <c r="J533" s="18"/>
    </row>
    <row r="534" spans="2:10" ht="12.75" customHeight="1" x14ac:dyDescent="0.2">
      <c r="B534" s="16"/>
      <c r="C534" s="17"/>
      <c r="D534" s="16"/>
      <c r="E534" s="18"/>
      <c r="F534" s="18"/>
      <c r="G534" s="18"/>
      <c r="H534" s="18"/>
      <c r="I534" s="18"/>
      <c r="J534" s="18"/>
    </row>
    <row r="535" spans="2:10" ht="12.75" customHeight="1" x14ac:dyDescent="0.2">
      <c r="B535" s="16"/>
      <c r="C535" s="17"/>
      <c r="D535" s="16"/>
      <c r="E535" s="18"/>
      <c r="F535" s="18"/>
      <c r="G535" s="18"/>
      <c r="H535" s="18"/>
      <c r="I535" s="18"/>
      <c r="J535" s="18"/>
    </row>
    <row r="536" spans="2:10" ht="12.75" customHeight="1" x14ac:dyDescent="0.2">
      <c r="B536" s="16"/>
      <c r="C536" s="17"/>
      <c r="D536" s="16"/>
      <c r="E536" s="18"/>
      <c r="F536" s="18"/>
      <c r="G536" s="18"/>
      <c r="H536" s="18"/>
      <c r="I536" s="18"/>
      <c r="J536" s="18"/>
    </row>
    <row r="537" spans="2:10" ht="12.75" customHeight="1" x14ac:dyDescent="0.2">
      <c r="B537" s="16"/>
      <c r="C537" s="17"/>
      <c r="D537" s="16"/>
      <c r="E537" s="18"/>
      <c r="F537" s="18"/>
      <c r="G537" s="18"/>
      <c r="H537" s="18"/>
      <c r="I537" s="18"/>
      <c r="J537" s="18"/>
    </row>
    <row r="538" spans="2:10" ht="12.75" customHeight="1" x14ac:dyDescent="0.2">
      <c r="B538" s="16"/>
      <c r="C538" s="17"/>
      <c r="D538" s="16"/>
      <c r="E538" s="18"/>
      <c r="F538" s="18"/>
      <c r="G538" s="18"/>
      <c r="H538" s="18"/>
      <c r="I538" s="18"/>
      <c r="J538" s="18"/>
    </row>
    <row r="539" spans="2:10" ht="12.75" customHeight="1" x14ac:dyDescent="0.2">
      <c r="B539" s="16"/>
      <c r="C539" s="17"/>
      <c r="D539" s="16"/>
      <c r="E539" s="18"/>
      <c r="F539" s="18"/>
      <c r="G539" s="18"/>
      <c r="H539" s="18"/>
      <c r="I539" s="18"/>
      <c r="J539" s="18"/>
    </row>
    <row r="540" spans="2:10" ht="12.75" customHeight="1" x14ac:dyDescent="0.2">
      <c r="B540" s="16"/>
      <c r="C540" s="17"/>
      <c r="D540" s="16"/>
      <c r="E540" s="18"/>
      <c r="F540" s="18"/>
      <c r="G540" s="18"/>
      <c r="H540" s="18"/>
      <c r="I540" s="18"/>
      <c r="J540" s="18"/>
    </row>
    <row r="541" spans="2:10" ht="12.75" customHeight="1" x14ac:dyDescent="0.2">
      <c r="B541" s="16"/>
      <c r="C541" s="17"/>
      <c r="D541" s="16"/>
      <c r="E541" s="18"/>
      <c r="F541" s="18"/>
      <c r="G541" s="18"/>
      <c r="H541" s="18"/>
      <c r="I541" s="18"/>
      <c r="J541" s="18"/>
    </row>
    <row r="542" spans="2:10" ht="12.75" customHeight="1" x14ac:dyDescent="0.2">
      <c r="B542" s="16"/>
      <c r="C542" s="17"/>
      <c r="D542" s="16"/>
      <c r="E542" s="18"/>
      <c r="F542" s="18"/>
      <c r="G542" s="18"/>
      <c r="H542" s="18"/>
      <c r="I542" s="18"/>
      <c r="J542" s="18"/>
    </row>
    <row r="543" spans="2:10" ht="12.75" customHeight="1" x14ac:dyDescent="0.2">
      <c r="B543" s="16"/>
      <c r="C543" s="17"/>
      <c r="D543" s="16"/>
      <c r="E543" s="18"/>
      <c r="F543" s="18"/>
      <c r="G543" s="18"/>
      <c r="H543" s="18"/>
      <c r="I543" s="18"/>
      <c r="J543" s="18"/>
    </row>
    <row r="544" spans="2:10" ht="12.75" customHeight="1" x14ac:dyDescent="0.2">
      <c r="B544" s="16"/>
      <c r="C544" s="17"/>
      <c r="D544" s="16"/>
      <c r="E544" s="18"/>
      <c r="F544" s="18"/>
      <c r="G544" s="18"/>
      <c r="H544" s="18"/>
      <c r="I544" s="18"/>
      <c r="J544" s="18"/>
    </row>
    <row r="545" spans="2:10" ht="12.75" customHeight="1" x14ac:dyDescent="0.2">
      <c r="B545" s="16"/>
      <c r="C545" s="17"/>
      <c r="D545" s="16"/>
      <c r="E545" s="18"/>
      <c r="F545" s="18"/>
      <c r="G545" s="18"/>
      <c r="H545" s="18"/>
      <c r="I545" s="18"/>
      <c r="J545" s="18"/>
    </row>
    <row r="546" spans="2:10" ht="12.75" customHeight="1" x14ac:dyDescent="0.2">
      <c r="B546" s="16"/>
      <c r="C546" s="17"/>
      <c r="D546" s="16"/>
      <c r="E546" s="18"/>
      <c r="F546" s="18"/>
      <c r="G546" s="18"/>
      <c r="H546" s="18"/>
      <c r="I546" s="18"/>
      <c r="J546" s="18"/>
    </row>
    <row r="547" spans="2:10" ht="12.75" customHeight="1" x14ac:dyDescent="0.2">
      <c r="B547" s="16"/>
      <c r="C547" s="17"/>
      <c r="D547" s="16"/>
      <c r="E547" s="18"/>
      <c r="F547" s="18"/>
      <c r="G547" s="18"/>
      <c r="H547" s="18"/>
      <c r="I547" s="18"/>
      <c r="J547" s="18"/>
    </row>
    <row r="548" spans="2:10" ht="12.75" customHeight="1" x14ac:dyDescent="0.2">
      <c r="B548" s="16"/>
      <c r="C548" s="17"/>
      <c r="D548" s="16"/>
      <c r="E548" s="18"/>
      <c r="F548" s="18"/>
      <c r="G548" s="18"/>
      <c r="H548" s="18"/>
      <c r="I548" s="18"/>
      <c r="J548" s="18"/>
    </row>
    <row r="549" spans="2:10" ht="12.75" customHeight="1" x14ac:dyDescent="0.2">
      <c r="B549" s="16"/>
      <c r="C549" s="17"/>
      <c r="D549" s="16"/>
      <c r="E549" s="18"/>
      <c r="F549" s="18"/>
      <c r="G549" s="18"/>
      <c r="H549" s="18"/>
      <c r="I549" s="18"/>
      <c r="J549" s="18"/>
    </row>
    <row r="550" spans="2:10" ht="12.75" customHeight="1" x14ac:dyDescent="0.2">
      <c r="B550" s="16"/>
      <c r="C550" s="17"/>
      <c r="D550" s="16"/>
      <c r="E550" s="18"/>
      <c r="F550" s="18"/>
      <c r="G550" s="18"/>
      <c r="H550" s="18"/>
      <c r="I550" s="18"/>
      <c r="J550" s="18"/>
    </row>
    <row r="551" spans="2:10" ht="12.75" customHeight="1" x14ac:dyDescent="0.2">
      <c r="B551" s="16"/>
      <c r="C551" s="17"/>
      <c r="D551" s="16"/>
      <c r="E551" s="18"/>
      <c r="F551" s="18"/>
      <c r="G551" s="18"/>
      <c r="H551" s="18"/>
      <c r="I551" s="18"/>
      <c r="J551" s="18"/>
    </row>
    <row r="552" spans="2:10" ht="12.75" customHeight="1" x14ac:dyDescent="0.2">
      <c r="B552" s="16"/>
      <c r="C552" s="17"/>
      <c r="D552" s="16"/>
      <c r="E552" s="18"/>
      <c r="F552" s="18"/>
      <c r="G552" s="18"/>
      <c r="H552" s="18"/>
      <c r="I552" s="18"/>
      <c r="J552" s="18"/>
    </row>
    <row r="553" spans="2:10" ht="12.75" customHeight="1" x14ac:dyDescent="0.2">
      <c r="B553" s="16"/>
      <c r="C553" s="17"/>
      <c r="D553" s="16"/>
      <c r="E553" s="18"/>
      <c r="F553" s="18"/>
      <c r="G553" s="18"/>
      <c r="H553" s="18"/>
      <c r="I553" s="18"/>
      <c r="J553" s="18"/>
    </row>
    <row r="554" spans="2:10" ht="12.75" customHeight="1" x14ac:dyDescent="0.2">
      <c r="B554" s="16"/>
      <c r="C554" s="17"/>
      <c r="D554" s="16"/>
      <c r="E554" s="18"/>
      <c r="F554" s="18"/>
      <c r="G554" s="18"/>
      <c r="H554" s="18"/>
      <c r="I554" s="18"/>
      <c r="J554" s="18"/>
    </row>
    <row r="555" spans="2:10" ht="12.75" customHeight="1" x14ac:dyDescent="0.2">
      <c r="B555" s="16"/>
      <c r="C555" s="17"/>
      <c r="D555" s="16"/>
      <c r="E555" s="18"/>
      <c r="F555" s="18"/>
      <c r="G555" s="18"/>
      <c r="H555" s="18"/>
      <c r="I555" s="18"/>
      <c r="J555" s="18"/>
    </row>
    <row r="556" spans="2:10" ht="12.75" customHeight="1" x14ac:dyDescent="0.2">
      <c r="B556" s="16"/>
      <c r="C556" s="17"/>
      <c r="D556" s="16"/>
      <c r="E556" s="18"/>
      <c r="F556" s="18"/>
      <c r="G556" s="18"/>
      <c r="H556" s="18"/>
      <c r="I556" s="18"/>
      <c r="J556" s="18"/>
    </row>
    <row r="557" spans="2:10" ht="12.75" customHeight="1" x14ac:dyDescent="0.2">
      <c r="B557" s="16"/>
      <c r="C557" s="17"/>
      <c r="D557" s="16"/>
      <c r="E557" s="18"/>
      <c r="F557" s="18"/>
      <c r="G557" s="18"/>
      <c r="H557" s="18"/>
      <c r="I557" s="18"/>
      <c r="J557" s="18"/>
    </row>
    <row r="558" spans="2:10" ht="12.75" customHeight="1" x14ac:dyDescent="0.2">
      <c r="B558" s="16"/>
      <c r="C558" s="17"/>
      <c r="D558" s="16"/>
      <c r="E558" s="18"/>
      <c r="F558" s="18"/>
      <c r="G558" s="18"/>
      <c r="H558" s="18"/>
      <c r="I558" s="18"/>
      <c r="J558" s="18"/>
    </row>
    <row r="559" spans="2:10" ht="12.75" customHeight="1" x14ac:dyDescent="0.2">
      <c r="B559" s="16"/>
      <c r="C559" s="17"/>
      <c r="D559" s="16"/>
      <c r="E559" s="18"/>
      <c r="F559" s="18"/>
      <c r="G559" s="18"/>
      <c r="H559" s="18"/>
      <c r="I559" s="18"/>
      <c r="J559" s="18"/>
    </row>
    <row r="560" spans="2:10" ht="12.75" customHeight="1" x14ac:dyDescent="0.2">
      <c r="B560" s="16"/>
      <c r="C560" s="17"/>
      <c r="D560" s="16"/>
      <c r="E560" s="18"/>
      <c r="F560" s="18"/>
      <c r="G560" s="18"/>
      <c r="H560" s="18"/>
      <c r="I560" s="18"/>
      <c r="J560" s="18"/>
    </row>
    <row r="561" spans="2:10" ht="12.75" customHeight="1" x14ac:dyDescent="0.2">
      <c r="B561" s="16"/>
      <c r="C561" s="17"/>
      <c r="D561" s="16"/>
      <c r="E561" s="18"/>
      <c r="F561" s="18"/>
      <c r="G561" s="18"/>
      <c r="H561" s="18"/>
      <c r="I561" s="18"/>
      <c r="J561" s="18"/>
    </row>
    <row r="562" spans="2:10" ht="12.75" customHeight="1" x14ac:dyDescent="0.2">
      <c r="B562" s="16"/>
      <c r="C562" s="17"/>
      <c r="D562" s="16"/>
      <c r="E562" s="18"/>
      <c r="F562" s="18"/>
      <c r="G562" s="18"/>
      <c r="H562" s="18"/>
      <c r="I562" s="18"/>
      <c r="J562" s="18"/>
    </row>
    <row r="563" spans="2:10" ht="12.75" customHeight="1" x14ac:dyDescent="0.2">
      <c r="B563" s="16"/>
      <c r="C563" s="17"/>
      <c r="D563" s="16"/>
      <c r="E563" s="18"/>
      <c r="F563" s="18"/>
      <c r="G563" s="18"/>
      <c r="H563" s="18"/>
      <c r="I563" s="18"/>
      <c r="J563" s="18"/>
    </row>
    <row r="564" spans="2:10" ht="12.75" customHeight="1" x14ac:dyDescent="0.2">
      <c r="B564" s="16"/>
      <c r="C564" s="17"/>
      <c r="D564" s="16"/>
      <c r="E564" s="18"/>
      <c r="F564" s="18"/>
      <c r="G564" s="18"/>
      <c r="H564" s="18"/>
      <c r="I564" s="18"/>
      <c r="J564" s="18"/>
    </row>
    <row r="565" spans="2:10" ht="12.75" customHeight="1" x14ac:dyDescent="0.2">
      <c r="B565" s="16"/>
      <c r="C565" s="17"/>
      <c r="D565" s="16"/>
      <c r="E565" s="18"/>
      <c r="F565" s="18"/>
      <c r="G565" s="18"/>
      <c r="H565" s="18"/>
      <c r="I565" s="18"/>
      <c r="J565" s="18"/>
    </row>
    <row r="566" spans="2:10" ht="12.75" customHeight="1" x14ac:dyDescent="0.2">
      <c r="B566" s="16"/>
      <c r="C566" s="17"/>
      <c r="D566" s="16"/>
      <c r="E566" s="18"/>
      <c r="F566" s="18"/>
      <c r="G566" s="18"/>
      <c r="H566" s="18"/>
      <c r="I566" s="18"/>
      <c r="J566" s="18"/>
    </row>
    <row r="567" spans="2:10" ht="12.75" customHeight="1" x14ac:dyDescent="0.2">
      <c r="B567" s="16"/>
      <c r="C567" s="17"/>
      <c r="D567" s="16"/>
      <c r="E567" s="18"/>
      <c r="F567" s="18"/>
      <c r="G567" s="18"/>
      <c r="H567" s="18"/>
      <c r="I567" s="18"/>
      <c r="J567" s="18"/>
    </row>
    <row r="568" spans="2:10" ht="12.75" customHeight="1" x14ac:dyDescent="0.2">
      <c r="B568" s="16"/>
      <c r="C568" s="17"/>
      <c r="D568" s="16"/>
      <c r="E568" s="18"/>
      <c r="F568" s="18"/>
      <c r="G568" s="18"/>
      <c r="H568" s="18"/>
      <c r="I568" s="18"/>
      <c r="J568" s="18"/>
    </row>
    <row r="569" spans="2:10" ht="12.75" customHeight="1" x14ac:dyDescent="0.2">
      <c r="B569" s="16"/>
      <c r="C569" s="17"/>
      <c r="D569" s="16"/>
      <c r="E569" s="18"/>
      <c r="F569" s="18"/>
      <c r="G569" s="18"/>
      <c r="H569" s="18"/>
      <c r="I569" s="18"/>
      <c r="J569" s="18"/>
    </row>
    <row r="570" spans="2:10" ht="12.75" customHeight="1" x14ac:dyDescent="0.2">
      <c r="B570" s="16"/>
      <c r="C570" s="17"/>
      <c r="D570" s="16"/>
      <c r="E570" s="18"/>
      <c r="F570" s="18"/>
      <c r="G570" s="18"/>
      <c r="H570" s="18"/>
      <c r="I570" s="18"/>
      <c r="J570" s="18"/>
    </row>
    <row r="571" spans="2:10" ht="12.75" customHeight="1" x14ac:dyDescent="0.2">
      <c r="B571" s="16"/>
      <c r="C571" s="17"/>
      <c r="D571" s="16"/>
      <c r="E571" s="18"/>
      <c r="F571" s="18"/>
      <c r="G571" s="18"/>
      <c r="H571" s="18"/>
      <c r="I571" s="18"/>
      <c r="J571" s="18"/>
    </row>
    <row r="572" spans="2:10" ht="12.75" customHeight="1" x14ac:dyDescent="0.2">
      <c r="B572" s="16"/>
      <c r="C572" s="17"/>
      <c r="D572" s="16"/>
      <c r="E572" s="18"/>
      <c r="F572" s="18"/>
      <c r="G572" s="18"/>
      <c r="H572" s="18"/>
      <c r="I572" s="18"/>
      <c r="J572" s="18"/>
    </row>
    <row r="573" spans="2:10" ht="12.75" customHeight="1" x14ac:dyDescent="0.2">
      <c r="B573" s="16"/>
      <c r="C573" s="17"/>
      <c r="D573" s="16"/>
      <c r="E573" s="18"/>
      <c r="F573" s="18"/>
      <c r="G573" s="18"/>
      <c r="H573" s="18"/>
      <c r="I573" s="18"/>
      <c r="J573" s="18"/>
    </row>
    <row r="574" spans="2:10" ht="12.75" customHeight="1" x14ac:dyDescent="0.2">
      <c r="B574" s="16"/>
      <c r="C574" s="17"/>
      <c r="D574" s="16"/>
      <c r="E574" s="18"/>
      <c r="F574" s="18"/>
      <c r="G574" s="18"/>
      <c r="H574" s="18"/>
      <c r="I574" s="18"/>
      <c r="J574" s="18"/>
    </row>
    <row r="575" spans="2:10" ht="12.75" customHeight="1" x14ac:dyDescent="0.2">
      <c r="B575" s="16"/>
      <c r="C575" s="17"/>
      <c r="D575" s="16"/>
      <c r="E575" s="18"/>
      <c r="F575" s="18"/>
      <c r="G575" s="18"/>
      <c r="H575" s="18"/>
      <c r="I575" s="18"/>
      <c r="J575" s="18"/>
    </row>
    <row r="576" spans="2:10" ht="12.75" customHeight="1" x14ac:dyDescent="0.2">
      <c r="B576" s="16"/>
      <c r="C576" s="17"/>
      <c r="D576" s="16"/>
      <c r="E576" s="18"/>
      <c r="F576" s="18"/>
      <c r="G576" s="18"/>
      <c r="H576" s="18"/>
      <c r="I576" s="18"/>
      <c r="J576" s="18"/>
    </row>
    <row r="577" spans="2:10" ht="12.75" customHeight="1" x14ac:dyDescent="0.2">
      <c r="B577" s="16"/>
      <c r="C577" s="17"/>
      <c r="D577" s="16"/>
      <c r="E577" s="18"/>
      <c r="F577" s="18"/>
      <c r="G577" s="18"/>
      <c r="H577" s="18"/>
      <c r="I577" s="18"/>
      <c r="J577" s="18"/>
    </row>
    <row r="578" spans="2:10" ht="12.75" customHeight="1" x14ac:dyDescent="0.2">
      <c r="B578" s="16"/>
      <c r="C578" s="17"/>
      <c r="D578" s="16"/>
      <c r="E578" s="18"/>
      <c r="F578" s="18"/>
      <c r="G578" s="18"/>
      <c r="H578" s="18"/>
      <c r="I578" s="18"/>
      <c r="J578" s="18"/>
    </row>
    <row r="579" spans="2:10" ht="12.75" customHeight="1" x14ac:dyDescent="0.2">
      <c r="B579" s="16"/>
      <c r="C579" s="17"/>
      <c r="D579" s="16"/>
      <c r="E579" s="18"/>
      <c r="F579" s="18"/>
      <c r="G579" s="18"/>
      <c r="H579" s="18"/>
      <c r="I579" s="18"/>
      <c r="J579" s="18"/>
    </row>
    <row r="580" spans="2:10" ht="12.75" customHeight="1" x14ac:dyDescent="0.2">
      <c r="B580" s="16"/>
      <c r="C580" s="17"/>
      <c r="D580" s="16"/>
      <c r="E580" s="18"/>
      <c r="F580" s="18"/>
      <c r="G580" s="18"/>
      <c r="H580" s="18"/>
      <c r="I580" s="18"/>
      <c r="J580" s="18"/>
    </row>
    <row r="581" spans="2:10" ht="12.75" customHeight="1" x14ac:dyDescent="0.2">
      <c r="B581" s="16"/>
      <c r="C581" s="17"/>
      <c r="D581" s="16"/>
      <c r="E581" s="18"/>
      <c r="F581" s="18"/>
      <c r="G581" s="18"/>
      <c r="H581" s="18"/>
      <c r="I581" s="18"/>
      <c r="J581" s="18"/>
    </row>
    <row r="582" spans="2:10" ht="12.75" customHeight="1" x14ac:dyDescent="0.2">
      <c r="B582" s="16"/>
      <c r="C582" s="17"/>
      <c r="D582" s="16"/>
      <c r="E582" s="18"/>
      <c r="F582" s="18"/>
      <c r="G582" s="18"/>
      <c r="H582" s="18"/>
      <c r="I582" s="18"/>
      <c r="J582" s="18"/>
    </row>
    <row r="583" spans="2:10" ht="12.75" customHeight="1" x14ac:dyDescent="0.2">
      <c r="B583" s="16"/>
      <c r="C583" s="17"/>
      <c r="D583" s="16"/>
      <c r="E583" s="18"/>
      <c r="F583" s="18"/>
      <c r="G583" s="18"/>
      <c r="H583" s="18"/>
      <c r="I583" s="18"/>
      <c r="J583" s="18"/>
    </row>
    <row r="584" spans="2:10" ht="12.75" customHeight="1" x14ac:dyDescent="0.2">
      <c r="B584" s="16"/>
      <c r="C584" s="17"/>
      <c r="D584" s="16"/>
      <c r="E584" s="18"/>
      <c r="F584" s="18"/>
      <c r="G584" s="18"/>
      <c r="H584" s="18"/>
      <c r="I584" s="18"/>
      <c r="J584" s="18"/>
    </row>
    <row r="585" spans="2:10" ht="12.75" customHeight="1" x14ac:dyDescent="0.2">
      <c r="B585" s="16"/>
      <c r="C585" s="17"/>
      <c r="D585" s="16"/>
      <c r="E585" s="18"/>
      <c r="F585" s="18"/>
      <c r="G585" s="18"/>
      <c r="H585" s="18"/>
      <c r="I585" s="18"/>
      <c r="J585" s="18"/>
    </row>
    <row r="586" spans="2:10" ht="12.75" customHeight="1" x14ac:dyDescent="0.2">
      <c r="B586" s="16"/>
      <c r="C586" s="17"/>
      <c r="D586" s="16"/>
      <c r="E586" s="18"/>
      <c r="F586" s="18"/>
      <c r="G586" s="18"/>
      <c r="H586" s="18"/>
      <c r="I586" s="18"/>
      <c r="J586" s="18"/>
    </row>
    <row r="587" spans="2:10" ht="12.75" customHeight="1" x14ac:dyDescent="0.2">
      <c r="B587" s="16"/>
      <c r="C587" s="17"/>
      <c r="D587" s="16"/>
      <c r="E587" s="18"/>
      <c r="F587" s="18"/>
      <c r="G587" s="18"/>
      <c r="H587" s="18"/>
      <c r="I587" s="18"/>
      <c r="J587" s="18"/>
    </row>
    <row r="588" spans="2:10" ht="12.75" customHeight="1" x14ac:dyDescent="0.2">
      <c r="B588" s="16"/>
      <c r="C588" s="17"/>
      <c r="D588" s="16"/>
      <c r="E588" s="18"/>
      <c r="F588" s="18"/>
      <c r="G588" s="18"/>
      <c r="H588" s="18"/>
      <c r="I588" s="18"/>
      <c r="J588" s="18"/>
    </row>
    <row r="589" spans="2:10" ht="12.75" customHeight="1" x14ac:dyDescent="0.2">
      <c r="B589" s="16"/>
      <c r="C589" s="17"/>
      <c r="D589" s="16"/>
      <c r="E589" s="18"/>
      <c r="F589" s="18"/>
      <c r="G589" s="18"/>
      <c r="H589" s="18"/>
      <c r="I589" s="18"/>
      <c r="J589" s="18"/>
    </row>
    <row r="590" spans="2:10" ht="12.75" customHeight="1" x14ac:dyDescent="0.2">
      <c r="B590" s="16"/>
      <c r="C590" s="17"/>
      <c r="D590" s="16"/>
      <c r="E590" s="18"/>
      <c r="F590" s="18"/>
      <c r="G590" s="18"/>
      <c r="H590" s="18"/>
      <c r="I590" s="18"/>
      <c r="J590" s="18"/>
    </row>
    <row r="591" spans="2:10" ht="12.75" customHeight="1" x14ac:dyDescent="0.2">
      <c r="B591" s="16"/>
      <c r="C591" s="17"/>
      <c r="D591" s="16"/>
      <c r="E591" s="18"/>
      <c r="F591" s="18"/>
      <c r="G591" s="18"/>
      <c r="H591" s="18"/>
      <c r="I591" s="18"/>
      <c r="J591" s="18"/>
    </row>
    <row r="592" spans="2:10" ht="12.75" customHeight="1" x14ac:dyDescent="0.2">
      <c r="B592" s="16"/>
      <c r="C592" s="17"/>
      <c r="D592" s="16"/>
      <c r="E592" s="18"/>
      <c r="F592" s="18"/>
      <c r="G592" s="18"/>
      <c r="H592" s="18"/>
      <c r="I592" s="18"/>
      <c r="J592" s="18"/>
    </row>
    <row r="593" spans="2:10" ht="12.75" customHeight="1" x14ac:dyDescent="0.2">
      <c r="B593" s="16"/>
      <c r="C593" s="17"/>
      <c r="D593" s="16"/>
      <c r="E593" s="18"/>
      <c r="F593" s="18"/>
      <c r="G593" s="18"/>
      <c r="H593" s="18"/>
      <c r="I593" s="18"/>
      <c r="J593" s="18"/>
    </row>
    <row r="594" spans="2:10" ht="12.75" customHeight="1" x14ac:dyDescent="0.2">
      <c r="B594" s="16"/>
      <c r="C594" s="17"/>
      <c r="D594" s="16"/>
      <c r="E594" s="18"/>
      <c r="F594" s="18"/>
      <c r="G594" s="18"/>
      <c r="H594" s="18"/>
      <c r="I594" s="18"/>
      <c r="J594" s="18"/>
    </row>
    <row r="595" spans="2:10" ht="12.75" customHeight="1" x14ac:dyDescent="0.2">
      <c r="B595" s="16"/>
      <c r="C595" s="17"/>
      <c r="D595" s="16"/>
      <c r="E595" s="18"/>
      <c r="F595" s="18"/>
      <c r="G595" s="18"/>
      <c r="H595" s="18"/>
      <c r="I595" s="18"/>
      <c r="J595" s="18"/>
    </row>
    <row r="596" spans="2:10" ht="12.75" customHeight="1" x14ac:dyDescent="0.2">
      <c r="B596" s="16"/>
      <c r="C596" s="17"/>
      <c r="D596" s="16"/>
      <c r="E596" s="18"/>
      <c r="F596" s="18"/>
      <c r="G596" s="18"/>
      <c r="H596" s="18"/>
      <c r="I596" s="18"/>
      <c r="J596" s="18"/>
    </row>
    <row r="597" spans="2:10" ht="12.75" customHeight="1" x14ac:dyDescent="0.2">
      <c r="B597" s="16"/>
      <c r="C597" s="17"/>
      <c r="D597" s="16"/>
      <c r="E597" s="18"/>
      <c r="F597" s="18"/>
      <c r="G597" s="18"/>
      <c r="H597" s="18"/>
      <c r="I597" s="18"/>
      <c r="J597" s="18"/>
    </row>
    <row r="598" spans="2:10" ht="12.75" customHeight="1" x14ac:dyDescent="0.2">
      <c r="B598" s="16"/>
      <c r="C598" s="17"/>
      <c r="D598" s="16"/>
      <c r="E598" s="18"/>
      <c r="F598" s="18"/>
      <c r="G598" s="18"/>
      <c r="H598" s="18"/>
      <c r="I598" s="18"/>
      <c r="J598" s="18"/>
    </row>
    <row r="599" spans="2:10" ht="12.75" customHeight="1" x14ac:dyDescent="0.2">
      <c r="B599" s="16"/>
      <c r="C599" s="17"/>
      <c r="D599" s="16"/>
      <c r="E599" s="18"/>
      <c r="F599" s="18"/>
      <c r="G599" s="18"/>
      <c r="H599" s="18"/>
      <c r="I599" s="18"/>
      <c r="J599" s="18"/>
    </row>
    <row r="600" spans="2:10" ht="12.75" customHeight="1" x14ac:dyDescent="0.2">
      <c r="B600" s="16"/>
      <c r="C600" s="17"/>
      <c r="D600" s="16"/>
      <c r="E600" s="18"/>
      <c r="F600" s="18"/>
      <c r="G600" s="18"/>
      <c r="H600" s="18"/>
      <c r="I600" s="18"/>
      <c r="J600" s="18"/>
    </row>
    <row r="601" spans="2:10" ht="12.75" customHeight="1" x14ac:dyDescent="0.2">
      <c r="B601" s="16"/>
      <c r="C601" s="17"/>
      <c r="D601" s="16"/>
      <c r="E601" s="18"/>
      <c r="F601" s="18"/>
      <c r="G601" s="18"/>
      <c r="H601" s="18"/>
      <c r="I601" s="18"/>
      <c r="J601" s="18"/>
    </row>
    <row r="602" spans="2:10" ht="12.75" customHeight="1" x14ac:dyDescent="0.2">
      <c r="B602" s="16"/>
      <c r="C602" s="17"/>
      <c r="D602" s="16"/>
      <c r="E602" s="18"/>
      <c r="F602" s="18"/>
      <c r="G602" s="18"/>
      <c r="H602" s="18"/>
      <c r="I602" s="18"/>
      <c r="J602" s="18"/>
    </row>
    <row r="603" spans="2:10" ht="12.75" customHeight="1" x14ac:dyDescent="0.2">
      <c r="B603" s="16"/>
      <c r="C603" s="17"/>
      <c r="D603" s="16"/>
      <c r="E603" s="18"/>
      <c r="F603" s="18"/>
      <c r="G603" s="18"/>
      <c r="H603" s="18"/>
      <c r="I603" s="18"/>
      <c r="J603" s="18"/>
    </row>
    <row r="604" spans="2:10" ht="12.75" customHeight="1" x14ac:dyDescent="0.2">
      <c r="B604" s="16"/>
      <c r="C604" s="17"/>
      <c r="D604" s="16"/>
      <c r="E604" s="18"/>
      <c r="F604" s="18"/>
      <c r="G604" s="18"/>
      <c r="H604" s="18"/>
      <c r="I604" s="18"/>
      <c r="J604" s="18"/>
    </row>
    <row r="605" spans="2:10" ht="12.75" customHeight="1" x14ac:dyDescent="0.2">
      <c r="B605" s="16"/>
      <c r="C605" s="17"/>
      <c r="D605" s="16"/>
      <c r="E605" s="18"/>
      <c r="F605" s="18"/>
      <c r="G605" s="18"/>
      <c r="H605" s="18"/>
      <c r="I605" s="18"/>
      <c r="J605" s="18"/>
    </row>
    <row r="606" spans="2:10" ht="12.75" customHeight="1" x14ac:dyDescent="0.2">
      <c r="B606" s="16"/>
      <c r="C606" s="17"/>
      <c r="D606" s="16"/>
      <c r="E606" s="18"/>
      <c r="F606" s="18"/>
      <c r="G606" s="18"/>
      <c r="H606" s="18"/>
      <c r="I606" s="18"/>
      <c r="J606" s="18"/>
    </row>
    <row r="607" spans="2:10" ht="12.75" customHeight="1" x14ac:dyDescent="0.2">
      <c r="B607" s="16"/>
      <c r="C607" s="17"/>
      <c r="D607" s="16"/>
      <c r="E607" s="18"/>
      <c r="F607" s="18"/>
      <c r="G607" s="18"/>
      <c r="H607" s="18"/>
      <c r="I607" s="18"/>
      <c r="J607" s="18"/>
    </row>
    <row r="608" spans="2:10" ht="12.75" customHeight="1" x14ac:dyDescent="0.2">
      <c r="B608" s="16"/>
      <c r="C608" s="17"/>
      <c r="D608" s="16"/>
      <c r="E608" s="18"/>
      <c r="F608" s="18"/>
      <c r="G608" s="18"/>
      <c r="H608" s="18"/>
      <c r="I608" s="18"/>
      <c r="J608" s="18"/>
    </row>
    <row r="609" spans="2:10" ht="12.75" customHeight="1" x14ac:dyDescent="0.2">
      <c r="B609" s="16"/>
      <c r="C609" s="17"/>
      <c r="D609" s="16"/>
      <c r="E609" s="18"/>
      <c r="F609" s="18"/>
      <c r="G609" s="18"/>
      <c r="H609" s="18"/>
      <c r="I609" s="18"/>
      <c r="J609" s="18"/>
    </row>
    <row r="610" spans="2:10" ht="12.75" customHeight="1" x14ac:dyDescent="0.2">
      <c r="B610" s="16"/>
      <c r="C610" s="17"/>
      <c r="D610" s="16"/>
      <c r="E610" s="18"/>
      <c r="F610" s="18"/>
      <c r="G610" s="18"/>
      <c r="H610" s="18"/>
      <c r="I610" s="18"/>
      <c r="J610" s="18"/>
    </row>
    <row r="611" spans="2:10" ht="12.75" customHeight="1" x14ac:dyDescent="0.2">
      <c r="B611" s="16"/>
      <c r="C611" s="17"/>
      <c r="D611" s="16"/>
      <c r="E611" s="18"/>
      <c r="F611" s="18"/>
      <c r="G611" s="18"/>
      <c r="H611" s="18"/>
      <c r="I611" s="18"/>
      <c r="J611" s="18"/>
    </row>
    <row r="612" spans="2:10" ht="12.75" customHeight="1" x14ac:dyDescent="0.2">
      <c r="B612" s="16"/>
      <c r="C612" s="17"/>
      <c r="D612" s="16"/>
      <c r="E612" s="18"/>
      <c r="F612" s="18"/>
      <c r="G612" s="18"/>
      <c r="H612" s="18"/>
      <c r="I612" s="18"/>
      <c r="J612" s="18"/>
    </row>
    <row r="613" spans="2:10" ht="12.75" customHeight="1" x14ac:dyDescent="0.2">
      <c r="B613" s="16"/>
      <c r="C613" s="17"/>
      <c r="D613" s="16"/>
      <c r="E613" s="18"/>
      <c r="F613" s="18"/>
      <c r="G613" s="18"/>
      <c r="H613" s="18"/>
      <c r="I613" s="18"/>
      <c r="J613" s="18"/>
    </row>
    <row r="614" spans="2:10" ht="12.75" customHeight="1" x14ac:dyDescent="0.2">
      <c r="B614" s="16"/>
      <c r="C614" s="17"/>
      <c r="D614" s="16"/>
      <c r="E614" s="18"/>
      <c r="F614" s="18"/>
      <c r="G614" s="18"/>
      <c r="H614" s="18"/>
      <c r="I614" s="18"/>
      <c r="J614" s="18"/>
    </row>
    <row r="615" spans="2:10" ht="12.75" customHeight="1" x14ac:dyDescent="0.2">
      <c r="B615" s="16"/>
      <c r="C615" s="17"/>
      <c r="D615" s="16"/>
      <c r="E615" s="18"/>
      <c r="F615" s="18"/>
      <c r="G615" s="18"/>
      <c r="H615" s="18"/>
      <c r="I615" s="18"/>
      <c r="J615" s="18"/>
    </row>
    <row r="616" spans="2:10" ht="12.75" customHeight="1" x14ac:dyDescent="0.2">
      <c r="B616" s="16"/>
      <c r="C616" s="17"/>
      <c r="D616" s="16"/>
      <c r="E616" s="18"/>
      <c r="F616" s="18"/>
      <c r="G616" s="18"/>
      <c r="H616" s="18"/>
      <c r="I616" s="18"/>
      <c r="J616" s="18"/>
    </row>
    <row r="617" spans="2:10" ht="12.75" customHeight="1" x14ac:dyDescent="0.2">
      <c r="B617" s="16"/>
      <c r="C617" s="17"/>
      <c r="D617" s="16"/>
      <c r="E617" s="18"/>
      <c r="F617" s="18"/>
      <c r="G617" s="18"/>
      <c r="H617" s="18"/>
      <c r="I617" s="18"/>
      <c r="J617" s="18"/>
    </row>
    <row r="618" spans="2:10" ht="12.75" customHeight="1" x14ac:dyDescent="0.2">
      <c r="B618" s="16"/>
      <c r="C618" s="17"/>
      <c r="D618" s="16"/>
      <c r="E618" s="18"/>
      <c r="F618" s="18"/>
      <c r="G618" s="18"/>
      <c r="H618" s="18"/>
      <c r="I618" s="18"/>
      <c r="J618" s="18"/>
    </row>
    <row r="619" spans="2:10" ht="12.75" customHeight="1" x14ac:dyDescent="0.2">
      <c r="B619" s="16"/>
      <c r="C619" s="17"/>
      <c r="D619" s="16"/>
      <c r="E619" s="18"/>
      <c r="F619" s="18"/>
      <c r="G619" s="18"/>
      <c r="H619" s="18"/>
      <c r="I619" s="18"/>
      <c r="J619" s="18"/>
    </row>
    <row r="620" spans="2:10" ht="12.75" customHeight="1" x14ac:dyDescent="0.2">
      <c r="B620" s="16"/>
      <c r="C620" s="17"/>
      <c r="D620" s="16"/>
      <c r="E620" s="18"/>
      <c r="F620" s="18"/>
      <c r="G620" s="18"/>
      <c r="H620" s="18"/>
      <c r="I620" s="18"/>
      <c r="J620" s="18"/>
    </row>
    <row r="621" spans="2:10" ht="12.75" customHeight="1" x14ac:dyDescent="0.2">
      <c r="B621" s="16"/>
      <c r="C621" s="17"/>
      <c r="D621" s="16"/>
      <c r="E621" s="18"/>
      <c r="F621" s="18"/>
      <c r="G621" s="18"/>
      <c r="H621" s="18"/>
      <c r="I621" s="18"/>
      <c r="J621" s="18"/>
    </row>
    <row r="622" spans="2:10" ht="12.75" customHeight="1" x14ac:dyDescent="0.2">
      <c r="B622" s="16"/>
      <c r="C622" s="17"/>
      <c r="D622" s="16"/>
      <c r="E622" s="18"/>
      <c r="F622" s="18"/>
      <c r="G622" s="18"/>
      <c r="H622" s="18"/>
      <c r="I622" s="18"/>
      <c r="J622" s="18"/>
    </row>
    <row r="623" spans="2:10" ht="12.75" customHeight="1" x14ac:dyDescent="0.2">
      <c r="B623" s="16"/>
      <c r="C623" s="17"/>
      <c r="D623" s="16"/>
      <c r="E623" s="18"/>
      <c r="F623" s="18"/>
      <c r="G623" s="18"/>
      <c r="H623" s="18"/>
      <c r="I623" s="18"/>
      <c r="J623" s="18"/>
    </row>
    <row r="624" spans="2:10" ht="12.75" customHeight="1" x14ac:dyDescent="0.2">
      <c r="B624" s="16"/>
      <c r="C624" s="17"/>
      <c r="D624" s="16"/>
      <c r="E624" s="18"/>
      <c r="F624" s="18"/>
      <c r="G624" s="18"/>
      <c r="H624" s="18"/>
      <c r="I624" s="18"/>
      <c r="J624" s="18"/>
    </row>
    <row r="625" spans="2:10" ht="12.75" customHeight="1" x14ac:dyDescent="0.2">
      <c r="B625" s="16"/>
      <c r="C625" s="17"/>
      <c r="D625" s="16"/>
      <c r="E625" s="18"/>
      <c r="F625" s="18"/>
      <c r="G625" s="18"/>
      <c r="H625" s="18"/>
      <c r="I625" s="18"/>
      <c r="J625" s="18"/>
    </row>
    <row r="626" spans="2:10" ht="12.75" customHeight="1" x14ac:dyDescent="0.2">
      <c r="B626" s="16"/>
      <c r="C626" s="17"/>
      <c r="D626" s="16"/>
      <c r="E626" s="18"/>
      <c r="F626" s="18"/>
      <c r="G626" s="18"/>
      <c r="H626" s="18"/>
      <c r="I626" s="18"/>
      <c r="J626" s="18"/>
    </row>
    <row r="627" spans="2:10" ht="12.75" customHeight="1" x14ac:dyDescent="0.2">
      <c r="B627" s="16"/>
      <c r="C627" s="17"/>
      <c r="D627" s="16"/>
      <c r="E627" s="18"/>
      <c r="F627" s="18"/>
      <c r="G627" s="18"/>
      <c r="H627" s="18"/>
      <c r="I627" s="18"/>
      <c r="J627" s="18"/>
    </row>
    <row r="628" spans="2:10" ht="12.75" customHeight="1" x14ac:dyDescent="0.2">
      <c r="B628" s="16"/>
      <c r="C628" s="17"/>
      <c r="D628" s="16"/>
      <c r="E628" s="18"/>
      <c r="F628" s="18"/>
      <c r="G628" s="18"/>
      <c r="H628" s="18"/>
      <c r="I628" s="18"/>
      <c r="J628" s="18"/>
    </row>
    <row r="629" spans="2:10" ht="12.75" customHeight="1" x14ac:dyDescent="0.2">
      <c r="B629" s="16"/>
      <c r="C629" s="17"/>
      <c r="D629" s="16"/>
      <c r="E629" s="18"/>
      <c r="F629" s="18"/>
      <c r="G629" s="18"/>
      <c r="H629" s="18"/>
      <c r="I629" s="18"/>
      <c r="J629" s="18"/>
    </row>
    <row r="630" spans="2:10" ht="12.75" customHeight="1" x14ac:dyDescent="0.2">
      <c r="B630" s="16"/>
      <c r="C630" s="17"/>
      <c r="D630" s="16"/>
      <c r="E630" s="18"/>
      <c r="F630" s="18"/>
      <c r="G630" s="18"/>
      <c r="H630" s="18"/>
      <c r="I630" s="18"/>
      <c r="J630" s="18"/>
    </row>
    <row r="631" spans="2:10" ht="12.75" customHeight="1" x14ac:dyDescent="0.2">
      <c r="B631" s="16"/>
      <c r="C631" s="17"/>
      <c r="D631" s="16"/>
      <c r="E631" s="18"/>
      <c r="F631" s="18"/>
      <c r="G631" s="18"/>
      <c r="H631" s="18"/>
      <c r="I631" s="18"/>
      <c r="J631" s="18"/>
    </row>
    <row r="632" spans="2:10" ht="12.75" customHeight="1" x14ac:dyDescent="0.2">
      <c r="B632" s="16"/>
      <c r="C632" s="17"/>
      <c r="D632" s="16"/>
      <c r="E632" s="18"/>
      <c r="F632" s="18"/>
      <c r="G632" s="18"/>
      <c r="H632" s="18"/>
      <c r="I632" s="18"/>
      <c r="J632" s="18"/>
    </row>
    <row r="633" spans="2:10" ht="12.75" customHeight="1" x14ac:dyDescent="0.2">
      <c r="B633" s="16"/>
      <c r="C633" s="17"/>
      <c r="D633" s="16"/>
      <c r="E633" s="18"/>
      <c r="F633" s="18"/>
      <c r="G633" s="18"/>
      <c r="H633" s="18"/>
      <c r="I633" s="18"/>
      <c r="J633" s="18"/>
    </row>
    <row r="634" spans="2:10" ht="12.75" customHeight="1" x14ac:dyDescent="0.2">
      <c r="B634" s="16"/>
      <c r="C634" s="17"/>
      <c r="D634" s="16"/>
      <c r="E634" s="18"/>
      <c r="F634" s="18"/>
      <c r="G634" s="18"/>
      <c r="H634" s="18"/>
      <c r="I634" s="18"/>
      <c r="J634" s="18"/>
    </row>
    <row r="635" spans="2:10" ht="12.75" customHeight="1" x14ac:dyDescent="0.2">
      <c r="B635" s="16"/>
      <c r="C635" s="17"/>
      <c r="D635" s="16"/>
      <c r="E635" s="18"/>
      <c r="F635" s="18"/>
      <c r="G635" s="18"/>
      <c r="H635" s="18"/>
      <c r="I635" s="18"/>
      <c r="J635" s="18"/>
    </row>
    <row r="636" spans="2:10" ht="12.75" customHeight="1" x14ac:dyDescent="0.2">
      <c r="B636" s="16"/>
      <c r="C636" s="17"/>
      <c r="D636" s="16"/>
      <c r="E636" s="18"/>
      <c r="F636" s="18"/>
      <c r="G636" s="18"/>
      <c r="H636" s="18"/>
      <c r="I636" s="18"/>
      <c r="J636" s="18"/>
    </row>
    <row r="637" spans="2:10" ht="12.75" customHeight="1" x14ac:dyDescent="0.2">
      <c r="B637" s="16"/>
      <c r="C637" s="17"/>
      <c r="D637" s="16"/>
      <c r="E637" s="18"/>
      <c r="F637" s="18"/>
      <c r="G637" s="18"/>
      <c r="H637" s="18"/>
      <c r="I637" s="18"/>
      <c r="J637" s="18"/>
    </row>
    <row r="638" spans="2:10" ht="12.75" customHeight="1" x14ac:dyDescent="0.2">
      <c r="B638" s="16"/>
      <c r="C638" s="17"/>
      <c r="D638" s="16"/>
      <c r="E638" s="18"/>
      <c r="F638" s="18"/>
      <c r="G638" s="18"/>
      <c r="H638" s="18"/>
      <c r="I638" s="18"/>
      <c r="J638" s="18"/>
    </row>
    <row r="639" spans="2:10" ht="12.75" customHeight="1" x14ac:dyDescent="0.2">
      <c r="B639" s="16"/>
      <c r="C639" s="17"/>
      <c r="D639" s="16"/>
      <c r="E639" s="18"/>
      <c r="F639" s="18"/>
      <c r="G639" s="18"/>
      <c r="H639" s="18"/>
      <c r="I639" s="18"/>
      <c r="J639" s="18"/>
    </row>
    <row r="640" spans="2:10" ht="12.75" customHeight="1" x14ac:dyDescent="0.2">
      <c r="B640" s="16"/>
      <c r="C640" s="17"/>
      <c r="D640" s="16"/>
      <c r="E640" s="18"/>
      <c r="F640" s="18"/>
      <c r="G640" s="18"/>
      <c r="H640" s="18"/>
      <c r="I640" s="18"/>
      <c r="J640" s="18"/>
    </row>
    <row r="641" spans="2:10" ht="12.75" customHeight="1" x14ac:dyDescent="0.2">
      <c r="B641" s="16"/>
      <c r="C641" s="17"/>
      <c r="D641" s="16"/>
      <c r="E641" s="18"/>
      <c r="F641" s="18"/>
      <c r="G641" s="18"/>
      <c r="H641" s="18"/>
      <c r="I641" s="18"/>
      <c r="J641" s="18"/>
    </row>
    <row r="642" spans="2:10" ht="12.75" customHeight="1" x14ac:dyDescent="0.2">
      <c r="B642" s="16"/>
      <c r="C642" s="17"/>
      <c r="D642" s="16"/>
      <c r="E642" s="18"/>
      <c r="F642" s="18"/>
      <c r="G642" s="18"/>
      <c r="H642" s="18"/>
      <c r="I642" s="18"/>
      <c r="J642" s="18"/>
    </row>
    <row r="643" spans="2:10" ht="12.75" customHeight="1" x14ac:dyDescent="0.2">
      <c r="B643" s="16"/>
      <c r="C643" s="17"/>
      <c r="D643" s="16"/>
      <c r="E643" s="18"/>
      <c r="F643" s="18"/>
      <c r="G643" s="18"/>
      <c r="H643" s="18"/>
      <c r="I643" s="18"/>
      <c r="J643" s="18"/>
    </row>
    <row r="644" spans="2:10" ht="12.75" customHeight="1" x14ac:dyDescent="0.2">
      <c r="B644" s="16"/>
      <c r="C644" s="17"/>
      <c r="D644" s="16"/>
      <c r="E644" s="18"/>
      <c r="F644" s="18"/>
      <c r="G644" s="18"/>
      <c r="H644" s="18"/>
      <c r="I644" s="18"/>
      <c r="J644" s="18"/>
    </row>
    <row r="645" spans="2:10" ht="12.75" customHeight="1" x14ac:dyDescent="0.2">
      <c r="B645" s="16"/>
      <c r="C645" s="17"/>
      <c r="D645" s="16"/>
      <c r="E645" s="18"/>
      <c r="F645" s="18"/>
      <c r="G645" s="18"/>
      <c r="H645" s="18"/>
      <c r="I645" s="18"/>
      <c r="J645" s="18"/>
    </row>
    <row r="646" spans="2:10" ht="12.75" customHeight="1" x14ac:dyDescent="0.2">
      <c r="B646" s="16"/>
      <c r="C646" s="17"/>
      <c r="D646" s="16"/>
      <c r="E646" s="18"/>
      <c r="F646" s="18"/>
      <c r="G646" s="18"/>
      <c r="H646" s="18"/>
      <c r="I646" s="18"/>
      <c r="J646" s="18"/>
    </row>
    <row r="647" spans="2:10" ht="12.75" customHeight="1" x14ac:dyDescent="0.2">
      <c r="B647" s="16"/>
      <c r="C647" s="17"/>
      <c r="D647" s="16"/>
      <c r="E647" s="18"/>
      <c r="F647" s="18"/>
      <c r="G647" s="18"/>
      <c r="H647" s="18"/>
      <c r="I647" s="18"/>
      <c r="J647" s="18"/>
    </row>
    <row r="648" spans="2:10" ht="12.75" customHeight="1" x14ac:dyDescent="0.2">
      <c r="B648" s="16"/>
      <c r="C648" s="17"/>
      <c r="D648" s="16"/>
      <c r="E648" s="18"/>
      <c r="F648" s="18"/>
      <c r="G648" s="18"/>
      <c r="H648" s="18"/>
      <c r="I648" s="18"/>
      <c r="J648" s="18"/>
    </row>
    <row r="649" spans="2:10" ht="12.75" customHeight="1" x14ac:dyDescent="0.2">
      <c r="B649" s="16"/>
      <c r="C649" s="17"/>
      <c r="D649" s="16"/>
      <c r="E649" s="18"/>
      <c r="F649" s="18"/>
      <c r="G649" s="18"/>
      <c r="H649" s="18"/>
      <c r="I649" s="18"/>
      <c r="J649" s="18"/>
    </row>
    <row r="650" spans="2:10" ht="12.75" customHeight="1" x14ac:dyDescent="0.2">
      <c r="B650" s="16"/>
      <c r="C650" s="17"/>
      <c r="D650" s="16"/>
      <c r="E650" s="18"/>
      <c r="F650" s="18"/>
      <c r="G650" s="18"/>
      <c r="H650" s="18"/>
      <c r="I650" s="18"/>
      <c r="J650" s="18"/>
    </row>
    <row r="651" spans="2:10" ht="12.75" customHeight="1" x14ac:dyDescent="0.2">
      <c r="B651" s="16"/>
      <c r="C651" s="17"/>
      <c r="D651" s="16"/>
      <c r="E651" s="18"/>
      <c r="F651" s="18"/>
      <c r="G651" s="18"/>
      <c r="H651" s="18"/>
      <c r="I651" s="18"/>
      <c r="J651" s="18"/>
    </row>
    <row r="652" spans="2:10" ht="12.75" customHeight="1" x14ac:dyDescent="0.2">
      <c r="B652" s="16"/>
      <c r="C652" s="17"/>
      <c r="D652" s="16"/>
      <c r="E652" s="18"/>
      <c r="F652" s="18"/>
      <c r="G652" s="18"/>
      <c r="H652" s="18"/>
      <c r="I652" s="18"/>
      <c r="J652" s="18"/>
    </row>
    <row r="653" spans="2:10" ht="12.75" customHeight="1" x14ac:dyDescent="0.2">
      <c r="B653" s="16"/>
      <c r="C653" s="17"/>
      <c r="D653" s="16"/>
      <c r="E653" s="18"/>
      <c r="F653" s="18"/>
      <c r="G653" s="18"/>
      <c r="H653" s="18"/>
      <c r="I653" s="18"/>
      <c r="J653" s="18"/>
    </row>
    <row r="654" spans="2:10" ht="12.75" customHeight="1" x14ac:dyDescent="0.2">
      <c r="B654" s="16"/>
      <c r="C654" s="17"/>
      <c r="D654" s="16"/>
      <c r="E654" s="18"/>
      <c r="F654" s="18"/>
      <c r="G654" s="18"/>
      <c r="H654" s="18"/>
      <c r="I654" s="18"/>
      <c r="J654" s="18"/>
    </row>
    <row r="655" spans="2:10" ht="12.75" customHeight="1" x14ac:dyDescent="0.2">
      <c r="B655" s="16"/>
      <c r="C655" s="17"/>
      <c r="D655" s="16"/>
      <c r="E655" s="18"/>
      <c r="F655" s="18"/>
      <c r="G655" s="18"/>
      <c r="H655" s="18"/>
      <c r="I655" s="18"/>
      <c r="J655" s="18"/>
    </row>
    <row r="656" spans="2:10" ht="12.75" customHeight="1" x14ac:dyDescent="0.2">
      <c r="B656" s="16"/>
      <c r="C656" s="17"/>
      <c r="D656" s="16"/>
      <c r="E656" s="18"/>
      <c r="F656" s="18"/>
      <c r="G656" s="18"/>
      <c r="H656" s="18"/>
      <c r="I656" s="18"/>
      <c r="J656" s="18"/>
    </row>
    <row r="657" spans="2:10" ht="12.75" customHeight="1" x14ac:dyDescent="0.2">
      <c r="B657" s="16"/>
      <c r="C657" s="17"/>
      <c r="D657" s="16"/>
      <c r="E657" s="18"/>
      <c r="F657" s="18"/>
      <c r="G657" s="18"/>
      <c r="H657" s="18"/>
      <c r="I657" s="18"/>
      <c r="J657" s="18"/>
    </row>
    <row r="658" spans="2:10" ht="12.75" customHeight="1" x14ac:dyDescent="0.2">
      <c r="B658" s="16"/>
      <c r="C658" s="17"/>
      <c r="D658" s="16"/>
      <c r="E658" s="18"/>
      <c r="F658" s="18"/>
      <c r="G658" s="18"/>
      <c r="H658" s="18"/>
      <c r="I658" s="18"/>
      <c r="J658" s="18"/>
    </row>
    <row r="659" spans="2:10" ht="12.75" customHeight="1" x14ac:dyDescent="0.2">
      <c r="B659" s="16"/>
      <c r="C659" s="17"/>
      <c r="D659" s="16"/>
      <c r="E659" s="18"/>
      <c r="F659" s="18"/>
      <c r="G659" s="18"/>
      <c r="H659" s="18"/>
      <c r="I659" s="18"/>
      <c r="J659" s="18"/>
    </row>
    <row r="660" spans="2:10" ht="12.75" customHeight="1" x14ac:dyDescent="0.2">
      <c r="B660" s="16"/>
      <c r="C660" s="17"/>
      <c r="D660" s="16"/>
      <c r="E660" s="18"/>
      <c r="F660" s="18"/>
      <c r="G660" s="18"/>
      <c r="H660" s="18"/>
      <c r="I660" s="18"/>
      <c r="J660" s="18"/>
    </row>
    <row r="661" spans="2:10" ht="12.75" customHeight="1" x14ac:dyDescent="0.2">
      <c r="B661" s="16"/>
      <c r="C661" s="17"/>
      <c r="D661" s="16"/>
      <c r="E661" s="18"/>
      <c r="F661" s="18"/>
      <c r="G661" s="18"/>
      <c r="H661" s="18"/>
      <c r="I661" s="18"/>
      <c r="J661" s="18"/>
    </row>
    <row r="662" spans="2:10" ht="12.75" customHeight="1" x14ac:dyDescent="0.2">
      <c r="B662" s="16"/>
      <c r="C662" s="17"/>
      <c r="D662" s="16"/>
      <c r="E662" s="18"/>
      <c r="F662" s="18"/>
      <c r="G662" s="18"/>
      <c r="H662" s="18"/>
      <c r="I662" s="18"/>
      <c r="J662" s="18"/>
    </row>
    <row r="663" spans="2:10" ht="12.75" customHeight="1" x14ac:dyDescent="0.2">
      <c r="B663" s="16"/>
      <c r="C663" s="17"/>
      <c r="D663" s="16"/>
      <c r="E663" s="18"/>
      <c r="F663" s="18"/>
      <c r="G663" s="18"/>
      <c r="H663" s="18"/>
      <c r="I663" s="18"/>
      <c r="J663" s="18"/>
    </row>
    <row r="664" spans="2:10" ht="12.75" customHeight="1" x14ac:dyDescent="0.2">
      <c r="B664" s="16"/>
      <c r="C664" s="17"/>
      <c r="D664" s="16"/>
      <c r="E664" s="18"/>
      <c r="F664" s="18"/>
      <c r="G664" s="18"/>
      <c r="H664" s="18"/>
      <c r="I664" s="18"/>
      <c r="J664" s="18"/>
    </row>
    <row r="665" spans="2:10" ht="12.75" customHeight="1" x14ac:dyDescent="0.2">
      <c r="B665" s="16"/>
      <c r="C665" s="17"/>
      <c r="D665" s="16"/>
      <c r="E665" s="18"/>
      <c r="F665" s="18"/>
      <c r="G665" s="18"/>
      <c r="H665" s="18"/>
      <c r="I665" s="18"/>
      <c r="J665" s="18"/>
    </row>
    <row r="666" spans="2:10" ht="12.75" customHeight="1" x14ac:dyDescent="0.2">
      <c r="B666" s="16"/>
      <c r="C666" s="17"/>
      <c r="D666" s="16"/>
      <c r="E666" s="18"/>
      <c r="F666" s="18"/>
      <c r="G666" s="18"/>
      <c r="H666" s="18"/>
      <c r="I666" s="18"/>
      <c r="J666" s="18"/>
    </row>
    <row r="667" spans="2:10" ht="12.75" customHeight="1" x14ac:dyDescent="0.2">
      <c r="B667" s="16"/>
      <c r="C667" s="17"/>
      <c r="D667" s="16"/>
      <c r="E667" s="18"/>
      <c r="F667" s="18"/>
      <c r="G667" s="18"/>
      <c r="H667" s="18"/>
      <c r="I667" s="18"/>
      <c r="J667" s="18"/>
    </row>
    <row r="668" spans="2:10" ht="12.75" customHeight="1" x14ac:dyDescent="0.2">
      <c r="B668" s="16"/>
      <c r="C668" s="17"/>
      <c r="D668" s="16"/>
      <c r="E668" s="18"/>
      <c r="F668" s="18"/>
      <c r="G668" s="18"/>
      <c r="H668" s="18"/>
      <c r="I668" s="18"/>
      <c r="J668" s="18"/>
    </row>
    <row r="669" spans="2:10" ht="12.75" customHeight="1" x14ac:dyDescent="0.2">
      <c r="B669" s="16"/>
      <c r="C669" s="17"/>
      <c r="D669" s="16"/>
      <c r="E669" s="18"/>
      <c r="F669" s="18"/>
      <c r="G669" s="18"/>
      <c r="H669" s="18"/>
      <c r="I669" s="18"/>
      <c r="J669" s="18"/>
    </row>
    <row r="670" spans="2:10" ht="12.75" customHeight="1" x14ac:dyDescent="0.2">
      <c r="B670" s="16"/>
      <c r="C670" s="17"/>
      <c r="D670" s="16"/>
      <c r="E670" s="18"/>
      <c r="F670" s="18"/>
      <c r="G670" s="18"/>
      <c r="H670" s="18"/>
      <c r="I670" s="18"/>
      <c r="J670" s="18"/>
    </row>
    <row r="671" spans="2:10" ht="12.75" customHeight="1" x14ac:dyDescent="0.2">
      <c r="B671" s="16"/>
      <c r="C671" s="17"/>
      <c r="D671" s="16"/>
      <c r="E671" s="18"/>
      <c r="F671" s="18"/>
      <c r="G671" s="18"/>
      <c r="H671" s="18"/>
      <c r="I671" s="18"/>
      <c r="J671" s="18"/>
    </row>
    <row r="672" spans="2:10" ht="12.75" customHeight="1" x14ac:dyDescent="0.2">
      <c r="B672" s="16"/>
      <c r="C672" s="17"/>
      <c r="D672" s="16"/>
      <c r="E672" s="18"/>
      <c r="F672" s="18"/>
      <c r="G672" s="18"/>
      <c r="H672" s="18"/>
      <c r="I672" s="18"/>
      <c r="J672" s="18"/>
    </row>
    <row r="673" spans="2:10" ht="12.75" customHeight="1" x14ac:dyDescent="0.2">
      <c r="B673" s="16"/>
      <c r="C673" s="17"/>
      <c r="D673" s="16"/>
      <c r="E673" s="18"/>
      <c r="F673" s="18"/>
      <c r="G673" s="18"/>
      <c r="H673" s="18"/>
      <c r="I673" s="18"/>
      <c r="J673" s="18"/>
    </row>
    <row r="674" spans="2:10" ht="12.75" customHeight="1" x14ac:dyDescent="0.2">
      <c r="B674" s="16"/>
      <c r="C674" s="17"/>
      <c r="D674" s="16"/>
      <c r="E674" s="18"/>
      <c r="F674" s="18"/>
      <c r="G674" s="18"/>
      <c r="H674" s="18"/>
      <c r="I674" s="18"/>
      <c r="J674" s="18"/>
    </row>
    <row r="675" spans="2:10" ht="12.75" customHeight="1" x14ac:dyDescent="0.2">
      <c r="B675" s="16"/>
      <c r="C675" s="17"/>
      <c r="D675" s="16"/>
      <c r="E675" s="18"/>
      <c r="F675" s="18"/>
      <c r="G675" s="18"/>
      <c r="H675" s="18"/>
      <c r="I675" s="18"/>
      <c r="J675" s="18"/>
    </row>
    <row r="676" spans="2:10" ht="12.75" customHeight="1" x14ac:dyDescent="0.2">
      <c r="B676" s="16"/>
      <c r="C676" s="17"/>
      <c r="D676" s="16"/>
      <c r="E676" s="18"/>
      <c r="F676" s="18"/>
      <c r="G676" s="18"/>
      <c r="H676" s="18"/>
      <c r="I676" s="18"/>
      <c r="J676" s="18"/>
    </row>
    <row r="677" spans="2:10" ht="12.75" customHeight="1" x14ac:dyDescent="0.2">
      <c r="B677" s="16"/>
      <c r="C677" s="17"/>
      <c r="D677" s="16"/>
      <c r="E677" s="18"/>
      <c r="F677" s="18"/>
      <c r="G677" s="18"/>
      <c r="H677" s="18"/>
      <c r="I677" s="18"/>
      <c r="J677" s="18"/>
    </row>
    <row r="678" spans="2:10" ht="12.75" customHeight="1" x14ac:dyDescent="0.2">
      <c r="B678" s="16"/>
      <c r="C678" s="17"/>
      <c r="D678" s="16"/>
      <c r="E678" s="18"/>
      <c r="F678" s="18"/>
      <c r="G678" s="18"/>
      <c r="H678" s="18"/>
      <c r="I678" s="18"/>
      <c r="J678" s="18"/>
    </row>
    <row r="679" spans="2:10" ht="12.75" customHeight="1" x14ac:dyDescent="0.2">
      <c r="B679" s="16"/>
      <c r="C679" s="17"/>
      <c r="D679" s="16"/>
      <c r="E679" s="18"/>
      <c r="F679" s="18"/>
      <c r="G679" s="18"/>
      <c r="H679" s="18"/>
      <c r="I679" s="18"/>
      <c r="J679" s="18"/>
    </row>
    <row r="680" spans="2:10" ht="12.75" customHeight="1" x14ac:dyDescent="0.2">
      <c r="B680" s="16"/>
      <c r="C680" s="17"/>
      <c r="D680" s="16"/>
      <c r="E680" s="18"/>
      <c r="F680" s="18"/>
      <c r="G680" s="18"/>
      <c r="H680" s="18"/>
      <c r="I680" s="18"/>
      <c r="J680" s="18"/>
    </row>
    <row r="681" spans="2:10" ht="12.75" customHeight="1" x14ac:dyDescent="0.2">
      <c r="B681" s="16"/>
      <c r="C681" s="17"/>
      <c r="D681" s="16"/>
      <c r="E681" s="18"/>
      <c r="F681" s="18"/>
      <c r="G681" s="18"/>
      <c r="H681" s="18"/>
      <c r="I681" s="18"/>
      <c r="J681" s="18"/>
    </row>
    <row r="682" spans="2:10" ht="12.75" customHeight="1" x14ac:dyDescent="0.2">
      <c r="B682" s="16"/>
      <c r="C682" s="17"/>
      <c r="D682" s="16"/>
      <c r="E682" s="18"/>
      <c r="F682" s="18"/>
      <c r="G682" s="18"/>
      <c r="H682" s="18"/>
      <c r="I682" s="18"/>
      <c r="J682" s="18"/>
    </row>
    <row r="683" spans="2:10" ht="12.75" customHeight="1" x14ac:dyDescent="0.2">
      <c r="B683" s="16"/>
      <c r="C683" s="17"/>
      <c r="D683" s="16"/>
      <c r="E683" s="18"/>
      <c r="F683" s="18"/>
      <c r="G683" s="18"/>
      <c r="H683" s="18"/>
      <c r="I683" s="18"/>
      <c r="J683" s="18"/>
    </row>
    <row r="684" spans="2:10" ht="12.75" customHeight="1" x14ac:dyDescent="0.2">
      <c r="B684" s="16"/>
      <c r="C684" s="17"/>
      <c r="D684" s="16"/>
      <c r="E684" s="18"/>
      <c r="F684" s="18"/>
      <c r="G684" s="18"/>
      <c r="H684" s="18"/>
      <c r="I684" s="18"/>
      <c r="J684" s="18"/>
    </row>
    <row r="685" spans="2:10" ht="12.75" customHeight="1" x14ac:dyDescent="0.2">
      <c r="B685" s="16"/>
      <c r="C685" s="17"/>
      <c r="D685" s="16"/>
      <c r="E685" s="18"/>
      <c r="F685" s="18"/>
      <c r="G685" s="18"/>
      <c r="H685" s="18"/>
      <c r="I685" s="18"/>
      <c r="J685" s="18"/>
    </row>
    <row r="686" spans="2:10" ht="12.75" customHeight="1" x14ac:dyDescent="0.2">
      <c r="B686" s="16"/>
      <c r="C686" s="17"/>
      <c r="D686" s="16"/>
      <c r="E686" s="18"/>
      <c r="F686" s="18"/>
      <c r="G686" s="18"/>
      <c r="H686" s="18"/>
      <c r="I686" s="18"/>
      <c r="J686" s="18"/>
    </row>
    <row r="687" spans="2:10" ht="12.75" customHeight="1" x14ac:dyDescent="0.2">
      <c r="B687" s="16"/>
      <c r="C687" s="17"/>
      <c r="D687" s="16"/>
      <c r="E687" s="18"/>
      <c r="F687" s="18"/>
      <c r="G687" s="18"/>
      <c r="H687" s="18"/>
      <c r="I687" s="18"/>
      <c r="J687" s="18"/>
    </row>
    <row r="688" spans="2:10" ht="12.75" customHeight="1" x14ac:dyDescent="0.2">
      <c r="B688" s="16"/>
      <c r="C688" s="17"/>
      <c r="D688" s="16"/>
      <c r="E688" s="18"/>
      <c r="F688" s="18"/>
      <c r="G688" s="18"/>
      <c r="H688" s="18"/>
      <c r="I688" s="18"/>
      <c r="J688" s="18"/>
    </row>
    <row r="689" spans="2:10" ht="12.75" customHeight="1" x14ac:dyDescent="0.2">
      <c r="B689" s="16"/>
      <c r="C689" s="17"/>
      <c r="D689" s="16"/>
      <c r="E689" s="18"/>
      <c r="F689" s="18"/>
      <c r="G689" s="18"/>
      <c r="H689" s="18"/>
      <c r="I689" s="18"/>
      <c r="J689" s="18"/>
    </row>
    <row r="690" spans="2:10" ht="12.75" customHeight="1" x14ac:dyDescent="0.2">
      <c r="B690" s="16"/>
      <c r="C690" s="17"/>
      <c r="D690" s="16"/>
      <c r="E690" s="18"/>
      <c r="F690" s="18"/>
      <c r="G690" s="18"/>
      <c r="H690" s="18"/>
      <c r="I690" s="18"/>
      <c r="J690" s="18"/>
    </row>
    <row r="691" spans="2:10" ht="12.75" customHeight="1" x14ac:dyDescent="0.2">
      <c r="B691" s="16"/>
      <c r="C691" s="17"/>
      <c r="D691" s="16"/>
      <c r="E691" s="18"/>
      <c r="F691" s="18"/>
      <c r="G691" s="18"/>
      <c r="H691" s="18"/>
      <c r="I691" s="18"/>
      <c r="J691" s="18"/>
    </row>
    <row r="692" spans="2:10" ht="12.75" customHeight="1" x14ac:dyDescent="0.2">
      <c r="B692" s="16"/>
      <c r="C692" s="17"/>
      <c r="D692" s="16"/>
      <c r="E692" s="18"/>
      <c r="F692" s="18"/>
      <c r="G692" s="18"/>
      <c r="H692" s="18"/>
      <c r="I692" s="18"/>
      <c r="J692" s="18"/>
    </row>
    <row r="693" spans="2:10" ht="12.75" customHeight="1" x14ac:dyDescent="0.2">
      <c r="B693" s="16"/>
      <c r="C693" s="17"/>
      <c r="D693" s="16"/>
      <c r="E693" s="18"/>
      <c r="F693" s="18"/>
      <c r="G693" s="18"/>
      <c r="H693" s="18"/>
      <c r="I693" s="18"/>
      <c r="J693" s="18"/>
    </row>
    <row r="694" spans="2:10" ht="12.75" customHeight="1" x14ac:dyDescent="0.2">
      <c r="B694" s="16"/>
      <c r="C694" s="17"/>
      <c r="D694" s="16"/>
      <c r="E694" s="18"/>
      <c r="F694" s="18"/>
      <c r="G694" s="18"/>
      <c r="H694" s="18"/>
      <c r="I694" s="18"/>
      <c r="J694" s="18"/>
    </row>
    <row r="695" spans="2:10" ht="12.75" customHeight="1" x14ac:dyDescent="0.2">
      <c r="B695" s="16"/>
      <c r="C695" s="17"/>
      <c r="D695" s="16"/>
      <c r="E695" s="18"/>
      <c r="F695" s="18"/>
      <c r="G695" s="18"/>
      <c r="H695" s="18"/>
      <c r="I695" s="18"/>
      <c r="J695" s="18"/>
    </row>
    <row r="696" spans="2:10" ht="12.75" customHeight="1" x14ac:dyDescent="0.2">
      <c r="B696" s="16"/>
      <c r="C696" s="17"/>
      <c r="D696" s="16"/>
      <c r="E696" s="18"/>
      <c r="F696" s="18"/>
      <c r="G696" s="18"/>
      <c r="H696" s="18"/>
      <c r="I696" s="18"/>
      <c r="J696" s="18"/>
    </row>
    <row r="697" spans="2:10" ht="12.75" customHeight="1" x14ac:dyDescent="0.2">
      <c r="B697" s="16"/>
      <c r="C697" s="17"/>
      <c r="D697" s="16"/>
      <c r="E697" s="18"/>
      <c r="F697" s="18"/>
      <c r="G697" s="18"/>
      <c r="H697" s="18"/>
      <c r="I697" s="18"/>
      <c r="J697" s="18"/>
    </row>
    <row r="698" spans="2:10" ht="12.75" customHeight="1" x14ac:dyDescent="0.2">
      <c r="B698" s="16"/>
      <c r="C698" s="17"/>
      <c r="D698" s="16"/>
      <c r="E698" s="18"/>
      <c r="F698" s="18"/>
      <c r="G698" s="18"/>
      <c r="H698" s="18"/>
      <c r="I698" s="18"/>
      <c r="J698" s="18"/>
    </row>
    <row r="699" spans="2:10" ht="12.75" customHeight="1" x14ac:dyDescent="0.2">
      <c r="B699" s="16"/>
      <c r="C699" s="17"/>
      <c r="D699" s="16"/>
      <c r="E699" s="18"/>
      <c r="F699" s="18"/>
      <c r="G699" s="18"/>
      <c r="H699" s="18"/>
      <c r="I699" s="18"/>
      <c r="J699" s="18"/>
    </row>
    <row r="700" spans="2:10" ht="12.75" customHeight="1" x14ac:dyDescent="0.2">
      <c r="B700" s="16"/>
      <c r="C700" s="17"/>
      <c r="D700" s="16"/>
      <c r="E700" s="18"/>
      <c r="F700" s="18"/>
      <c r="G700" s="18"/>
      <c r="H700" s="18"/>
      <c r="I700" s="18"/>
      <c r="J700" s="18"/>
    </row>
    <row r="701" spans="2:10" ht="12.75" customHeight="1" x14ac:dyDescent="0.2">
      <c r="B701" s="16"/>
      <c r="C701" s="17"/>
      <c r="D701" s="16"/>
      <c r="E701" s="18"/>
      <c r="F701" s="18"/>
      <c r="G701" s="18"/>
      <c r="H701" s="18"/>
      <c r="I701" s="18"/>
      <c r="J701" s="18"/>
    </row>
    <row r="702" spans="2:10" ht="12.75" customHeight="1" x14ac:dyDescent="0.2">
      <c r="B702" s="16"/>
      <c r="C702" s="17"/>
      <c r="D702" s="16"/>
      <c r="E702" s="18"/>
      <c r="F702" s="18"/>
      <c r="G702" s="18"/>
      <c r="H702" s="18"/>
      <c r="I702" s="18"/>
      <c r="J702" s="18"/>
    </row>
    <row r="703" spans="2:10" ht="12.75" customHeight="1" x14ac:dyDescent="0.2">
      <c r="B703" s="16"/>
      <c r="C703" s="17"/>
      <c r="D703" s="16"/>
      <c r="E703" s="18"/>
      <c r="F703" s="18"/>
      <c r="G703" s="18"/>
      <c r="H703" s="18"/>
      <c r="I703" s="18"/>
      <c r="J703" s="18"/>
    </row>
    <row r="704" spans="2:10" ht="12.75" customHeight="1" x14ac:dyDescent="0.2">
      <c r="B704" s="16"/>
      <c r="C704" s="17"/>
      <c r="D704" s="16"/>
      <c r="E704" s="18"/>
      <c r="F704" s="18"/>
      <c r="G704" s="18"/>
      <c r="H704" s="18"/>
      <c r="I704" s="18"/>
      <c r="J704" s="18"/>
    </row>
    <row r="705" spans="2:10" ht="12.75" customHeight="1" x14ac:dyDescent="0.2">
      <c r="B705" s="16"/>
      <c r="C705" s="17"/>
      <c r="D705" s="16"/>
      <c r="E705" s="18"/>
      <c r="F705" s="18"/>
      <c r="G705" s="18"/>
      <c r="H705" s="18"/>
      <c r="I705" s="18"/>
      <c r="J705" s="18"/>
    </row>
    <row r="706" spans="2:10" ht="12.75" customHeight="1" x14ac:dyDescent="0.2">
      <c r="B706" s="16"/>
      <c r="C706" s="17"/>
      <c r="D706" s="16"/>
      <c r="E706" s="18"/>
      <c r="F706" s="18"/>
      <c r="G706" s="18"/>
      <c r="H706" s="18"/>
      <c r="I706" s="18"/>
      <c r="J706" s="18"/>
    </row>
    <row r="707" spans="2:10" ht="12.75" customHeight="1" x14ac:dyDescent="0.2">
      <c r="B707" s="16"/>
      <c r="C707" s="17"/>
      <c r="D707" s="16"/>
      <c r="E707" s="18"/>
      <c r="F707" s="18"/>
      <c r="G707" s="18"/>
      <c r="H707" s="18"/>
      <c r="I707" s="18"/>
      <c r="J707" s="18"/>
    </row>
    <row r="708" spans="2:10" ht="12.75" customHeight="1" x14ac:dyDescent="0.2">
      <c r="B708" s="16"/>
      <c r="C708" s="17"/>
      <c r="D708" s="16"/>
      <c r="E708" s="18"/>
      <c r="F708" s="18"/>
      <c r="G708" s="18"/>
      <c r="H708" s="18"/>
      <c r="I708" s="18"/>
      <c r="J708" s="18"/>
    </row>
    <row r="709" spans="2:10" ht="12.75" customHeight="1" x14ac:dyDescent="0.2">
      <c r="B709" s="16"/>
      <c r="C709" s="17"/>
      <c r="D709" s="16"/>
      <c r="E709" s="18"/>
      <c r="F709" s="18"/>
      <c r="G709" s="18"/>
      <c r="H709" s="18"/>
      <c r="I709" s="18"/>
      <c r="J709" s="18"/>
    </row>
    <row r="710" spans="2:10" ht="12.75" customHeight="1" x14ac:dyDescent="0.2">
      <c r="B710" s="16"/>
      <c r="C710" s="17"/>
      <c r="D710" s="16"/>
      <c r="E710" s="18"/>
      <c r="F710" s="18"/>
      <c r="G710" s="18"/>
      <c r="H710" s="18"/>
      <c r="I710" s="18"/>
      <c r="J710" s="18"/>
    </row>
    <row r="711" spans="2:10" ht="12.75" customHeight="1" x14ac:dyDescent="0.2">
      <c r="B711" s="16"/>
      <c r="C711" s="17"/>
      <c r="D711" s="16"/>
      <c r="E711" s="18"/>
      <c r="F711" s="18"/>
      <c r="G711" s="18"/>
      <c r="H711" s="18"/>
      <c r="I711" s="18"/>
      <c r="J711" s="18"/>
    </row>
    <row r="712" spans="2:10" ht="12.75" customHeight="1" x14ac:dyDescent="0.2">
      <c r="B712" s="16"/>
      <c r="C712" s="17"/>
      <c r="D712" s="16"/>
      <c r="E712" s="18"/>
      <c r="F712" s="18"/>
      <c r="G712" s="18"/>
      <c r="H712" s="18"/>
      <c r="I712" s="18"/>
      <c r="J712" s="18"/>
    </row>
    <row r="713" spans="2:10" ht="12.75" customHeight="1" x14ac:dyDescent="0.2">
      <c r="B713" s="16"/>
      <c r="C713" s="17"/>
      <c r="D713" s="16"/>
      <c r="E713" s="18"/>
      <c r="F713" s="18"/>
      <c r="G713" s="18"/>
      <c r="H713" s="18"/>
      <c r="I713" s="18"/>
      <c r="J713" s="18"/>
    </row>
    <row r="714" spans="2:10" ht="12.75" customHeight="1" x14ac:dyDescent="0.2">
      <c r="B714" s="16"/>
      <c r="C714" s="17"/>
      <c r="D714" s="16"/>
      <c r="E714" s="18"/>
      <c r="F714" s="18"/>
      <c r="G714" s="18"/>
      <c r="H714" s="18"/>
      <c r="I714" s="18"/>
      <c r="J714" s="18"/>
    </row>
    <row r="715" spans="2:10" ht="12.75" customHeight="1" x14ac:dyDescent="0.2">
      <c r="B715" s="16"/>
      <c r="C715" s="17"/>
      <c r="D715" s="16"/>
      <c r="E715" s="18"/>
      <c r="F715" s="18"/>
      <c r="G715" s="18"/>
      <c r="H715" s="18"/>
      <c r="I715" s="18"/>
      <c r="J715" s="18"/>
    </row>
    <row r="716" spans="2:10" ht="12.75" customHeight="1" x14ac:dyDescent="0.2">
      <c r="B716" s="16"/>
      <c r="C716" s="17"/>
      <c r="D716" s="16"/>
      <c r="E716" s="18"/>
      <c r="F716" s="18"/>
      <c r="G716" s="18"/>
      <c r="H716" s="18"/>
      <c r="I716" s="18"/>
      <c r="J716" s="18"/>
    </row>
    <row r="717" spans="2:10" ht="12.75" customHeight="1" x14ac:dyDescent="0.2">
      <c r="B717" s="16"/>
      <c r="C717" s="17"/>
      <c r="D717" s="16"/>
      <c r="E717" s="18"/>
      <c r="F717" s="18"/>
      <c r="G717" s="18"/>
      <c r="H717" s="18"/>
      <c r="I717" s="18"/>
      <c r="J717" s="18"/>
    </row>
    <row r="718" spans="2:10" ht="12.75" customHeight="1" x14ac:dyDescent="0.2">
      <c r="B718" s="16"/>
      <c r="C718" s="17"/>
      <c r="D718" s="16"/>
      <c r="E718" s="18"/>
      <c r="F718" s="18"/>
      <c r="G718" s="18"/>
      <c r="H718" s="18"/>
      <c r="I718" s="18"/>
      <c r="J718" s="18"/>
    </row>
    <row r="719" spans="2:10" ht="12.75" customHeight="1" x14ac:dyDescent="0.2">
      <c r="B719" s="16"/>
      <c r="C719" s="17"/>
      <c r="D719" s="16"/>
      <c r="E719" s="18"/>
      <c r="F719" s="18"/>
      <c r="G719" s="18"/>
      <c r="H719" s="18"/>
      <c r="I719" s="18"/>
      <c r="J719" s="18"/>
    </row>
    <row r="720" spans="2:10" ht="12.75" customHeight="1" x14ac:dyDescent="0.2">
      <c r="B720" s="16"/>
      <c r="C720" s="17"/>
      <c r="D720" s="16"/>
      <c r="E720" s="18"/>
      <c r="F720" s="18"/>
      <c r="G720" s="18"/>
      <c r="H720" s="18"/>
      <c r="I720" s="18"/>
      <c r="J720" s="18"/>
    </row>
    <row r="721" spans="2:10" ht="12.75" customHeight="1" x14ac:dyDescent="0.2">
      <c r="B721" s="16"/>
      <c r="C721" s="17"/>
      <c r="D721" s="16"/>
      <c r="E721" s="18"/>
      <c r="F721" s="18"/>
      <c r="G721" s="18"/>
      <c r="H721" s="18"/>
      <c r="I721" s="18"/>
      <c r="J721" s="18"/>
    </row>
    <row r="722" spans="2:10" ht="12.75" customHeight="1" x14ac:dyDescent="0.2">
      <c r="B722" s="16"/>
      <c r="C722" s="17"/>
      <c r="D722" s="16"/>
      <c r="E722" s="18"/>
      <c r="F722" s="18"/>
      <c r="G722" s="18"/>
      <c r="H722" s="18"/>
      <c r="I722" s="18"/>
      <c r="J722" s="18"/>
    </row>
    <row r="723" spans="2:10" ht="12.75" customHeight="1" x14ac:dyDescent="0.2">
      <c r="B723" s="16"/>
      <c r="C723" s="17"/>
      <c r="D723" s="16"/>
      <c r="E723" s="18"/>
      <c r="F723" s="18"/>
      <c r="G723" s="18"/>
      <c r="H723" s="18"/>
      <c r="I723" s="18"/>
      <c r="J723" s="18"/>
    </row>
    <row r="724" spans="2:10" ht="12.75" customHeight="1" x14ac:dyDescent="0.2">
      <c r="B724" s="16"/>
      <c r="C724" s="17"/>
      <c r="D724" s="16"/>
      <c r="E724" s="18"/>
      <c r="F724" s="18"/>
      <c r="G724" s="18"/>
      <c r="H724" s="18"/>
      <c r="I724" s="18"/>
      <c r="J724" s="18"/>
    </row>
    <row r="725" spans="2:10" ht="12.75" customHeight="1" x14ac:dyDescent="0.2">
      <c r="B725" s="16"/>
      <c r="C725" s="17"/>
      <c r="D725" s="16"/>
      <c r="E725" s="18"/>
      <c r="F725" s="18"/>
      <c r="G725" s="18"/>
      <c r="H725" s="18"/>
      <c r="I725" s="18"/>
      <c r="J725" s="18"/>
    </row>
    <row r="726" spans="2:10" ht="12.75" customHeight="1" x14ac:dyDescent="0.2">
      <c r="B726" s="16"/>
      <c r="C726" s="17"/>
      <c r="D726" s="16"/>
      <c r="E726" s="18"/>
      <c r="F726" s="18"/>
      <c r="G726" s="18"/>
      <c r="H726" s="18"/>
      <c r="I726" s="18"/>
      <c r="J726" s="18"/>
    </row>
    <row r="727" spans="2:10" ht="12.75" customHeight="1" x14ac:dyDescent="0.2">
      <c r="B727" s="16"/>
      <c r="C727" s="17"/>
      <c r="D727" s="16"/>
      <c r="E727" s="18"/>
      <c r="F727" s="18"/>
      <c r="G727" s="18"/>
      <c r="H727" s="18"/>
      <c r="I727" s="18"/>
      <c r="J727" s="18"/>
    </row>
    <row r="728" spans="2:10" ht="12.75" customHeight="1" x14ac:dyDescent="0.2">
      <c r="B728" s="16"/>
      <c r="C728" s="17"/>
      <c r="D728" s="16"/>
      <c r="E728" s="18"/>
      <c r="F728" s="18"/>
      <c r="G728" s="18"/>
      <c r="H728" s="18"/>
      <c r="I728" s="18"/>
      <c r="J728" s="18"/>
    </row>
    <row r="729" spans="2:10" ht="12.75" customHeight="1" x14ac:dyDescent="0.2">
      <c r="B729" s="16"/>
      <c r="C729" s="17"/>
      <c r="D729" s="16"/>
      <c r="E729" s="18"/>
      <c r="F729" s="18"/>
      <c r="G729" s="18"/>
      <c r="H729" s="18"/>
      <c r="I729" s="18"/>
      <c r="J729" s="18"/>
    </row>
    <row r="730" spans="2:10" ht="12.75" customHeight="1" x14ac:dyDescent="0.2">
      <c r="B730" s="16"/>
      <c r="C730" s="17"/>
      <c r="D730" s="16"/>
      <c r="E730" s="18"/>
      <c r="F730" s="18"/>
      <c r="G730" s="18"/>
      <c r="H730" s="18"/>
      <c r="I730" s="18"/>
      <c r="J730" s="18"/>
    </row>
    <row r="731" spans="2:10" ht="12.75" customHeight="1" x14ac:dyDescent="0.2">
      <c r="B731" s="16"/>
      <c r="C731" s="17"/>
      <c r="D731" s="16"/>
      <c r="E731" s="18"/>
      <c r="F731" s="18"/>
      <c r="G731" s="18"/>
      <c r="H731" s="18"/>
      <c r="I731" s="18"/>
      <c r="J731" s="18"/>
    </row>
    <row r="732" spans="2:10" ht="12.75" customHeight="1" x14ac:dyDescent="0.2">
      <c r="B732" s="16"/>
      <c r="C732" s="17"/>
      <c r="D732" s="16"/>
      <c r="E732" s="18"/>
      <c r="F732" s="18"/>
      <c r="G732" s="18"/>
      <c r="H732" s="18"/>
      <c r="I732" s="18"/>
      <c r="J732" s="18"/>
    </row>
    <row r="733" spans="2:10" ht="12.75" customHeight="1" x14ac:dyDescent="0.2">
      <c r="B733" s="16"/>
      <c r="C733" s="17"/>
      <c r="D733" s="16"/>
      <c r="E733" s="18"/>
      <c r="F733" s="18"/>
      <c r="G733" s="18"/>
      <c r="H733" s="18"/>
      <c r="I733" s="18"/>
      <c r="J733" s="18"/>
    </row>
    <row r="734" spans="2:10" ht="12.75" customHeight="1" x14ac:dyDescent="0.2">
      <c r="B734" s="16"/>
      <c r="C734" s="17"/>
      <c r="D734" s="16"/>
      <c r="E734" s="18"/>
      <c r="F734" s="18"/>
      <c r="G734" s="18"/>
      <c r="H734" s="18"/>
      <c r="I734" s="18"/>
      <c r="J734" s="18"/>
    </row>
    <row r="735" spans="2:10" ht="12.75" customHeight="1" x14ac:dyDescent="0.2">
      <c r="B735" s="16"/>
      <c r="C735" s="17"/>
      <c r="D735" s="16"/>
      <c r="E735" s="18"/>
      <c r="F735" s="18"/>
      <c r="G735" s="18"/>
      <c r="H735" s="18"/>
      <c r="I735" s="18"/>
      <c r="J735" s="18"/>
    </row>
    <row r="736" spans="2:10" ht="12.75" customHeight="1" x14ac:dyDescent="0.2">
      <c r="B736" s="16"/>
      <c r="C736" s="17"/>
      <c r="D736" s="16"/>
      <c r="E736" s="18"/>
      <c r="F736" s="18"/>
      <c r="G736" s="18"/>
      <c r="H736" s="18"/>
      <c r="I736" s="18"/>
      <c r="J736" s="18"/>
    </row>
    <row r="737" spans="2:10" ht="12.75" customHeight="1" x14ac:dyDescent="0.2">
      <c r="B737" s="16"/>
      <c r="C737" s="17"/>
      <c r="D737" s="16"/>
      <c r="E737" s="18"/>
      <c r="F737" s="18"/>
      <c r="G737" s="18"/>
      <c r="H737" s="18"/>
      <c r="I737" s="18"/>
      <c r="J737" s="18"/>
    </row>
    <row r="738" spans="2:10" ht="12.75" customHeight="1" x14ac:dyDescent="0.2">
      <c r="B738" s="16"/>
      <c r="C738" s="17"/>
      <c r="D738" s="16"/>
      <c r="E738" s="18"/>
      <c r="F738" s="18"/>
      <c r="G738" s="18"/>
      <c r="H738" s="18"/>
      <c r="I738" s="18"/>
      <c r="J738" s="18"/>
    </row>
    <row r="739" spans="2:10" ht="12.75" customHeight="1" x14ac:dyDescent="0.2">
      <c r="B739" s="16"/>
      <c r="C739" s="17"/>
      <c r="D739" s="16"/>
      <c r="E739" s="18"/>
      <c r="F739" s="18"/>
      <c r="G739" s="18"/>
      <c r="H739" s="18"/>
      <c r="I739" s="18"/>
      <c r="J739" s="18"/>
    </row>
    <row r="740" spans="2:10" ht="12.75" customHeight="1" x14ac:dyDescent="0.2">
      <c r="B740" s="16"/>
      <c r="C740" s="17"/>
      <c r="D740" s="16"/>
      <c r="E740" s="18"/>
      <c r="F740" s="18"/>
      <c r="G740" s="18"/>
      <c r="H740" s="18"/>
      <c r="I740" s="18"/>
      <c r="J740" s="18"/>
    </row>
    <row r="741" spans="2:10" ht="12.75" customHeight="1" x14ac:dyDescent="0.2">
      <c r="B741" s="16"/>
      <c r="C741" s="17"/>
      <c r="D741" s="16"/>
      <c r="E741" s="18"/>
      <c r="F741" s="18"/>
      <c r="G741" s="18"/>
      <c r="H741" s="18"/>
      <c r="I741" s="18"/>
      <c r="J741" s="18"/>
    </row>
    <row r="742" spans="2:10" ht="12.75" customHeight="1" x14ac:dyDescent="0.2">
      <c r="B742" s="16"/>
      <c r="C742" s="17"/>
      <c r="D742" s="16"/>
      <c r="E742" s="18"/>
      <c r="F742" s="18"/>
      <c r="G742" s="18"/>
      <c r="H742" s="18"/>
      <c r="I742" s="18"/>
      <c r="J742" s="18"/>
    </row>
    <row r="743" spans="2:10" ht="12.75" customHeight="1" x14ac:dyDescent="0.2">
      <c r="B743" s="16"/>
      <c r="C743" s="17"/>
      <c r="D743" s="16"/>
      <c r="E743" s="18"/>
      <c r="F743" s="18"/>
      <c r="G743" s="18"/>
      <c r="H743" s="18"/>
      <c r="I743" s="18"/>
      <c r="J743" s="18"/>
    </row>
    <row r="744" spans="2:10" ht="12.75" customHeight="1" x14ac:dyDescent="0.2">
      <c r="B744" s="16"/>
      <c r="C744" s="17"/>
      <c r="D744" s="16"/>
      <c r="E744" s="18"/>
      <c r="F744" s="18"/>
      <c r="G744" s="18"/>
      <c r="H744" s="18"/>
      <c r="I744" s="18"/>
      <c r="J744" s="18"/>
    </row>
    <row r="745" spans="2:10" ht="12.75" customHeight="1" x14ac:dyDescent="0.2">
      <c r="B745" s="16"/>
      <c r="C745" s="17"/>
      <c r="D745" s="16"/>
      <c r="E745" s="18"/>
      <c r="F745" s="18"/>
      <c r="G745" s="18"/>
      <c r="H745" s="18"/>
      <c r="I745" s="18"/>
      <c r="J745" s="18"/>
    </row>
    <row r="746" spans="2:10" ht="12.75" customHeight="1" x14ac:dyDescent="0.2">
      <c r="B746" s="16"/>
      <c r="C746" s="17"/>
      <c r="D746" s="16"/>
      <c r="E746" s="18"/>
      <c r="F746" s="18"/>
      <c r="G746" s="18"/>
      <c r="H746" s="18"/>
      <c r="I746" s="18"/>
      <c r="J746" s="18"/>
    </row>
    <row r="747" spans="2:10" ht="12.75" customHeight="1" x14ac:dyDescent="0.2">
      <c r="B747" s="16"/>
      <c r="C747" s="17"/>
      <c r="D747" s="16"/>
      <c r="E747" s="18"/>
      <c r="F747" s="18"/>
      <c r="G747" s="18"/>
      <c r="H747" s="18"/>
      <c r="I747" s="18"/>
      <c r="J747" s="18"/>
    </row>
    <row r="748" spans="2:10" ht="12.75" customHeight="1" x14ac:dyDescent="0.2">
      <c r="B748" s="16"/>
      <c r="C748" s="17"/>
      <c r="D748" s="16"/>
      <c r="E748" s="18"/>
      <c r="F748" s="18"/>
      <c r="G748" s="18"/>
      <c r="H748" s="18"/>
      <c r="I748" s="18"/>
      <c r="J748" s="18"/>
    </row>
    <row r="749" spans="2:10" ht="12.75" customHeight="1" x14ac:dyDescent="0.2">
      <c r="B749" s="16"/>
      <c r="C749" s="17"/>
      <c r="D749" s="16"/>
      <c r="E749" s="18"/>
      <c r="F749" s="18"/>
      <c r="G749" s="18"/>
      <c r="H749" s="18"/>
      <c r="I749" s="18"/>
      <c r="J749" s="18"/>
    </row>
    <row r="750" spans="2:10" ht="12.75" customHeight="1" x14ac:dyDescent="0.2">
      <c r="B750" s="16"/>
      <c r="C750" s="17"/>
      <c r="D750" s="16"/>
      <c r="E750" s="18"/>
      <c r="F750" s="18"/>
      <c r="G750" s="18"/>
      <c r="H750" s="18"/>
      <c r="I750" s="18"/>
      <c r="J750" s="18"/>
    </row>
    <row r="751" spans="2:10" ht="12.75" customHeight="1" x14ac:dyDescent="0.2">
      <c r="B751" s="16"/>
      <c r="C751" s="17"/>
      <c r="D751" s="16"/>
      <c r="E751" s="18"/>
      <c r="F751" s="18"/>
      <c r="G751" s="18"/>
      <c r="H751" s="18"/>
      <c r="I751" s="18"/>
      <c r="J751" s="18"/>
    </row>
    <row r="752" spans="2:10" ht="12.75" customHeight="1" x14ac:dyDescent="0.2">
      <c r="B752" s="16"/>
      <c r="C752" s="17"/>
      <c r="D752" s="16"/>
      <c r="E752" s="18"/>
      <c r="F752" s="18"/>
      <c r="G752" s="18"/>
      <c r="H752" s="18"/>
      <c r="I752" s="18"/>
      <c r="J752" s="18"/>
    </row>
    <row r="753" spans="2:10" ht="12.75" customHeight="1" x14ac:dyDescent="0.2">
      <c r="B753" s="16"/>
      <c r="C753" s="17"/>
      <c r="D753" s="16"/>
      <c r="E753" s="18"/>
      <c r="F753" s="18"/>
      <c r="G753" s="18"/>
      <c r="H753" s="18"/>
      <c r="I753" s="18"/>
      <c r="J753" s="18"/>
    </row>
    <row r="754" spans="2:10" ht="12.75" customHeight="1" x14ac:dyDescent="0.2">
      <c r="B754" s="16"/>
      <c r="C754" s="17"/>
      <c r="D754" s="16"/>
      <c r="E754" s="18"/>
      <c r="F754" s="18"/>
      <c r="G754" s="18"/>
      <c r="H754" s="18"/>
      <c r="I754" s="18"/>
      <c r="J754" s="18"/>
    </row>
    <row r="755" spans="2:10" ht="12.75" customHeight="1" x14ac:dyDescent="0.2">
      <c r="B755" s="16"/>
      <c r="C755" s="17"/>
      <c r="D755" s="16"/>
      <c r="E755" s="18"/>
      <c r="F755" s="18"/>
      <c r="G755" s="18"/>
      <c r="H755" s="18"/>
      <c r="I755" s="18"/>
      <c r="J755" s="18"/>
    </row>
    <row r="756" spans="2:10" ht="12.75" customHeight="1" x14ac:dyDescent="0.2">
      <c r="B756" s="16"/>
      <c r="C756" s="17"/>
      <c r="D756" s="16"/>
      <c r="E756" s="18"/>
      <c r="F756" s="18"/>
      <c r="G756" s="18"/>
      <c r="H756" s="18"/>
      <c r="I756" s="18"/>
      <c r="J756" s="18"/>
    </row>
    <row r="757" spans="2:10" ht="12.75" customHeight="1" x14ac:dyDescent="0.2">
      <c r="B757" s="16"/>
      <c r="C757" s="17"/>
      <c r="D757" s="16"/>
      <c r="E757" s="18"/>
      <c r="F757" s="18"/>
      <c r="G757" s="18"/>
      <c r="H757" s="18"/>
      <c r="I757" s="18"/>
      <c r="J757" s="18"/>
    </row>
    <row r="758" spans="2:10" ht="12.75" customHeight="1" x14ac:dyDescent="0.2">
      <c r="B758" s="16"/>
      <c r="C758" s="17"/>
      <c r="D758" s="16"/>
      <c r="E758" s="18"/>
      <c r="F758" s="18"/>
      <c r="G758" s="18"/>
      <c r="H758" s="18"/>
      <c r="I758" s="18"/>
      <c r="J758" s="18"/>
    </row>
    <row r="759" spans="2:10" ht="12.75" customHeight="1" x14ac:dyDescent="0.2">
      <c r="B759" s="16"/>
      <c r="C759" s="17"/>
      <c r="D759" s="16"/>
      <c r="E759" s="18"/>
      <c r="F759" s="18"/>
      <c r="G759" s="18"/>
      <c r="H759" s="18"/>
      <c r="I759" s="18"/>
      <c r="J759" s="18"/>
    </row>
    <row r="760" spans="2:10" ht="12.75" customHeight="1" x14ac:dyDescent="0.2">
      <c r="B760" s="16"/>
      <c r="C760" s="17"/>
      <c r="D760" s="16"/>
      <c r="E760" s="18"/>
      <c r="F760" s="18"/>
      <c r="G760" s="18"/>
      <c r="H760" s="18"/>
      <c r="I760" s="18"/>
      <c r="J760" s="18"/>
    </row>
    <row r="761" spans="2:10" ht="12.75" customHeight="1" x14ac:dyDescent="0.2">
      <c r="B761" s="16"/>
      <c r="C761" s="17"/>
      <c r="D761" s="16"/>
      <c r="E761" s="18"/>
      <c r="F761" s="18"/>
      <c r="G761" s="18"/>
      <c r="H761" s="18"/>
      <c r="I761" s="18"/>
      <c r="J761" s="18"/>
    </row>
    <row r="762" spans="2:10" ht="12.75" customHeight="1" x14ac:dyDescent="0.2">
      <c r="B762" s="16"/>
      <c r="C762" s="17"/>
      <c r="D762" s="16"/>
      <c r="E762" s="18"/>
      <c r="F762" s="18"/>
      <c r="G762" s="18"/>
      <c r="H762" s="18"/>
      <c r="I762" s="18"/>
      <c r="J762" s="18"/>
    </row>
    <row r="763" spans="2:10" ht="12.75" customHeight="1" x14ac:dyDescent="0.2">
      <c r="B763" s="16"/>
      <c r="C763" s="17"/>
      <c r="D763" s="16"/>
      <c r="E763" s="18"/>
      <c r="F763" s="18"/>
      <c r="G763" s="18"/>
      <c r="H763" s="18"/>
      <c r="I763" s="18"/>
      <c r="J763" s="18"/>
    </row>
    <row r="764" spans="2:10" ht="12.75" customHeight="1" x14ac:dyDescent="0.2">
      <c r="B764" s="16"/>
      <c r="C764" s="17"/>
      <c r="D764" s="16"/>
      <c r="E764" s="18"/>
      <c r="F764" s="18"/>
      <c r="G764" s="18"/>
      <c r="H764" s="18"/>
      <c r="I764" s="18"/>
      <c r="J764" s="18"/>
    </row>
    <row r="765" spans="2:10" ht="12.75" customHeight="1" x14ac:dyDescent="0.2">
      <c r="B765" s="16"/>
      <c r="C765" s="17"/>
      <c r="D765" s="16"/>
      <c r="E765" s="18"/>
      <c r="F765" s="18"/>
      <c r="G765" s="18"/>
      <c r="H765" s="18"/>
      <c r="I765" s="18"/>
      <c r="J765" s="18"/>
    </row>
    <row r="766" spans="2:10" ht="12.75" customHeight="1" x14ac:dyDescent="0.2">
      <c r="B766" s="16"/>
      <c r="C766" s="17"/>
      <c r="D766" s="16"/>
      <c r="E766" s="18"/>
      <c r="F766" s="18"/>
      <c r="G766" s="18"/>
      <c r="H766" s="18"/>
      <c r="I766" s="18"/>
      <c r="J766" s="18"/>
    </row>
    <row r="767" spans="2:10" ht="12.75" customHeight="1" x14ac:dyDescent="0.2">
      <c r="B767" s="16"/>
      <c r="C767" s="17"/>
      <c r="D767" s="16"/>
      <c r="E767" s="18"/>
      <c r="F767" s="18"/>
      <c r="G767" s="18"/>
      <c r="H767" s="18"/>
      <c r="I767" s="18"/>
      <c r="J767" s="18"/>
    </row>
    <row r="768" spans="2:10" ht="12.75" customHeight="1" x14ac:dyDescent="0.2">
      <c r="B768" s="16"/>
      <c r="C768" s="17"/>
      <c r="D768" s="16"/>
      <c r="E768" s="18"/>
      <c r="F768" s="18"/>
      <c r="G768" s="18"/>
      <c r="H768" s="18"/>
      <c r="I768" s="18"/>
      <c r="J768" s="18"/>
    </row>
    <row r="769" spans="2:10" ht="12.75" customHeight="1" x14ac:dyDescent="0.2">
      <c r="B769" s="16"/>
      <c r="C769" s="17"/>
      <c r="D769" s="16"/>
      <c r="E769" s="18"/>
      <c r="F769" s="18"/>
      <c r="G769" s="18"/>
      <c r="H769" s="18"/>
      <c r="I769" s="18"/>
      <c r="J769" s="18"/>
    </row>
    <row r="770" spans="2:10" ht="12.75" customHeight="1" x14ac:dyDescent="0.2">
      <c r="B770" s="16"/>
      <c r="C770" s="17"/>
      <c r="D770" s="16"/>
      <c r="E770" s="18"/>
      <c r="F770" s="18"/>
      <c r="G770" s="18"/>
      <c r="H770" s="18"/>
      <c r="I770" s="18"/>
      <c r="J770" s="18"/>
    </row>
    <row r="771" spans="2:10" ht="12.75" customHeight="1" x14ac:dyDescent="0.2">
      <c r="B771" s="16"/>
      <c r="C771" s="17"/>
      <c r="D771" s="16"/>
      <c r="E771" s="18"/>
      <c r="F771" s="18"/>
      <c r="G771" s="18"/>
      <c r="H771" s="18"/>
      <c r="I771" s="18"/>
      <c r="J771" s="18"/>
    </row>
    <row r="772" spans="2:10" ht="12.75" customHeight="1" x14ac:dyDescent="0.2">
      <c r="B772" s="16"/>
      <c r="C772" s="17"/>
      <c r="D772" s="16"/>
      <c r="E772" s="18"/>
      <c r="F772" s="18"/>
      <c r="G772" s="18"/>
      <c r="H772" s="18"/>
      <c r="I772" s="18"/>
      <c r="J772" s="18"/>
    </row>
    <row r="773" spans="2:10" ht="12.75" customHeight="1" x14ac:dyDescent="0.2">
      <c r="B773" s="16"/>
      <c r="C773" s="17"/>
      <c r="D773" s="16"/>
      <c r="E773" s="18"/>
      <c r="F773" s="18"/>
      <c r="G773" s="18"/>
      <c r="H773" s="18"/>
      <c r="I773" s="18"/>
      <c r="J773" s="18"/>
    </row>
    <row r="774" spans="2:10" ht="12.75" customHeight="1" x14ac:dyDescent="0.2">
      <c r="B774" s="16"/>
      <c r="C774" s="17"/>
      <c r="D774" s="16"/>
      <c r="E774" s="18"/>
      <c r="F774" s="18"/>
      <c r="G774" s="18"/>
      <c r="H774" s="18"/>
      <c r="I774" s="18"/>
      <c r="J774" s="18"/>
    </row>
    <row r="775" spans="2:10" ht="12.75" customHeight="1" x14ac:dyDescent="0.2">
      <c r="B775" s="16"/>
      <c r="C775" s="17"/>
      <c r="D775" s="16"/>
      <c r="E775" s="18"/>
      <c r="F775" s="18"/>
      <c r="G775" s="18"/>
      <c r="H775" s="18"/>
      <c r="I775" s="18"/>
      <c r="J775" s="18"/>
    </row>
    <row r="776" spans="2:10" ht="12.75" customHeight="1" x14ac:dyDescent="0.2">
      <c r="B776" s="16"/>
      <c r="C776" s="17"/>
      <c r="D776" s="16"/>
      <c r="E776" s="18"/>
      <c r="F776" s="18"/>
      <c r="G776" s="18"/>
      <c r="H776" s="18"/>
      <c r="I776" s="18"/>
      <c r="J776" s="18"/>
    </row>
    <row r="777" spans="2:10" ht="12.75" customHeight="1" x14ac:dyDescent="0.2">
      <c r="B777" s="16"/>
      <c r="C777" s="17"/>
      <c r="D777" s="16"/>
      <c r="E777" s="18"/>
      <c r="F777" s="18"/>
      <c r="G777" s="18"/>
      <c r="H777" s="18"/>
      <c r="I777" s="18"/>
      <c r="J777" s="18"/>
    </row>
    <row r="778" spans="2:10" ht="12.75" customHeight="1" x14ac:dyDescent="0.2">
      <c r="B778" s="16"/>
      <c r="C778" s="17"/>
      <c r="D778" s="16"/>
      <c r="E778" s="18"/>
      <c r="F778" s="18"/>
      <c r="G778" s="18"/>
      <c r="H778" s="18"/>
      <c r="I778" s="18"/>
      <c r="J778" s="18"/>
    </row>
    <row r="779" spans="2:10" ht="12.75" customHeight="1" x14ac:dyDescent="0.2">
      <c r="B779" s="16"/>
      <c r="C779" s="17"/>
      <c r="D779" s="16"/>
      <c r="E779" s="18"/>
      <c r="F779" s="18"/>
      <c r="G779" s="18"/>
      <c r="H779" s="18"/>
      <c r="I779" s="18"/>
      <c r="J779" s="18"/>
    </row>
    <row r="780" spans="2:10" ht="12.75" customHeight="1" x14ac:dyDescent="0.2">
      <c r="B780" s="16"/>
      <c r="C780" s="17"/>
      <c r="D780" s="16"/>
      <c r="E780" s="18"/>
      <c r="F780" s="18"/>
      <c r="G780" s="18"/>
      <c r="H780" s="18"/>
      <c r="I780" s="18"/>
      <c r="J780" s="18"/>
    </row>
    <row r="781" spans="2:10" ht="12.75" customHeight="1" x14ac:dyDescent="0.2">
      <c r="B781" s="16"/>
      <c r="C781" s="17"/>
      <c r="D781" s="16"/>
      <c r="E781" s="18"/>
      <c r="F781" s="18"/>
      <c r="G781" s="18"/>
      <c r="H781" s="18"/>
      <c r="I781" s="18"/>
      <c r="J781" s="18"/>
    </row>
    <row r="782" spans="2:10" ht="12.75" customHeight="1" x14ac:dyDescent="0.2">
      <c r="B782" s="16"/>
      <c r="C782" s="17"/>
      <c r="D782" s="16"/>
      <c r="E782" s="18"/>
      <c r="F782" s="18"/>
      <c r="G782" s="18"/>
      <c r="H782" s="18"/>
      <c r="I782" s="18"/>
      <c r="J782" s="18"/>
    </row>
    <row r="783" spans="2:10" ht="12.75" customHeight="1" x14ac:dyDescent="0.2">
      <c r="B783" s="16"/>
      <c r="C783" s="17"/>
      <c r="D783" s="16"/>
      <c r="E783" s="18"/>
      <c r="F783" s="18"/>
      <c r="G783" s="18"/>
      <c r="H783" s="18"/>
      <c r="I783" s="18"/>
      <c r="J783" s="18"/>
    </row>
    <row r="784" spans="2:10" ht="12.75" customHeight="1" x14ac:dyDescent="0.2">
      <c r="B784" s="16"/>
      <c r="C784" s="17"/>
      <c r="D784" s="16"/>
      <c r="E784" s="18"/>
      <c r="F784" s="18"/>
      <c r="G784" s="18"/>
      <c r="H784" s="18"/>
      <c r="I784" s="18"/>
      <c r="J784" s="18"/>
    </row>
    <row r="785" spans="2:10" ht="12.75" customHeight="1" x14ac:dyDescent="0.2">
      <c r="B785" s="16"/>
      <c r="C785" s="17"/>
      <c r="D785" s="16"/>
      <c r="E785" s="18"/>
      <c r="F785" s="18"/>
      <c r="G785" s="18"/>
      <c r="H785" s="18"/>
      <c r="I785" s="18"/>
      <c r="J785" s="18"/>
    </row>
    <row r="786" spans="2:10" ht="12.75" customHeight="1" x14ac:dyDescent="0.2">
      <c r="B786" s="16"/>
      <c r="C786" s="17"/>
      <c r="D786" s="16"/>
      <c r="E786" s="18"/>
      <c r="F786" s="18"/>
      <c r="G786" s="18"/>
      <c r="H786" s="18"/>
      <c r="I786" s="18"/>
      <c r="J786" s="18"/>
    </row>
    <row r="787" spans="2:10" ht="12.75" customHeight="1" x14ac:dyDescent="0.2">
      <c r="B787" s="16"/>
      <c r="C787" s="17"/>
      <c r="D787" s="16"/>
      <c r="E787" s="18"/>
      <c r="F787" s="18"/>
      <c r="G787" s="18"/>
      <c r="H787" s="18"/>
      <c r="I787" s="18"/>
      <c r="J787" s="18"/>
    </row>
    <row r="788" spans="2:10" ht="12.75" customHeight="1" x14ac:dyDescent="0.2">
      <c r="B788" s="16"/>
      <c r="C788" s="17"/>
      <c r="D788" s="16"/>
      <c r="E788" s="18"/>
      <c r="F788" s="18"/>
      <c r="G788" s="18"/>
      <c r="H788" s="18"/>
      <c r="I788" s="18"/>
      <c r="J788" s="18"/>
    </row>
    <row r="789" spans="2:10" ht="12.75" customHeight="1" x14ac:dyDescent="0.2">
      <c r="B789" s="16"/>
      <c r="C789" s="17"/>
      <c r="D789" s="16"/>
      <c r="E789" s="18"/>
      <c r="F789" s="18"/>
      <c r="G789" s="18"/>
      <c r="H789" s="18"/>
      <c r="I789" s="18"/>
      <c r="J789" s="18"/>
    </row>
    <row r="790" spans="2:10" ht="12.75" customHeight="1" x14ac:dyDescent="0.2">
      <c r="B790" s="16"/>
      <c r="C790" s="17"/>
      <c r="D790" s="16"/>
      <c r="E790" s="18"/>
      <c r="F790" s="18"/>
      <c r="G790" s="18"/>
      <c r="H790" s="18"/>
      <c r="I790" s="18"/>
      <c r="J790" s="18"/>
    </row>
    <row r="791" spans="2:10" ht="12.75" customHeight="1" x14ac:dyDescent="0.2">
      <c r="B791" s="16"/>
      <c r="C791" s="17"/>
      <c r="D791" s="16"/>
      <c r="E791" s="18"/>
      <c r="F791" s="18"/>
      <c r="G791" s="18"/>
      <c r="H791" s="18"/>
      <c r="I791" s="18"/>
      <c r="J791" s="18"/>
    </row>
    <row r="792" spans="2:10" ht="12.75" customHeight="1" x14ac:dyDescent="0.2">
      <c r="B792" s="16"/>
      <c r="C792" s="17"/>
      <c r="D792" s="16"/>
      <c r="E792" s="18"/>
      <c r="F792" s="18"/>
      <c r="G792" s="18"/>
      <c r="H792" s="18"/>
      <c r="I792" s="18"/>
      <c r="J792" s="18"/>
    </row>
    <row r="793" spans="2:10" ht="12.75" customHeight="1" x14ac:dyDescent="0.2">
      <c r="B793" s="16"/>
      <c r="C793" s="17"/>
      <c r="D793" s="16"/>
      <c r="E793" s="18"/>
      <c r="F793" s="18"/>
      <c r="G793" s="18"/>
      <c r="H793" s="18"/>
      <c r="I793" s="18"/>
      <c r="J793" s="18"/>
    </row>
    <row r="794" spans="2:10" ht="12.75" customHeight="1" x14ac:dyDescent="0.2">
      <c r="B794" s="16"/>
      <c r="C794" s="17"/>
      <c r="D794" s="16"/>
      <c r="E794" s="18"/>
      <c r="F794" s="18"/>
      <c r="G794" s="18"/>
      <c r="H794" s="18"/>
      <c r="I794" s="18"/>
      <c r="J794" s="18"/>
    </row>
    <row r="795" spans="2:10" ht="12.75" customHeight="1" x14ac:dyDescent="0.2">
      <c r="B795" s="16"/>
      <c r="C795" s="17"/>
      <c r="D795" s="16"/>
      <c r="E795" s="18"/>
      <c r="F795" s="18"/>
      <c r="G795" s="18"/>
      <c r="H795" s="18"/>
      <c r="I795" s="18"/>
      <c r="J795" s="18"/>
    </row>
    <row r="796" spans="2:10" ht="12.75" customHeight="1" x14ac:dyDescent="0.2">
      <c r="B796" s="16"/>
      <c r="C796" s="17"/>
      <c r="D796" s="16"/>
      <c r="E796" s="18"/>
      <c r="F796" s="18"/>
      <c r="G796" s="18"/>
      <c r="H796" s="18"/>
      <c r="I796" s="18"/>
      <c r="J796" s="18"/>
    </row>
    <row r="797" spans="2:10" ht="12.75" customHeight="1" x14ac:dyDescent="0.2">
      <c r="B797" s="16"/>
      <c r="C797" s="17"/>
      <c r="D797" s="16"/>
      <c r="E797" s="18"/>
      <c r="F797" s="18"/>
      <c r="G797" s="18"/>
      <c r="H797" s="18"/>
      <c r="I797" s="18"/>
      <c r="J797" s="18"/>
    </row>
    <row r="798" spans="2:10" ht="12.75" customHeight="1" x14ac:dyDescent="0.2">
      <c r="B798" s="16"/>
      <c r="C798" s="17"/>
      <c r="D798" s="16"/>
      <c r="E798" s="18"/>
      <c r="F798" s="18"/>
      <c r="G798" s="18"/>
      <c r="H798" s="18"/>
      <c r="I798" s="18"/>
      <c r="J798" s="18"/>
    </row>
    <row r="799" spans="2:10" ht="12.75" customHeight="1" x14ac:dyDescent="0.2">
      <c r="B799" s="16"/>
      <c r="C799" s="17"/>
      <c r="D799" s="16"/>
      <c r="E799" s="18"/>
      <c r="F799" s="18"/>
      <c r="G799" s="18"/>
      <c r="H799" s="18"/>
      <c r="I799" s="18"/>
      <c r="J799" s="18"/>
    </row>
    <row r="800" spans="2:10" ht="12.75" customHeight="1" x14ac:dyDescent="0.2">
      <c r="B800" s="16"/>
      <c r="C800" s="17"/>
      <c r="D800" s="16"/>
      <c r="E800" s="18"/>
      <c r="F800" s="18"/>
      <c r="G800" s="18"/>
      <c r="H800" s="18"/>
      <c r="I800" s="18"/>
      <c r="J800" s="18"/>
    </row>
    <row r="801" spans="2:10" ht="12.75" customHeight="1" x14ac:dyDescent="0.2">
      <c r="B801" s="16"/>
      <c r="C801" s="17"/>
      <c r="D801" s="16"/>
      <c r="E801" s="18"/>
      <c r="F801" s="18"/>
      <c r="G801" s="18"/>
      <c r="H801" s="18"/>
      <c r="I801" s="18"/>
      <c r="J801" s="18"/>
    </row>
    <row r="802" spans="2:10" ht="12.75" customHeight="1" x14ac:dyDescent="0.2">
      <c r="B802" s="16"/>
      <c r="C802" s="17"/>
      <c r="D802" s="16"/>
      <c r="E802" s="18"/>
      <c r="F802" s="18"/>
      <c r="G802" s="18"/>
      <c r="H802" s="18"/>
      <c r="I802" s="18"/>
      <c r="J802" s="18"/>
    </row>
    <row r="803" spans="2:10" ht="12.75" customHeight="1" x14ac:dyDescent="0.2">
      <c r="B803" s="16"/>
      <c r="C803" s="17"/>
      <c r="D803" s="16"/>
      <c r="E803" s="18"/>
      <c r="F803" s="18"/>
      <c r="G803" s="18"/>
      <c r="H803" s="18"/>
      <c r="I803" s="18"/>
      <c r="J803" s="18"/>
    </row>
    <row r="804" spans="2:10" ht="12.75" customHeight="1" x14ac:dyDescent="0.2">
      <c r="B804" s="16"/>
      <c r="C804" s="17"/>
      <c r="D804" s="16"/>
      <c r="E804" s="18"/>
      <c r="F804" s="18"/>
      <c r="G804" s="18"/>
      <c r="H804" s="18"/>
      <c r="I804" s="18"/>
      <c r="J804" s="18"/>
    </row>
    <row r="805" spans="2:10" ht="12.75" customHeight="1" x14ac:dyDescent="0.2">
      <c r="B805" s="16"/>
      <c r="C805" s="17"/>
      <c r="D805" s="16"/>
      <c r="E805" s="18"/>
      <c r="F805" s="18"/>
      <c r="G805" s="18"/>
      <c r="H805" s="18"/>
      <c r="I805" s="18"/>
      <c r="J805" s="18"/>
    </row>
    <row r="806" spans="2:10" ht="12.75" customHeight="1" x14ac:dyDescent="0.2">
      <c r="B806" s="16"/>
      <c r="C806" s="17"/>
      <c r="D806" s="16"/>
      <c r="E806" s="18"/>
      <c r="F806" s="18"/>
      <c r="G806" s="18"/>
      <c r="H806" s="18"/>
      <c r="I806" s="18"/>
      <c r="J806" s="18"/>
    </row>
    <row r="807" spans="2:10" ht="12.75" customHeight="1" x14ac:dyDescent="0.2">
      <c r="B807" s="16"/>
      <c r="C807" s="17"/>
      <c r="D807" s="16"/>
      <c r="E807" s="18"/>
      <c r="F807" s="18"/>
      <c r="G807" s="18"/>
      <c r="H807" s="18"/>
      <c r="I807" s="18"/>
      <c r="J807" s="18"/>
    </row>
    <row r="808" spans="2:10" ht="12.75" customHeight="1" x14ac:dyDescent="0.2">
      <c r="B808" s="16"/>
      <c r="C808" s="17"/>
      <c r="D808" s="16"/>
      <c r="E808" s="18"/>
      <c r="F808" s="18"/>
      <c r="G808" s="18"/>
      <c r="H808" s="18"/>
      <c r="I808" s="18"/>
      <c r="J808" s="18"/>
    </row>
    <row r="809" spans="2:10" ht="12.75" customHeight="1" x14ac:dyDescent="0.2">
      <c r="B809" s="16"/>
      <c r="C809" s="17"/>
      <c r="D809" s="16"/>
      <c r="E809" s="18"/>
      <c r="F809" s="18"/>
      <c r="G809" s="18"/>
      <c r="H809" s="18"/>
      <c r="I809" s="18"/>
      <c r="J809" s="18"/>
    </row>
    <row r="810" spans="2:10" ht="12.75" customHeight="1" x14ac:dyDescent="0.2">
      <c r="B810" s="16"/>
      <c r="C810" s="17"/>
      <c r="D810" s="16"/>
      <c r="E810" s="18"/>
      <c r="F810" s="18"/>
      <c r="G810" s="18"/>
      <c r="H810" s="18"/>
      <c r="I810" s="18"/>
      <c r="J810" s="18"/>
    </row>
    <row r="811" spans="2:10" ht="12.75" customHeight="1" x14ac:dyDescent="0.2">
      <c r="B811" s="16"/>
      <c r="C811" s="17"/>
      <c r="D811" s="16"/>
      <c r="E811" s="18"/>
      <c r="F811" s="18"/>
      <c r="G811" s="18"/>
      <c r="H811" s="18"/>
      <c r="I811" s="18"/>
      <c r="J811" s="18"/>
    </row>
    <row r="812" spans="2:10" ht="12.75" customHeight="1" x14ac:dyDescent="0.2">
      <c r="B812" s="16"/>
      <c r="C812" s="17"/>
      <c r="D812" s="16"/>
      <c r="E812" s="18"/>
      <c r="F812" s="18"/>
      <c r="G812" s="18"/>
      <c r="H812" s="18"/>
      <c r="I812" s="18"/>
      <c r="J812" s="18"/>
    </row>
    <row r="813" spans="2:10" ht="12.75" customHeight="1" x14ac:dyDescent="0.2">
      <c r="B813" s="16"/>
      <c r="C813" s="17"/>
      <c r="D813" s="16"/>
      <c r="E813" s="18"/>
      <c r="F813" s="18"/>
      <c r="G813" s="18"/>
      <c r="H813" s="18"/>
      <c r="I813" s="18"/>
      <c r="J813" s="18"/>
    </row>
    <row r="814" spans="2:10" ht="12.75" customHeight="1" x14ac:dyDescent="0.2">
      <c r="B814" s="16"/>
      <c r="C814" s="17"/>
      <c r="D814" s="16"/>
      <c r="E814" s="18"/>
      <c r="F814" s="18"/>
      <c r="G814" s="18"/>
      <c r="H814" s="18"/>
      <c r="I814" s="18"/>
      <c r="J814" s="18"/>
    </row>
    <row r="815" spans="2:10" ht="12.75" customHeight="1" x14ac:dyDescent="0.2">
      <c r="B815" s="16"/>
      <c r="C815" s="17"/>
      <c r="D815" s="16"/>
      <c r="E815" s="18"/>
      <c r="F815" s="18"/>
      <c r="G815" s="18"/>
      <c r="H815" s="18"/>
      <c r="I815" s="18"/>
      <c r="J815" s="18"/>
    </row>
    <row r="816" spans="2:10" ht="12.75" customHeight="1" x14ac:dyDescent="0.2">
      <c r="B816" s="16"/>
      <c r="C816" s="17"/>
      <c r="D816" s="16"/>
      <c r="E816" s="18"/>
      <c r="F816" s="18"/>
      <c r="G816" s="18"/>
      <c r="H816" s="18"/>
      <c r="I816" s="18"/>
      <c r="J816" s="18"/>
    </row>
    <row r="817" spans="2:10" ht="12.75" customHeight="1" x14ac:dyDescent="0.2">
      <c r="B817" s="16"/>
      <c r="C817" s="17"/>
      <c r="D817" s="16"/>
      <c r="E817" s="18"/>
      <c r="F817" s="18"/>
      <c r="G817" s="18"/>
      <c r="H817" s="18"/>
      <c r="I817" s="18"/>
      <c r="J817" s="18"/>
    </row>
    <row r="818" spans="2:10" ht="12.75" customHeight="1" x14ac:dyDescent="0.2">
      <c r="B818" s="16"/>
      <c r="C818" s="17"/>
      <c r="D818" s="16"/>
      <c r="E818" s="18"/>
      <c r="F818" s="18"/>
      <c r="G818" s="18"/>
      <c r="H818" s="18"/>
      <c r="I818" s="18"/>
      <c r="J818" s="18"/>
    </row>
    <row r="819" spans="2:10" ht="12.75" customHeight="1" x14ac:dyDescent="0.2">
      <c r="B819" s="16"/>
      <c r="C819" s="17"/>
      <c r="D819" s="16"/>
      <c r="E819" s="18"/>
      <c r="F819" s="18"/>
      <c r="G819" s="18"/>
      <c r="H819" s="18"/>
      <c r="I819" s="18"/>
      <c r="J819" s="18"/>
    </row>
    <row r="820" spans="2:10" ht="12.75" customHeight="1" x14ac:dyDescent="0.2">
      <c r="B820" s="16"/>
      <c r="C820" s="17"/>
      <c r="D820" s="16"/>
      <c r="E820" s="18"/>
      <c r="F820" s="18"/>
      <c r="G820" s="18"/>
      <c r="H820" s="18"/>
      <c r="I820" s="18"/>
      <c r="J820" s="18"/>
    </row>
    <row r="821" spans="2:10" ht="12.75" customHeight="1" x14ac:dyDescent="0.2">
      <c r="B821" s="16"/>
      <c r="C821" s="17"/>
      <c r="D821" s="16"/>
      <c r="E821" s="18"/>
      <c r="F821" s="18"/>
      <c r="G821" s="18"/>
      <c r="H821" s="18"/>
      <c r="I821" s="18"/>
      <c r="J821" s="18"/>
    </row>
    <row r="822" spans="2:10" ht="12.75" customHeight="1" x14ac:dyDescent="0.2">
      <c r="B822" s="16"/>
      <c r="C822" s="17"/>
      <c r="D822" s="16"/>
      <c r="E822" s="18"/>
      <c r="F822" s="18"/>
      <c r="G822" s="18"/>
      <c r="H822" s="18"/>
      <c r="I822" s="18"/>
      <c r="J822" s="18"/>
    </row>
    <row r="823" spans="2:10" ht="12.75" customHeight="1" x14ac:dyDescent="0.2">
      <c r="B823" s="16"/>
      <c r="C823" s="17"/>
      <c r="D823" s="16"/>
      <c r="E823" s="18"/>
      <c r="F823" s="18"/>
      <c r="G823" s="18"/>
      <c r="H823" s="18"/>
      <c r="I823" s="18"/>
      <c r="J823" s="18"/>
    </row>
    <row r="824" spans="2:10" ht="12.75" customHeight="1" x14ac:dyDescent="0.2">
      <c r="B824" s="16"/>
      <c r="C824" s="17"/>
      <c r="D824" s="16"/>
      <c r="E824" s="18"/>
      <c r="F824" s="18"/>
      <c r="G824" s="18"/>
      <c r="H824" s="18"/>
      <c r="I824" s="18"/>
      <c r="J824" s="18"/>
    </row>
    <row r="825" spans="2:10" ht="12.75" customHeight="1" x14ac:dyDescent="0.2">
      <c r="B825" s="16"/>
      <c r="C825" s="17"/>
      <c r="D825" s="16"/>
      <c r="E825" s="18"/>
      <c r="F825" s="18"/>
      <c r="G825" s="18"/>
      <c r="H825" s="18"/>
      <c r="I825" s="18"/>
      <c r="J825" s="18"/>
    </row>
    <row r="826" spans="2:10" ht="12.75" customHeight="1" x14ac:dyDescent="0.2">
      <c r="B826" s="16"/>
      <c r="C826" s="17"/>
      <c r="D826" s="16"/>
      <c r="E826" s="18"/>
      <c r="F826" s="18"/>
      <c r="G826" s="18"/>
      <c r="H826" s="18"/>
      <c r="I826" s="18"/>
      <c r="J826" s="18"/>
    </row>
    <row r="827" spans="2:10" ht="12.75" customHeight="1" x14ac:dyDescent="0.2">
      <c r="B827" s="16"/>
      <c r="C827" s="17"/>
      <c r="D827" s="16"/>
      <c r="E827" s="18"/>
      <c r="F827" s="18"/>
      <c r="G827" s="18"/>
      <c r="H827" s="18"/>
      <c r="I827" s="18"/>
      <c r="J827" s="18"/>
    </row>
    <row r="828" spans="2:10" ht="12.75" customHeight="1" x14ac:dyDescent="0.2">
      <c r="B828" s="16"/>
      <c r="C828" s="17"/>
      <c r="D828" s="16"/>
      <c r="E828" s="18"/>
      <c r="F828" s="18"/>
      <c r="G828" s="18"/>
      <c r="H828" s="18"/>
      <c r="I828" s="18"/>
      <c r="J828" s="18"/>
    </row>
    <row r="829" spans="2:10" ht="12.75" customHeight="1" x14ac:dyDescent="0.2">
      <c r="B829" s="16"/>
      <c r="C829" s="17"/>
      <c r="D829" s="16"/>
      <c r="E829" s="18"/>
      <c r="F829" s="18"/>
      <c r="G829" s="18"/>
      <c r="H829" s="18"/>
      <c r="I829" s="18"/>
      <c r="J829" s="18"/>
    </row>
    <row r="830" spans="2:10" ht="12.75" customHeight="1" x14ac:dyDescent="0.2">
      <c r="B830" s="16"/>
      <c r="C830" s="17"/>
      <c r="D830" s="16"/>
      <c r="E830" s="18"/>
      <c r="F830" s="18"/>
      <c r="G830" s="18"/>
      <c r="H830" s="18"/>
      <c r="I830" s="18"/>
      <c r="J830" s="18"/>
    </row>
    <row r="831" spans="2:10" ht="12.75" customHeight="1" x14ac:dyDescent="0.2">
      <c r="B831" s="16"/>
      <c r="C831" s="17"/>
      <c r="D831" s="16"/>
      <c r="E831" s="18"/>
      <c r="F831" s="18"/>
      <c r="G831" s="18"/>
      <c r="H831" s="18"/>
      <c r="I831" s="18"/>
      <c r="J831" s="18"/>
    </row>
    <row r="832" spans="2:10" ht="12.75" customHeight="1" x14ac:dyDescent="0.2">
      <c r="B832" s="16"/>
      <c r="C832" s="17"/>
      <c r="D832" s="16"/>
      <c r="E832" s="18"/>
      <c r="F832" s="18"/>
      <c r="G832" s="18"/>
      <c r="H832" s="18"/>
      <c r="I832" s="18"/>
      <c r="J832" s="18"/>
    </row>
    <row r="833" spans="2:10" ht="12.75" customHeight="1" x14ac:dyDescent="0.2">
      <c r="B833" s="16"/>
      <c r="C833" s="17"/>
      <c r="D833" s="16"/>
      <c r="E833" s="18"/>
      <c r="F833" s="18"/>
      <c r="G833" s="18"/>
      <c r="H833" s="18"/>
      <c r="I833" s="18"/>
      <c r="J833" s="18"/>
    </row>
    <row r="834" spans="2:10" ht="12.75" customHeight="1" x14ac:dyDescent="0.2">
      <c r="B834" s="16"/>
      <c r="C834" s="17"/>
      <c r="D834" s="16"/>
      <c r="E834" s="18"/>
      <c r="F834" s="18"/>
      <c r="G834" s="18"/>
      <c r="H834" s="18"/>
      <c r="I834" s="18"/>
      <c r="J834" s="18"/>
    </row>
    <row r="835" spans="2:10" ht="12.75" customHeight="1" x14ac:dyDescent="0.2">
      <c r="B835" s="16"/>
      <c r="C835" s="17"/>
      <c r="D835" s="16"/>
      <c r="E835" s="18"/>
      <c r="F835" s="18"/>
      <c r="G835" s="18"/>
      <c r="H835" s="18"/>
      <c r="I835" s="18"/>
      <c r="J835" s="18"/>
    </row>
    <row r="836" spans="2:10" ht="12.75" customHeight="1" x14ac:dyDescent="0.2">
      <c r="B836" s="16"/>
      <c r="C836" s="17"/>
      <c r="D836" s="16"/>
      <c r="E836" s="18"/>
      <c r="F836" s="18"/>
      <c r="G836" s="18"/>
      <c r="H836" s="18"/>
      <c r="I836" s="18"/>
      <c r="J836" s="18"/>
    </row>
    <row r="837" spans="2:10" ht="12.75" customHeight="1" x14ac:dyDescent="0.2">
      <c r="B837" s="16"/>
      <c r="C837" s="17"/>
      <c r="D837" s="16"/>
      <c r="E837" s="18"/>
      <c r="F837" s="18"/>
      <c r="G837" s="18"/>
      <c r="H837" s="18"/>
      <c r="I837" s="18"/>
      <c r="J837" s="18"/>
    </row>
    <row r="838" spans="2:10" ht="12.75" customHeight="1" x14ac:dyDescent="0.2">
      <c r="B838" s="16"/>
      <c r="C838" s="17"/>
      <c r="D838" s="16"/>
      <c r="E838" s="18"/>
      <c r="F838" s="18"/>
      <c r="G838" s="18"/>
      <c r="H838" s="18"/>
      <c r="I838" s="18"/>
      <c r="J838" s="18"/>
    </row>
    <row r="839" spans="2:10" ht="12.75" customHeight="1" x14ac:dyDescent="0.2">
      <c r="B839" s="16"/>
      <c r="C839" s="17"/>
      <c r="D839" s="16"/>
      <c r="E839" s="18"/>
      <c r="F839" s="18"/>
      <c r="G839" s="18"/>
      <c r="H839" s="18"/>
      <c r="I839" s="18"/>
      <c r="J839" s="18"/>
    </row>
    <row r="840" spans="2:10" ht="12.75" customHeight="1" x14ac:dyDescent="0.2">
      <c r="B840" s="16"/>
      <c r="C840" s="17"/>
      <c r="D840" s="16"/>
      <c r="E840" s="18"/>
      <c r="F840" s="18"/>
      <c r="G840" s="18"/>
      <c r="H840" s="18"/>
      <c r="I840" s="18"/>
      <c r="J840" s="18"/>
    </row>
    <row r="841" spans="2:10" ht="12.75" customHeight="1" x14ac:dyDescent="0.2">
      <c r="B841" s="16"/>
      <c r="C841" s="17"/>
      <c r="D841" s="16"/>
      <c r="E841" s="18"/>
      <c r="F841" s="18"/>
      <c r="G841" s="18"/>
      <c r="H841" s="18"/>
      <c r="I841" s="18"/>
      <c r="J841" s="18"/>
    </row>
    <row r="842" spans="2:10" ht="12.75" customHeight="1" x14ac:dyDescent="0.2">
      <c r="B842" s="16"/>
      <c r="C842" s="17"/>
      <c r="D842" s="16"/>
      <c r="E842" s="18"/>
      <c r="F842" s="18"/>
      <c r="G842" s="18"/>
      <c r="H842" s="18"/>
      <c r="I842" s="18"/>
      <c r="J842" s="18"/>
    </row>
    <row r="843" spans="2:10" ht="12.75" customHeight="1" x14ac:dyDescent="0.2">
      <c r="B843" s="16"/>
      <c r="C843" s="17"/>
      <c r="D843" s="16"/>
      <c r="E843" s="18"/>
      <c r="F843" s="18"/>
      <c r="G843" s="18"/>
      <c r="H843" s="18"/>
      <c r="I843" s="18"/>
      <c r="J843" s="18"/>
    </row>
    <row r="844" spans="2:10" ht="12.75" customHeight="1" x14ac:dyDescent="0.2">
      <c r="B844" s="16"/>
      <c r="C844" s="17"/>
      <c r="D844" s="16"/>
      <c r="E844" s="18"/>
      <c r="F844" s="18"/>
      <c r="G844" s="18"/>
      <c r="H844" s="18"/>
      <c r="I844" s="18"/>
      <c r="J844" s="18"/>
    </row>
    <row r="845" spans="2:10" ht="12.75" customHeight="1" x14ac:dyDescent="0.2">
      <c r="B845" s="16"/>
      <c r="C845" s="17"/>
      <c r="D845" s="16"/>
      <c r="E845" s="18"/>
      <c r="F845" s="18"/>
      <c r="G845" s="18"/>
      <c r="H845" s="18"/>
      <c r="I845" s="18"/>
      <c r="J845" s="18"/>
    </row>
    <row r="846" spans="2:10" ht="12.75" customHeight="1" x14ac:dyDescent="0.2">
      <c r="B846" s="16"/>
      <c r="C846" s="17"/>
      <c r="D846" s="16"/>
      <c r="E846" s="18"/>
      <c r="F846" s="18"/>
      <c r="G846" s="18"/>
      <c r="H846" s="18"/>
      <c r="I846" s="18"/>
      <c r="J846" s="18"/>
    </row>
    <row r="847" spans="2:10" ht="12.75" customHeight="1" x14ac:dyDescent="0.2">
      <c r="B847" s="16"/>
      <c r="C847" s="17"/>
      <c r="D847" s="16"/>
      <c r="E847" s="18"/>
      <c r="F847" s="18"/>
      <c r="G847" s="18"/>
      <c r="H847" s="18"/>
      <c r="I847" s="18"/>
      <c r="J847" s="18"/>
    </row>
    <row r="848" spans="2:10" ht="12.75" customHeight="1" x14ac:dyDescent="0.2">
      <c r="B848" s="16"/>
      <c r="C848" s="17"/>
      <c r="D848" s="16"/>
      <c r="E848" s="18"/>
      <c r="F848" s="18"/>
      <c r="G848" s="18"/>
      <c r="H848" s="18"/>
      <c r="I848" s="18"/>
      <c r="J848" s="18"/>
    </row>
    <row r="849" spans="2:10" ht="12.75" customHeight="1" x14ac:dyDescent="0.2">
      <c r="B849" s="16"/>
      <c r="C849" s="17"/>
      <c r="D849" s="16"/>
      <c r="E849" s="18"/>
      <c r="F849" s="18"/>
      <c r="G849" s="18"/>
      <c r="H849" s="18"/>
      <c r="I849" s="18"/>
      <c r="J849" s="18"/>
    </row>
    <row r="850" spans="2:10" ht="12.75" customHeight="1" x14ac:dyDescent="0.2">
      <c r="B850" s="16"/>
      <c r="C850" s="17"/>
      <c r="D850" s="16"/>
      <c r="E850" s="18"/>
      <c r="F850" s="18"/>
      <c r="G850" s="18"/>
      <c r="H850" s="18"/>
      <c r="I850" s="18"/>
      <c r="J850" s="18"/>
    </row>
    <row r="851" spans="2:10" ht="12.75" customHeight="1" x14ac:dyDescent="0.2">
      <c r="B851" s="16"/>
      <c r="C851" s="17"/>
      <c r="D851" s="16"/>
      <c r="E851" s="18"/>
      <c r="F851" s="18"/>
      <c r="G851" s="18"/>
      <c r="H851" s="18"/>
      <c r="I851" s="18"/>
      <c r="J851" s="18"/>
    </row>
    <row r="852" spans="2:10" ht="12.75" customHeight="1" x14ac:dyDescent="0.2">
      <c r="B852" s="16"/>
      <c r="C852" s="17"/>
      <c r="D852" s="16"/>
      <c r="E852" s="18"/>
      <c r="F852" s="18"/>
      <c r="G852" s="18"/>
      <c r="H852" s="18"/>
      <c r="I852" s="18"/>
      <c r="J852" s="18"/>
    </row>
    <row r="853" spans="2:10" ht="12.75" customHeight="1" x14ac:dyDescent="0.2">
      <c r="B853" s="16"/>
      <c r="C853" s="17"/>
      <c r="D853" s="16"/>
      <c r="E853" s="18"/>
      <c r="F853" s="18"/>
      <c r="G853" s="18"/>
      <c r="H853" s="18"/>
      <c r="I853" s="18"/>
      <c r="J853" s="18"/>
    </row>
    <row r="854" spans="2:10" ht="12.75" customHeight="1" x14ac:dyDescent="0.2">
      <c r="B854" s="16"/>
      <c r="C854" s="17"/>
      <c r="D854" s="16"/>
      <c r="E854" s="18"/>
      <c r="F854" s="18"/>
      <c r="G854" s="18"/>
      <c r="H854" s="18"/>
      <c r="I854" s="18"/>
      <c r="J854" s="18"/>
    </row>
    <row r="855" spans="2:10" ht="12.75" customHeight="1" x14ac:dyDescent="0.2">
      <c r="B855" s="16"/>
      <c r="C855" s="17"/>
      <c r="D855" s="16"/>
      <c r="E855" s="18"/>
      <c r="F855" s="18"/>
      <c r="G855" s="18"/>
      <c r="H855" s="18"/>
      <c r="I855" s="18"/>
      <c r="J855" s="18"/>
    </row>
    <row r="856" spans="2:10" ht="12.75" customHeight="1" x14ac:dyDescent="0.2">
      <c r="B856" s="16"/>
      <c r="C856" s="17"/>
      <c r="D856" s="16"/>
      <c r="E856" s="18"/>
      <c r="F856" s="18"/>
      <c r="G856" s="18"/>
      <c r="H856" s="18"/>
      <c r="I856" s="18"/>
      <c r="J856" s="18"/>
    </row>
    <row r="857" spans="2:10" ht="12.75" customHeight="1" x14ac:dyDescent="0.2">
      <c r="B857" s="16"/>
      <c r="C857" s="17"/>
      <c r="D857" s="16"/>
      <c r="E857" s="18"/>
      <c r="F857" s="18"/>
      <c r="G857" s="18"/>
      <c r="H857" s="18"/>
      <c r="I857" s="18"/>
      <c r="J857" s="18"/>
    </row>
    <row r="858" spans="2:10" ht="12.75" customHeight="1" x14ac:dyDescent="0.2">
      <c r="B858" s="16"/>
      <c r="C858" s="17"/>
      <c r="D858" s="16"/>
      <c r="E858" s="18"/>
      <c r="F858" s="18"/>
      <c r="G858" s="18"/>
      <c r="H858" s="18"/>
      <c r="I858" s="18"/>
      <c r="J858" s="18"/>
    </row>
    <row r="859" spans="2:10" ht="12.75" customHeight="1" x14ac:dyDescent="0.2">
      <c r="B859" s="16"/>
      <c r="C859" s="17"/>
      <c r="D859" s="16"/>
      <c r="E859" s="18"/>
      <c r="F859" s="18"/>
      <c r="G859" s="18"/>
      <c r="H859" s="18"/>
      <c r="I859" s="18"/>
      <c r="J859" s="18"/>
    </row>
    <row r="860" spans="2:10" ht="12.75" customHeight="1" x14ac:dyDescent="0.2">
      <c r="B860" s="16"/>
      <c r="C860" s="17"/>
      <c r="D860" s="16"/>
      <c r="E860" s="18"/>
      <c r="F860" s="18"/>
      <c r="G860" s="18"/>
      <c r="H860" s="18"/>
      <c r="I860" s="18"/>
      <c r="J860" s="18"/>
    </row>
    <row r="861" spans="2:10" ht="12.75" customHeight="1" x14ac:dyDescent="0.2">
      <c r="B861" s="16"/>
      <c r="C861" s="17"/>
      <c r="D861" s="16"/>
      <c r="E861" s="18"/>
      <c r="F861" s="18"/>
      <c r="G861" s="18"/>
      <c r="H861" s="18"/>
      <c r="I861" s="18"/>
      <c r="J861" s="18"/>
    </row>
    <row r="862" spans="2:10" ht="12.75" customHeight="1" x14ac:dyDescent="0.2">
      <c r="B862" s="16"/>
      <c r="C862" s="17"/>
      <c r="D862" s="16"/>
      <c r="E862" s="18"/>
      <c r="F862" s="18"/>
      <c r="G862" s="18"/>
      <c r="H862" s="18"/>
      <c r="I862" s="18"/>
      <c r="J862" s="18"/>
    </row>
    <row r="863" spans="2:10" ht="12.75" customHeight="1" x14ac:dyDescent="0.2">
      <c r="B863" s="16"/>
      <c r="C863" s="17"/>
      <c r="D863" s="16"/>
      <c r="E863" s="18"/>
      <c r="F863" s="18"/>
      <c r="G863" s="18"/>
      <c r="H863" s="18"/>
      <c r="I863" s="18"/>
      <c r="J863" s="18"/>
    </row>
    <row r="864" spans="2:10" ht="12.75" customHeight="1" x14ac:dyDescent="0.2">
      <c r="B864" s="16"/>
      <c r="C864" s="17"/>
      <c r="D864" s="16"/>
      <c r="E864" s="18"/>
      <c r="F864" s="18"/>
      <c r="G864" s="18"/>
      <c r="H864" s="18"/>
      <c r="I864" s="18"/>
      <c r="J864" s="18"/>
    </row>
    <row r="865" spans="2:10" ht="12.75" customHeight="1" x14ac:dyDescent="0.2">
      <c r="B865" s="16"/>
      <c r="C865" s="17"/>
      <c r="D865" s="16"/>
      <c r="E865" s="18"/>
      <c r="F865" s="18"/>
      <c r="G865" s="18"/>
      <c r="H865" s="18"/>
      <c r="I865" s="18"/>
      <c r="J865" s="18"/>
    </row>
    <row r="866" spans="2:10" ht="12.75" customHeight="1" x14ac:dyDescent="0.2">
      <c r="B866" s="16"/>
      <c r="C866" s="17"/>
      <c r="D866" s="16"/>
      <c r="E866" s="18"/>
      <c r="F866" s="18"/>
      <c r="G866" s="18"/>
      <c r="H866" s="18"/>
      <c r="I866" s="18"/>
      <c r="J866" s="18"/>
    </row>
    <row r="867" spans="2:10" ht="12.75" customHeight="1" x14ac:dyDescent="0.2">
      <c r="B867" s="16"/>
      <c r="C867" s="17"/>
      <c r="D867" s="16"/>
      <c r="E867" s="18"/>
      <c r="F867" s="18"/>
      <c r="G867" s="18"/>
      <c r="H867" s="18"/>
      <c r="I867" s="18"/>
      <c r="J867" s="18"/>
    </row>
    <row r="868" spans="2:10" ht="12.75" customHeight="1" x14ac:dyDescent="0.2">
      <c r="B868" s="16"/>
      <c r="C868" s="17"/>
      <c r="D868" s="16"/>
      <c r="E868" s="18"/>
      <c r="F868" s="18"/>
      <c r="G868" s="18"/>
      <c r="H868" s="18"/>
      <c r="I868" s="18"/>
      <c r="J868" s="18"/>
    </row>
    <row r="869" spans="2:10" ht="12.75" customHeight="1" x14ac:dyDescent="0.2">
      <c r="B869" s="16"/>
      <c r="C869" s="17"/>
      <c r="D869" s="16"/>
      <c r="E869" s="18"/>
      <c r="F869" s="18"/>
      <c r="G869" s="18"/>
      <c r="H869" s="18"/>
      <c r="I869" s="18"/>
      <c r="J869" s="18"/>
    </row>
    <row r="870" spans="2:10" ht="12.75" customHeight="1" x14ac:dyDescent="0.2">
      <c r="B870" s="16"/>
      <c r="C870" s="17"/>
      <c r="D870" s="16"/>
      <c r="E870" s="18"/>
      <c r="F870" s="18"/>
      <c r="G870" s="18"/>
      <c r="H870" s="18"/>
      <c r="I870" s="18"/>
      <c r="J870" s="18"/>
    </row>
    <row r="871" spans="2:10" ht="12.75" customHeight="1" x14ac:dyDescent="0.2">
      <c r="B871" s="16"/>
      <c r="C871" s="17"/>
      <c r="D871" s="16"/>
      <c r="E871" s="18"/>
      <c r="F871" s="18"/>
      <c r="G871" s="18"/>
      <c r="H871" s="18"/>
      <c r="I871" s="18"/>
      <c r="J871" s="18"/>
    </row>
    <row r="872" spans="2:10" ht="12.75" customHeight="1" x14ac:dyDescent="0.2">
      <c r="B872" s="16"/>
      <c r="C872" s="17"/>
      <c r="D872" s="16"/>
      <c r="E872" s="18"/>
      <c r="F872" s="18"/>
      <c r="G872" s="18"/>
      <c r="H872" s="18"/>
      <c r="I872" s="18"/>
      <c r="J872" s="18"/>
    </row>
    <row r="873" spans="2:10" ht="12.75" customHeight="1" x14ac:dyDescent="0.2">
      <c r="B873" s="16"/>
      <c r="C873" s="17"/>
      <c r="D873" s="16"/>
      <c r="E873" s="18"/>
      <c r="F873" s="18"/>
      <c r="G873" s="18"/>
      <c r="H873" s="18"/>
      <c r="I873" s="18"/>
      <c r="J873" s="18"/>
    </row>
    <row r="874" spans="2:10" ht="12.75" customHeight="1" x14ac:dyDescent="0.2">
      <c r="B874" s="16"/>
      <c r="C874" s="17"/>
      <c r="D874" s="16"/>
      <c r="E874" s="18"/>
      <c r="F874" s="18"/>
      <c r="G874" s="18"/>
      <c r="H874" s="18"/>
      <c r="I874" s="18"/>
      <c r="J874" s="18"/>
    </row>
    <row r="875" spans="2:10" ht="12.75" customHeight="1" x14ac:dyDescent="0.2">
      <c r="B875" s="16"/>
      <c r="C875" s="17"/>
      <c r="D875" s="16"/>
      <c r="E875" s="18"/>
      <c r="F875" s="18"/>
      <c r="G875" s="18"/>
      <c r="H875" s="18"/>
      <c r="I875" s="18"/>
      <c r="J875" s="18"/>
    </row>
    <row r="876" spans="2:10" ht="12.75" customHeight="1" x14ac:dyDescent="0.2">
      <c r="B876" s="16"/>
      <c r="C876" s="17"/>
      <c r="D876" s="16"/>
      <c r="E876" s="18"/>
      <c r="F876" s="18"/>
      <c r="G876" s="18"/>
      <c r="H876" s="18"/>
      <c r="I876" s="18"/>
      <c r="J876" s="18"/>
    </row>
    <row r="877" spans="2:10" ht="12.75" customHeight="1" x14ac:dyDescent="0.2">
      <c r="B877" s="16"/>
      <c r="C877" s="17"/>
      <c r="D877" s="16"/>
      <c r="E877" s="18"/>
      <c r="F877" s="18"/>
      <c r="G877" s="18"/>
      <c r="H877" s="18"/>
      <c r="I877" s="18"/>
      <c r="J877" s="18"/>
    </row>
    <row r="878" spans="2:10" ht="12.75" customHeight="1" x14ac:dyDescent="0.2">
      <c r="B878" s="16"/>
      <c r="C878" s="17"/>
      <c r="D878" s="16"/>
      <c r="E878" s="18"/>
      <c r="F878" s="18"/>
      <c r="G878" s="18"/>
      <c r="H878" s="18"/>
      <c r="I878" s="18"/>
      <c r="J878" s="18"/>
    </row>
    <row r="879" spans="2:10" ht="12.75" customHeight="1" x14ac:dyDescent="0.2">
      <c r="B879" s="16"/>
      <c r="C879" s="17"/>
      <c r="D879" s="16"/>
      <c r="E879" s="18"/>
      <c r="F879" s="18"/>
      <c r="G879" s="18"/>
      <c r="H879" s="18"/>
      <c r="I879" s="18"/>
      <c r="J879" s="18"/>
    </row>
    <row r="880" spans="2:10" ht="12.75" customHeight="1" x14ac:dyDescent="0.2">
      <c r="B880" s="16"/>
      <c r="C880" s="17"/>
      <c r="D880" s="16"/>
      <c r="E880" s="18"/>
      <c r="F880" s="18"/>
      <c r="G880" s="18"/>
      <c r="H880" s="18"/>
      <c r="I880" s="18"/>
      <c r="J880" s="18"/>
    </row>
    <row r="881" spans="2:10" ht="12.75" customHeight="1" x14ac:dyDescent="0.2">
      <c r="B881" s="16"/>
      <c r="C881" s="17"/>
      <c r="D881" s="16"/>
      <c r="E881" s="18"/>
      <c r="F881" s="18"/>
      <c r="G881" s="18"/>
      <c r="H881" s="18"/>
      <c r="I881" s="18"/>
      <c r="J881" s="18"/>
    </row>
    <row r="882" spans="2:10" ht="12.75" customHeight="1" x14ac:dyDescent="0.2">
      <c r="B882" s="16"/>
      <c r="C882" s="17"/>
      <c r="D882" s="16"/>
      <c r="E882" s="18"/>
      <c r="F882" s="18"/>
      <c r="G882" s="18"/>
      <c r="H882" s="18"/>
      <c r="I882" s="18"/>
      <c r="J882" s="18"/>
    </row>
    <row r="883" spans="2:10" ht="12.75" customHeight="1" x14ac:dyDescent="0.2">
      <c r="B883" s="16"/>
      <c r="C883" s="17"/>
      <c r="D883" s="16"/>
      <c r="E883" s="18"/>
      <c r="F883" s="18"/>
      <c r="G883" s="18"/>
      <c r="H883" s="18"/>
      <c r="I883" s="18"/>
      <c r="J883" s="18"/>
    </row>
    <row r="884" spans="2:10" ht="12.75" customHeight="1" x14ac:dyDescent="0.2">
      <c r="B884" s="16"/>
      <c r="C884" s="17"/>
      <c r="D884" s="16"/>
      <c r="E884" s="18"/>
      <c r="F884" s="18"/>
      <c r="G884" s="18"/>
      <c r="H884" s="18"/>
      <c r="I884" s="18"/>
      <c r="J884" s="18"/>
    </row>
    <row r="885" spans="2:10" ht="12.75" customHeight="1" x14ac:dyDescent="0.2">
      <c r="B885" s="16"/>
      <c r="C885" s="17"/>
      <c r="D885" s="16"/>
      <c r="E885" s="18"/>
      <c r="F885" s="18"/>
      <c r="G885" s="18"/>
      <c r="H885" s="18"/>
      <c r="I885" s="18"/>
      <c r="J885" s="18"/>
    </row>
    <row r="886" spans="2:10" ht="12.75" customHeight="1" x14ac:dyDescent="0.2">
      <c r="B886" s="16"/>
      <c r="C886" s="17"/>
      <c r="D886" s="16"/>
      <c r="E886" s="18"/>
      <c r="F886" s="18"/>
      <c r="G886" s="18"/>
      <c r="H886" s="18"/>
      <c r="I886" s="18"/>
      <c r="J886" s="18"/>
    </row>
    <row r="887" spans="2:10" ht="12.75" customHeight="1" x14ac:dyDescent="0.2">
      <c r="B887" s="16"/>
      <c r="C887" s="17"/>
      <c r="D887" s="16"/>
      <c r="E887" s="18"/>
      <c r="F887" s="18"/>
      <c r="G887" s="18"/>
      <c r="H887" s="18"/>
      <c r="I887" s="18"/>
      <c r="J887" s="18"/>
    </row>
    <row r="888" spans="2:10" ht="12.75" customHeight="1" x14ac:dyDescent="0.2">
      <c r="B888" s="16"/>
      <c r="C888" s="17"/>
      <c r="D888" s="16"/>
      <c r="E888" s="18"/>
      <c r="F888" s="18"/>
      <c r="G888" s="18"/>
      <c r="H888" s="18"/>
      <c r="I888" s="18"/>
      <c r="J888" s="18"/>
    </row>
    <row r="889" spans="2:10" ht="12.75" customHeight="1" x14ac:dyDescent="0.2">
      <c r="B889" s="16"/>
      <c r="C889" s="17"/>
      <c r="D889" s="16"/>
      <c r="E889" s="18"/>
      <c r="F889" s="18"/>
      <c r="G889" s="18"/>
      <c r="H889" s="18"/>
      <c r="I889" s="18"/>
      <c r="J889" s="18"/>
    </row>
    <row r="890" spans="2:10" ht="12.75" customHeight="1" x14ac:dyDescent="0.2">
      <c r="B890" s="16"/>
      <c r="C890" s="17"/>
      <c r="D890" s="16"/>
      <c r="E890" s="18"/>
      <c r="F890" s="18"/>
      <c r="G890" s="18"/>
      <c r="H890" s="18"/>
      <c r="I890" s="18"/>
      <c r="J890" s="18"/>
    </row>
    <row r="891" spans="2:10" ht="12.75" customHeight="1" x14ac:dyDescent="0.2">
      <c r="B891" s="16"/>
      <c r="C891" s="17"/>
      <c r="D891" s="16"/>
      <c r="E891" s="18"/>
      <c r="F891" s="18"/>
      <c r="G891" s="18"/>
      <c r="H891" s="18"/>
      <c r="I891" s="18"/>
      <c r="J891" s="18"/>
    </row>
    <row r="892" spans="2:10" ht="12.75" customHeight="1" x14ac:dyDescent="0.2">
      <c r="B892" s="16"/>
      <c r="C892" s="17"/>
      <c r="D892" s="16"/>
      <c r="E892" s="18"/>
      <c r="F892" s="18"/>
      <c r="G892" s="18"/>
      <c r="H892" s="18"/>
      <c r="I892" s="18"/>
      <c r="J892" s="18"/>
    </row>
    <row r="893" spans="2:10" ht="12.75" customHeight="1" x14ac:dyDescent="0.2">
      <c r="B893" s="16"/>
      <c r="C893" s="17"/>
      <c r="D893" s="16"/>
      <c r="E893" s="18"/>
      <c r="F893" s="18"/>
      <c r="G893" s="18"/>
      <c r="H893" s="18"/>
      <c r="I893" s="18"/>
      <c r="J893" s="18"/>
    </row>
    <row r="894" spans="2:10" ht="12.75" customHeight="1" x14ac:dyDescent="0.2">
      <c r="B894" s="16"/>
      <c r="C894" s="17"/>
      <c r="D894" s="16"/>
      <c r="E894" s="18"/>
      <c r="F894" s="18"/>
      <c r="G894" s="18"/>
      <c r="H894" s="18"/>
      <c r="I894" s="18"/>
      <c r="J894" s="18"/>
    </row>
    <row r="895" spans="2:10" ht="12.75" customHeight="1" x14ac:dyDescent="0.2">
      <c r="B895" s="16"/>
      <c r="C895" s="17"/>
      <c r="D895" s="16"/>
      <c r="E895" s="18"/>
      <c r="F895" s="18"/>
      <c r="G895" s="18"/>
      <c r="H895" s="18"/>
      <c r="I895" s="18"/>
      <c r="J895" s="18"/>
    </row>
    <row r="896" spans="2:10" ht="12.75" customHeight="1" x14ac:dyDescent="0.2">
      <c r="B896" s="16"/>
      <c r="C896" s="17"/>
      <c r="D896" s="16"/>
      <c r="E896" s="18"/>
      <c r="F896" s="18"/>
      <c r="G896" s="18"/>
      <c r="H896" s="18"/>
      <c r="I896" s="18"/>
      <c r="J896" s="18"/>
    </row>
    <row r="897" spans="2:10" ht="12.75" customHeight="1" x14ac:dyDescent="0.2">
      <c r="B897" s="16"/>
      <c r="C897" s="17"/>
      <c r="D897" s="16"/>
      <c r="E897" s="18"/>
      <c r="F897" s="18"/>
      <c r="G897" s="18"/>
      <c r="H897" s="18"/>
      <c r="I897" s="18"/>
      <c r="J897" s="18"/>
    </row>
    <row r="898" spans="2:10" ht="12.75" customHeight="1" x14ac:dyDescent="0.2">
      <c r="B898" s="16"/>
      <c r="C898" s="17"/>
      <c r="D898" s="16"/>
      <c r="E898" s="18"/>
      <c r="F898" s="18"/>
      <c r="G898" s="18"/>
      <c r="H898" s="18"/>
      <c r="I898" s="18"/>
      <c r="J898" s="18"/>
    </row>
    <row r="899" spans="2:10" ht="12.75" customHeight="1" x14ac:dyDescent="0.2">
      <c r="B899" s="16"/>
      <c r="C899" s="17"/>
      <c r="D899" s="16"/>
      <c r="E899" s="18"/>
      <c r="F899" s="18"/>
      <c r="G899" s="18"/>
      <c r="H899" s="18"/>
      <c r="I899" s="18"/>
      <c r="J899" s="18"/>
    </row>
    <row r="900" spans="2:10" ht="12.75" customHeight="1" x14ac:dyDescent="0.2">
      <c r="B900" s="16"/>
      <c r="C900" s="17"/>
      <c r="D900" s="16"/>
      <c r="E900" s="18"/>
      <c r="F900" s="18"/>
      <c r="G900" s="18"/>
      <c r="H900" s="18"/>
      <c r="I900" s="18"/>
      <c r="J900" s="18"/>
    </row>
    <row r="901" spans="2:10" ht="12.75" customHeight="1" x14ac:dyDescent="0.2">
      <c r="B901" s="16"/>
      <c r="C901" s="17"/>
      <c r="D901" s="16"/>
      <c r="E901" s="18"/>
      <c r="F901" s="18"/>
      <c r="G901" s="18"/>
      <c r="H901" s="18"/>
      <c r="I901" s="18"/>
      <c r="J901" s="18"/>
    </row>
    <row r="902" spans="2:10" ht="12.75" customHeight="1" x14ac:dyDescent="0.2">
      <c r="B902" s="16"/>
      <c r="C902" s="17"/>
      <c r="D902" s="16"/>
      <c r="E902" s="18"/>
      <c r="F902" s="18"/>
      <c r="G902" s="18"/>
      <c r="H902" s="18"/>
      <c r="I902" s="18"/>
      <c r="J902" s="18"/>
    </row>
    <row r="903" spans="2:10" ht="12.75" customHeight="1" x14ac:dyDescent="0.2">
      <c r="B903" s="16"/>
      <c r="C903" s="17"/>
      <c r="D903" s="16"/>
      <c r="E903" s="18"/>
      <c r="F903" s="18"/>
      <c r="G903" s="18"/>
      <c r="H903" s="18"/>
      <c r="I903" s="18"/>
      <c r="J903" s="18"/>
    </row>
    <row r="904" spans="2:10" ht="12.75" customHeight="1" x14ac:dyDescent="0.2">
      <c r="B904" s="16"/>
      <c r="C904" s="17"/>
      <c r="D904" s="16"/>
      <c r="E904" s="18"/>
      <c r="F904" s="18"/>
      <c r="G904" s="18"/>
      <c r="H904" s="18"/>
      <c r="I904" s="18"/>
      <c r="J904" s="18"/>
    </row>
    <row r="905" spans="2:10" ht="12.75" customHeight="1" x14ac:dyDescent="0.2">
      <c r="B905" s="16"/>
      <c r="C905" s="17"/>
      <c r="D905" s="16"/>
      <c r="E905" s="18"/>
      <c r="F905" s="18"/>
      <c r="G905" s="18"/>
      <c r="H905" s="18"/>
      <c r="I905" s="18"/>
      <c r="J905" s="18"/>
    </row>
    <row r="906" spans="2:10" ht="12.75" customHeight="1" x14ac:dyDescent="0.2">
      <c r="B906" s="16"/>
      <c r="C906" s="17"/>
      <c r="D906" s="16"/>
      <c r="E906" s="18"/>
      <c r="F906" s="18"/>
      <c r="G906" s="18"/>
      <c r="H906" s="18"/>
      <c r="I906" s="18"/>
      <c r="J906" s="18"/>
    </row>
    <row r="907" spans="2:10" ht="12.75" customHeight="1" x14ac:dyDescent="0.2">
      <c r="B907" s="16"/>
      <c r="C907" s="17"/>
      <c r="D907" s="16"/>
      <c r="E907" s="18"/>
      <c r="F907" s="18"/>
      <c r="G907" s="18"/>
      <c r="H907" s="18"/>
      <c r="I907" s="18"/>
      <c r="J907" s="18"/>
    </row>
    <row r="908" spans="2:10" ht="12.75" customHeight="1" x14ac:dyDescent="0.2">
      <c r="B908" s="16"/>
      <c r="C908" s="17"/>
      <c r="D908" s="16"/>
      <c r="E908" s="18"/>
      <c r="F908" s="18"/>
      <c r="G908" s="18"/>
      <c r="H908" s="18"/>
      <c r="I908" s="18"/>
      <c r="J908" s="18"/>
    </row>
    <row r="909" spans="2:10" ht="12.75" customHeight="1" x14ac:dyDescent="0.2">
      <c r="B909" s="16"/>
      <c r="C909" s="17"/>
      <c r="D909" s="16"/>
      <c r="E909" s="18"/>
      <c r="F909" s="18"/>
      <c r="G909" s="18"/>
      <c r="H909" s="18"/>
      <c r="I909" s="18"/>
      <c r="J909" s="18"/>
    </row>
    <row r="910" spans="2:10" ht="12.75" customHeight="1" x14ac:dyDescent="0.2">
      <c r="B910" s="16"/>
      <c r="C910" s="17"/>
      <c r="D910" s="16"/>
      <c r="E910" s="18"/>
      <c r="F910" s="18"/>
      <c r="G910" s="18"/>
      <c r="H910" s="18"/>
      <c r="I910" s="18"/>
      <c r="J910" s="18"/>
    </row>
    <row r="911" spans="2:10" ht="12.75" customHeight="1" x14ac:dyDescent="0.2">
      <c r="B911" s="16"/>
      <c r="C911" s="17"/>
      <c r="D911" s="16"/>
      <c r="E911" s="18"/>
      <c r="F911" s="18"/>
      <c r="G911" s="18"/>
      <c r="H911" s="18"/>
      <c r="I911" s="18"/>
      <c r="J911" s="18"/>
    </row>
    <row r="912" spans="2:10" ht="12.75" customHeight="1" x14ac:dyDescent="0.2">
      <c r="B912" s="16"/>
      <c r="C912" s="17"/>
      <c r="D912" s="16"/>
      <c r="E912" s="18"/>
      <c r="F912" s="18"/>
      <c r="G912" s="18"/>
      <c r="H912" s="18"/>
      <c r="I912" s="18"/>
      <c r="J912" s="18"/>
    </row>
    <row r="913" spans="2:10" ht="12.75" customHeight="1" x14ac:dyDescent="0.2">
      <c r="B913" s="16"/>
      <c r="C913" s="17"/>
      <c r="D913" s="16"/>
      <c r="E913" s="18"/>
      <c r="F913" s="18"/>
      <c r="G913" s="18"/>
      <c r="H913" s="18"/>
      <c r="I913" s="18"/>
      <c r="J913" s="18"/>
    </row>
    <row r="914" spans="2:10" ht="12.75" customHeight="1" x14ac:dyDescent="0.2">
      <c r="B914" s="16"/>
      <c r="C914" s="17"/>
      <c r="D914" s="16"/>
      <c r="E914" s="18"/>
      <c r="F914" s="18"/>
      <c r="G914" s="18"/>
      <c r="H914" s="18"/>
      <c r="I914" s="18"/>
      <c r="J914" s="18"/>
    </row>
    <row r="915" spans="2:10" ht="12.75" customHeight="1" x14ac:dyDescent="0.2">
      <c r="B915" s="16"/>
      <c r="C915" s="17"/>
      <c r="D915" s="16"/>
      <c r="E915" s="18"/>
      <c r="F915" s="18"/>
      <c r="G915" s="18"/>
      <c r="H915" s="18"/>
      <c r="I915" s="18"/>
      <c r="J915" s="18"/>
    </row>
    <row r="916" spans="2:10" ht="12.75" customHeight="1" x14ac:dyDescent="0.2">
      <c r="B916" s="16"/>
      <c r="C916" s="17"/>
      <c r="D916" s="16"/>
      <c r="E916" s="18"/>
      <c r="F916" s="18"/>
      <c r="G916" s="18"/>
      <c r="H916" s="18"/>
      <c r="I916" s="18"/>
      <c r="J916" s="18"/>
    </row>
    <row r="917" spans="2:10" ht="12.75" customHeight="1" x14ac:dyDescent="0.2">
      <c r="B917" s="16"/>
      <c r="C917" s="17"/>
      <c r="D917" s="16"/>
      <c r="E917" s="18"/>
      <c r="F917" s="18"/>
      <c r="G917" s="18"/>
      <c r="H917" s="18"/>
      <c r="I917" s="18"/>
      <c r="J917" s="18"/>
    </row>
    <row r="918" spans="2:10" ht="12.75" customHeight="1" x14ac:dyDescent="0.2">
      <c r="B918" s="16"/>
      <c r="C918" s="17"/>
      <c r="D918" s="16"/>
      <c r="E918" s="18"/>
      <c r="F918" s="18"/>
      <c r="G918" s="18"/>
      <c r="H918" s="18"/>
      <c r="I918" s="18"/>
      <c r="J918" s="18"/>
    </row>
    <row r="919" spans="2:10" ht="12.75" customHeight="1" x14ac:dyDescent="0.2">
      <c r="B919" s="16"/>
      <c r="C919" s="17"/>
      <c r="D919" s="16"/>
      <c r="E919" s="18"/>
      <c r="F919" s="18"/>
      <c r="G919" s="18"/>
      <c r="H919" s="18"/>
      <c r="I919" s="18"/>
      <c r="J919" s="18"/>
    </row>
    <row r="920" spans="2:10" ht="12.75" customHeight="1" x14ac:dyDescent="0.2">
      <c r="B920" s="16"/>
      <c r="C920" s="17"/>
      <c r="D920" s="16"/>
      <c r="E920" s="18"/>
      <c r="F920" s="18"/>
      <c r="G920" s="18"/>
      <c r="H920" s="18"/>
      <c r="I920" s="18"/>
      <c r="J920" s="18"/>
    </row>
    <row r="921" spans="2:10" ht="12.75" customHeight="1" x14ac:dyDescent="0.2">
      <c r="B921" s="16"/>
      <c r="C921" s="17"/>
      <c r="D921" s="16"/>
      <c r="E921" s="18"/>
      <c r="F921" s="18"/>
      <c r="G921" s="18"/>
      <c r="H921" s="18"/>
      <c r="I921" s="18"/>
      <c r="J921" s="18"/>
    </row>
    <row r="922" spans="2:10" ht="12.75" customHeight="1" x14ac:dyDescent="0.2">
      <c r="B922" s="16"/>
      <c r="C922" s="17"/>
      <c r="D922" s="16"/>
      <c r="E922" s="18"/>
      <c r="F922" s="18"/>
      <c r="G922" s="18"/>
      <c r="H922" s="18"/>
      <c r="I922" s="18"/>
      <c r="J922" s="18"/>
    </row>
    <row r="923" spans="2:10" ht="12.75" customHeight="1" x14ac:dyDescent="0.2">
      <c r="B923" s="16"/>
      <c r="C923" s="17"/>
      <c r="D923" s="16"/>
      <c r="E923" s="18"/>
      <c r="F923" s="18"/>
      <c r="G923" s="18"/>
      <c r="H923" s="18"/>
      <c r="I923" s="18"/>
      <c r="J923" s="18"/>
    </row>
    <row r="924" spans="2:10" ht="12.75" customHeight="1" x14ac:dyDescent="0.2">
      <c r="B924" s="16"/>
      <c r="C924" s="17"/>
      <c r="D924" s="16"/>
      <c r="E924" s="18"/>
      <c r="F924" s="18"/>
      <c r="G924" s="18"/>
      <c r="H924" s="18"/>
      <c r="I924" s="18"/>
      <c r="J924" s="18"/>
    </row>
    <row r="925" spans="2:10" ht="12.75" customHeight="1" x14ac:dyDescent="0.2">
      <c r="B925" s="16"/>
      <c r="C925" s="17"/>
      <c r="D925" s="16"/>
      <c r="E925" s="18"/>
      <c r="F925" s="18"/>
      <c r="G925" s="18"/>
      <c r="H925" s="18"/>
      <c r="I925" s="18"/>
      <c r="J925" s="18"/>
    </row>
    <row r="926" spans="2:10" ht="12.75" customHeight="1" x14ac:dyDescent="0.2">
      <c r="B926" s="16"/>
      <c r="C926" s="17"/>
      <c r="D926" s="16"/>
      <c r="E926" s="18"/>
      <c r="F926" s="18"/>
      <c r="G926" s="18"/>
      <c r="H926" s="18"/>
      <c r="I926" s="18"/>
      <c r="J926" s="18"/>
    </row>
    <row r="927" spans="2:10" ht="12.75" customHeight="1" x14ac:dyDescent="0.2">
      <c r="B927" s="16"/>
      <c r="C927" s="17"/>
      <c r="D927" s="16"/>
      <c r="E927" s="18"/>
      <c r="F927" s="18"/>
      <c r="G927" s="18"/>
      <c r="H927" s="18"/>
      <c r="I927" s="18"/>
      <c r="J927" s="18"/>
    </row>
    <row r="928" spans="2:10" ht="12.75" customHeight="1" x14ac:dyDescent="0.2">
      <c r="B928" s="16"/>
      <c r="C928" s="17"/>
      <c r="D928" s="16"/>
      <c r="E928" s="18"/>
      <c r="F928" s="18"/>
      <c r="G928" s="18"/>
      <c r="H928" s="18"/>
      <c r="I928" s="18"/>
      <c r="J928" s="18"/>
    </row>
    <row r="929" spans="2:10" ht="12.75" customHeight="1" x14ac:dyDescent="0.2">
      <c r="B929" s="16"/>
      <c r="C929" s="17"/>
      <c r="D929" s="16"/>
      <c r="E929" s="18"/>
      <c r="F929" s="18"/>
      <c r="G929" s="18"/>
      <c r="H929" s="18"/>
      <c r="I929" s="18"/>
      <c r="J929" s="18"/>
    </row>
    <row r="930" spans="2:10" ht="12.75" customHeight="1" x14ac:dyDescent="0.2">
      <c r="B930" s="16"/>
      <c r="C930" s="17"/>
      <c r="D930" s="16"/>
      <c r="E930" s="18"/>
      <c r="F930" s="18"/>
      <c r="G930" s="18"/>
      <c r="H930" s="18"/>
      <c r="I930" s="18"/>
      <c r="J930" s="18"/>
    </row>
    <row r="931" spans="2:10" ht="12.75" customHeight="1" x14ac:dyDescent="0.2">
      <c r="B931" s="16"/>
      <c r="C931" s="17"/>
      <c r="D931" s="16"/>
      <c r="E931" s="18"/>
      <c r="F931" s="18"/>
      <c r="G931" s="18"/>
      <c r="H931" s="18"/>
      <c r="I931" s="18"/>
      <c r="J931" s="18"/>
    </row>
    <row r="932" spans="2:10" ht="12.75" customHeight="1" x14ac:dyDescent="0.2">
      <c r="B932" s="16"/>
      <c r="C932" s="17"/>
      <c r="D932" s="16"/>
      <c r="E932" s="18"/>
      <c r="F932" s="18"/>
      <c r="G932" s="18"/>
      <c r="H932" s="18"/>
      <c r="I932" s="18"/>
      <c r="J932" s="18"/>
    </row>
    <row r="933" spans="2:10" ht="12.75" customHeight="1" x14ac:dyDescent="0.2">
      <c r="B933" s="16"/>
      <c r="C933" s="17"/>
      <c r="D933" s="16"/>
      <c r="E933" s="18"/>
      <c r="F933" s="18"/>
      <c r="G933" s="18"/>
      <c r="H933" s="18"/>
      <c r="I933" s="18"/>
      <c r="J933" s="18"/>
    </row>
    <row r="934" spans="2:10" ht="12.75" customHeight="1" x14ac:dyDescent="0.2">
      <c r="B934" s="16"/>
      <c r="C934" s="17"/>
      <c r="D934" s="16"/>
      <c r="E934" s="18"/>
      <c r="F934" s="18"/>
      <c r="G934" s="18"/>
      <c r="H934" s="18"/>
      <c r="I934" s="18"/>
      <c r="J934" s="18"/>
    </row>
    <row r="935" spans="2:10" ht="12.75" customHeight="1" x14ac:dyDescent="0.2">
      <c r="B935" s="16"/>
      <c r="C935" s="17"/>
      <c r="D935" s="16"/>
      <c r="E935" s="18"/>
      <c r="F935" s="18"/>
      <c r="G935" s="18"/>
      <c r="H935" s="18"/>
      <c r="I935" s="18"/>
      <c r="J935" s="18"/>
    </row>
    <row r="936" spans="2:10" ht="12.75" customHeight="1" x14ac:dyDescent="0.2">
      <c r="B936" s="16"/>
      <c r="C936" s="17"/>
      <c r="D936" s="16"/>
      <c r="E936" s="18"/>
      <c r="F936" s="18"/>
      <c r="G936" s="18"/>
      <c r="H936" s="18"/>
      <c r="I936" s="18"/>
      <c r="J936" s="18"/>
    </row>
    <row r="937" spans="2:10" ht="12.75" customHeight="1" x14ac:dyDescent="0.2">
      <c r="B937" s="16"/>
      <c r="C937" s="17"/>
      <c r="D937" s="16"/>
      <c r="E937" s="18"/>
      <c r="F937" s="18"/>
      <c r="G937" s="18"/>
      <c r="H937" s="18"/>
      <c r="I937" s="18"/>
      <c r="J937" s="18"/>
    </row>
    <row r="938" spans="2:10" ht="12.75" customHeight="1" x14ac:dyDescent="0.2">
      <c r="B938" s="16"/>
      <c r="C938" s="17"/>
      <c r="D938" s="16"/>
      <c r="E938" s="18"/>
      <c r="F938" s="18"/>
      <c r="G938" s="18"/>
      <c r="H938" s="18"/>
      <c r="I938" s="18"/>
      <c r="J938" s="18"/>
    </row>
    <row r="939" spans="2:10" ht="12.75" customHeight="1" x14ac:dyDescent="0.2">
      <c r="B939" s="16"/>
      <c r="C939" s="17"/>
      <c r="D939" s="16"/>
      <c r="E939" s="18"/>
      <c r="F939" s="18"/>
      <c r="G939" s="18"/>
      <c r="H939" s="18"/>
      <c r="I939" s="18"/>
      <c r="J939" s="18"/>
    </row>
    <row r="940" spans="2:10" ht="12.75" customHeight="1" x14ac:dyDescent="0.2">
      <c r="B940" s="16"/>
      <c r="C940" s="17"/>
      <c r="D940" s="16"/>
      <c r="E940" s="18"/>
      <c r="F940" s="18"/>
      <c r="G940" s="18"/>
      <c r="H940" s="18"/>
      <c r="I940" s="18"/>
      <c r="J940" s="18"/>
    </row>
    <row r="941" spans="2:10" ht="12.75" customHeight="1" x14ac:dyDescent="0.2">
      <c r="B941" s="16"/>
      <c r="C941" s="17"/>
      <c r="D941" s="16"/>
      <c r="E941" s="18"/>
      <c r="F941" s="18"/>
      <c r="G941" s="18"/>
      <c r="H941" s="18"/>
      <c r="I941" s="18"/>
      <c r="J941" s="18"/>
    </row>
    <row r="942" spans="2:10" ht="12.75" customHeight="1" x14ac:dyDescent="0.2">
      <c r="B942" s="16"/>
      <c r="C942" s="17"/>
      <c r="D942" s="16"/>
      <c r="E942" s="18"/>
      <c r="F942" s="18"/>
      <c r="G942" s="18"/>
      <c r="H942" s="18"/>
      <c r="I942" s="18"/>
      <c r="J942" s="18"/>
    </row>
    <row r="943" spans="2:10" ht="12.75" customHeight="1" x14ac:dyDescent="0.2">
      <c r="B943" s="16"/>
      <c r="C943" s="17"/>
      <c r="D943" s="16"/>
      <c r="E943" s="18"/>
      <c r="F943" s="18"/>
      <c r="G943" s="18"/>
      <c r="H943" s="18"/>
      <c r="I943" s="18"/>
      <c r="J943" s="18"/>
    </row>
    <row r="944" spans="2:10" ht="12.75" customHeight="1" x14ac:dyDescent="0.2">
      <c r="B944" s="16"/>
      <c r="C944" s="17"/>
      <c r="D944" s="16"/>
      <c r="E944" s="18"/>
      <c r="F944" s="18"/>
      <c r="G944" s="18"/>
      <c r="H944" s="18"/>
      <c r="I944" s="18"/>
      <c r="J944" s="18"/>
    </row>
    <row r="945" spans="2:10" ht="12.75" customHeight="1" x14ac:dyDescent="0.2">
      <c r="B945" s="16"/>
      <c r="C945" s="17"/>
      <c r="D945" s="16"/>
      <c r="E945" s="18"/>
      <c r="F945" s="18"/>
      <c r="G945" s="18"/>
      <c r="H945" s="18"/>
      <c r="I945" s="18"/>
      <c r="J945" s="18"/>
    </row>
    <row r="946" spans="2:10" ht="12.75" customHeight="1" x14ac:dyDescent="0.2">
      <c r="B946" s="16"/>
      <c r="C946" s="17"/>
      <c r="D946" s="16"/>
      <c r="E946" s="18"/>
      <c r="F946" s="18"/>
      <c r="G946" s="18"/>
      <c r="H946" s="18"/>
      <c r="I946" s="18"/>
      <c r="J946" s="18"/>
    </row>
    <row r="947" spans="2:10" ht="12.75" customHeight="1" x14ac:dyDescent="0.2">
      <c r="B947" s="16"/>
      <c r="C947" s="17"/>
      <c r="D947" s="16"/>
      <c r="E947" s="18"/>
      <c r="F947" s="18"/>
      <c r="G947" s="18"/>
      <c r="H947" s="18"/>
      <c r="I947" s="18"/>
      <c r="J947" s="18"/>
    </row>
    <row r="948" spans="2:10" ht="12.75" customHeight="1" x14ac:dyDescent="0.2">
      <c r="B948" s="16"/>
      <c r="C948" s="17"/>
      <c r="D948" s="16"/>
      <c r="E948" s="18"/>
      <c r="F948" s="18"/>
      <c r="G948" s="18"/>
      <c r="H948" s="18"/>
      <c r="I948" s="18"/>
      <c r="J948" s="18"/>
    </row>
    <row r="949" spans="2:10" ht="12.75" customHeight="1" x14ac:dyDescent="0.2">
      <c r="B949" s="16"/>
      <c r="C949" s="17"/>
      <c r="D949" s="16"/>
      <c r="E949" s="18"/>
      <c r="F949" s="18"/>
      <c r="G949" s="18"/>
      <c r="H949" s="18"/>
      <c r="I949" s="18"/>
      <c r="J949" s="18"/>
    </row>
    <row r="950" spans="2:10" ht="12.75" customHeight="1" x14ac:dyDescent="0.2">
      <c r="B950" s="16"/>
      <c r="C950" s="17"/>
      <c r="D950" s="16"/>
      <c r="E950" s="18"/>
      <c r="F950" s="18"/>
      <c r="G950" s="18"/>
      <c r="H950" s="18"/>
      <c r="I950" s="18"/>
      <c r="J950" s="18"/>
    </row>
    <row r="951" spans="2:10" ht="12.75" customHeight="1" x14ac:dyDescent="0.2">
      <c r="B951" s="16"/>
      <c r="C951" s="17"/>
      <c r="D951" s="16"/>
      <c r="E951" s="18"/>
      <c r="F951" s="18"/>
      <c r="G951" s="18"/>
      <c r="H951" s="18"/>
      <c r="I951" s="18"/>
      <c r="J951" s="18"/>
    </row>
    <row r="952" spans="2:10" ht="12.75" customHeight="1" x14ac:dyDescent="0.2">
      <c r="B952" s="16"/>
      <c r="C952" s="17"/>
      <c r="D952" s="16"/>
      <c r="E952" s="18"/>
      <c r="F952" s="18"/>
      <c r="G952" s="18"/>
      <c r="H952" s="18"/>
      <c r="I952" s="18"/>
      <c r="J952" s="18"/>
    </row>
    <row r="953" spans="2:10" ht="12.75" customHeight="1" x14ac:dyDescent="0.2">
      <c r="B953" s="16"/>
      <c r="C953" s="17"/>
      <c r="D953" s="16"/>
      <c r="E953" s="18"/>
      <c r="F953" s="18"/>
      <c r="G953" s="18"/>
      <c r="H953" s="18"/>
      <c r="I953" s="18"/>
      <c r="J953" s="18"/>
    </row>
    <row r="954" spans="2:10" ht="12.75" customHeight="1" x14ac:dyDescent="0.2">
      <c r="B954" s="16"/>
      <c r="C954" s="17"/>
      <c r="D954" s="16"/>
      <c r="E954" s="18"/>
      <c r="F954" s="18"/>
      <c r="G954" s="18"/>
      <c r="H954" s="18"/>
      <c r="I954" s="18"/>
      <c r="J954" s="18"/>
    </row>
    <row r="955" spans="2:10" ht="12.75" customHeight="1" x14ac:dyDescent="0.2">
      <c r="B955" s="16"/>
      <c r="C955" s="17"/>
      <c r="D955" s="16"/>
      <c r="E955" s="18"/>
      <c r="F955" s="18"/>
      <c r="G955" s="18"/>
      <c r="H955" s="18"/>
      <c r="I955" s="18"/>
      <c r="J955" s="18"/>
    </row>
    <row r="956" spans="2:10" ht="12.75" customHeight="1" x14ac:dyDescent="0.2">
      <c r="B956" s="16"/>
      <c r="C956" s="17"/>
      <c r="D956" s="16"/>
      <c r="E956" s="18"/>
      <c r="F956" s="18"/>
      <c r="G956" s="18"/>
      <c r="H956" s="18"/>
      <c r="I956" s="18"/>
      <c r="J956" s="18"/>
    </row>
    <row r="957" spans="2:10" ht="12.75" customHeight="1" x14ac:dyDescent="0.2">
      <c r="B957" s="16"/>
      <c r="C957" s="17"/>
      <c r="D957" s="16"/>
      <c r="E957" s="18"/>
      <c r="F957" s="18"/>
      <c r="G957" s="18"/>
      <c r="H957" s="18"/>
      <c r="I957" s="18"/>
      <c r="J957" s="18"/>
    </row>
    <row r="958" spans="2:10" ht="12.75" customHeight="1" x14ac:dyDescent="0.2">
      <c r="B958" s="16"/>
      <c r="C958" s="17"/>
      <c r="D958" s="16"/>
      <c r="E958" s="18"/>
      <c r="F958" s="18"/>
      <c r="G958" s="18"/>
      <c r="H958" s="18"/>
      <c r="I958" s="18"/>
      <c r="J958" s="18"/>
    </row>
    <row r="959" spans="2:10" ht="12.75" customHeight="1" x14ac:dyDescent="0.2">
      <c r="B959" s="16"/>
      <c r="C959" s="17"/>
      <c r="D959" s="16"/>
      <c r="E959" s="18"/>
      <c r="F959" s="18"/>
      <c r="G959" s="18"/>
      <c r="H959" s="18"/>
      <c r="I959" s="18"/>
      <c r="J959" s="18"/>
    </row>
    <row r="960" spans="2:10" ht="12.75" customHeight="1" x14ac:dyDescent="0.2">
      <c r="B960" s="16"/>
      <c r="C960" s="17"/>
      <c r="D960" s="16"/>
      <c r="E960" s="18"/>
      <c r="F960" s="18"/>
      <c r="G960" s="18"/>
      <c r="H960" s="18"/>
      <c r="I960" s="18"/>
      <c r="J960" s="18"/>
    </row>
    <row r="961" spans="2:10" ht="12.75" customHeight="1" x14ac:dyDescent="0.2">
      <c r="B961" s="16"/>
      <c r="C961" s="17"/>
      <c r="D961" s="16"/>
      <c r="E961" s="18"/>
      <c r="F961" s="18"/>
      <c r="G961" s="18"/>
      <c r="H961" s="18"/>
      <c r="I961" s="18"/>
      <c r="J961" s="18"/>
    </row>
    <row r="962" spans="2:10" ht="12.75" customHeight="1" x14ac:dyDescent="0.2">
      <c r="B962" s="16"/>
      <c r="C962" s="17"/>
      <c r="D962" s="16"/>
      <c r="E962" s="18"/>
      <c r="F962" s="18"/>
      <c r="G962" s="18"/>
      <c r="H962" s="18"/>
      <c r="I962" s="18"/>
      <c r="J962" s="18"/>
    </row>
    <row r="963" spans="2:10" ht="12.75" customHeight="1" x14ac:dyDescent="0.2">
      <c r="B963" s="16"/>
      <c r="C963" s="17"/>
      <c r="D963" s="16"/>
      <c r="E963" s="18"/>
      <c r="F963" s="18"/>
      <c r="G963" s="18"/>
      <c r="H963" s="18"/>
      <c r="I963" s="18"/>
      <c r="J963" s="18"/>
    </row>
    <row r="964" spans="2:10" ht="12.75" customHeight="1" x14ac:dyDescent="0.2">
      <c r="B964" s="16"/>
      <c r="C964" s="17"/>
      <c r="D964" s="16"/>
      <c r="E964" s="18"/>
      <c r="F964" s="18"/>
      <c r="G964" s="18"/>
      <c r="H964" s="18"/>
      <c r="I964" s="18"/>
      <c r="J964" s="18"/>
    </row>
    <row r="965" spans="2:10" ht="12.75" customHeight="1" x14ac:dyDescent="0.2">
      <c r="B965" s="16"/>
      <c r="C965" s="17"/>
      <c r="D965" s="16"/>
      <c r="E965" s="18"/>
      <c r="F965" s="18"/>
      <c r="G965" s="18"/>
      <c r="H965" s="18"/>
      <c r="I965" s="18"/>
      <c r="J965" s="18"/>
    </row>
    <row r="966" spans="2:10" ht="12.75" customHeight="1" x14ac:dyDescent="0.2">
      <c r="B966" s="16"/>
      <c r="C966" s="17"/>
      <c r="D966" s="16"/>
      <c r="E966" s="18"/>
      <c r="F966" s="18"/>
      <c r="G966" s="18"/>
      <c r="H966" s="18"/>
      <c r="I966" s="18"/>
      <c r="J966" s="18"/>
    </row>
    <row r="967" spans="2:10" ht="12.75" customHeight="1" x14ac:dyDescent="0.2">
      <c r="B967" s="16"/>
      <c r="C967" s="17"/>
      <c r="D967" s="16"/>
      <c r="E967" s="18"/>
      <c r="F967" s="18"/>
      <c r="G967" s="18"/>
      <c r="H967" s="18"/>
      <c r="I967" s="18"/>
      <c r="J967" s="18"/>
    </row>
    <row r="968" spans="2:10" ht="12.75" customHeight="1" x14ac:dyDescent="0.2">
      <c r="B968" s="16"/>
      <c r="C968" s="17"/>
      <c r="D968" s="16"/>
      <c r="E968" s="18"/>
      <c r="F968" s="18"/>
      <c r="G968" s="18"/>
      <c r="H968" s="18"/>
      <c r="I968" s="18"/>
      <c r="J968" s="18"/>
    </row>
    <row r="969" spans="2:10" ht="12.75" customHeight="1" x14ac:dyDescent="0.2">
      <c r="B969" s="16"/>
      <c r="C969" s="17"/>
      <c r="D969" s="16"/>
      <c r="E969" s="18"/>
      <c r="F969" s="18"/>
      <c r="G969" s="18"/>
      <c r="H969" s="18"/>
      <c r="I969" s="18"/>
      <c r="J969" s="18"/>
    </row>
    <row r="970" spans="2:10" ht="12.75" customHeight="1" x14ac:dyDescent="0.2">
      <c r="B970" s="16"/>
      <c r="C970" s="17"/>
      <c r="D970" s="16"/>
      <c r="E970" s="18"/>
      <c r="F970" s="18"/>
      <c r="G970" s="18"/>
      <c r="H970" s="18"/>
      <c r="I970" s="18"/>
      <c r="J970" s="18"/>
    </row>
    <row r="971" spans="2:10" ht="12.75" customHeight="1" x14ac:dyDescent="0.2">
      <c r="B971" s="16"/>
      <c r="C971" s="17"/>
      <c r="D971" s="16"/>
      <c r="E971" s="18"/>
      <c r="F971" s="18"/>
      <c r="G971" s="18"/>
      <c r="H971" s="18"/>
      <c r="I971" s="18"/>
      <c r="J971" s="18"/>
    </row>
    <row r="972" spans="2:10" ht="12.75" customHeight="1" x14ac:dyDescent="0.2">
      <c r="B972" s="16"/>
      <c r="C972" s="17"/>
      <c r="D972" s="16"/>
      <c r="E972" s="18"/>
      <c r="F972" s="18"/>
      <c r="G972" s="18"/>
      <c r="H972" s="18"/>
      <c r="I972" s="18"/>
      <c r="J972" s="18"/>
    </row>
    <row r="973" spans="2:10" ht="12.75" customHeight="1" x14ac:dyDescent="0.2">
      <c r="B973" s="16"/>
      <c r="C973" s="17"/>
      <c r="D973" s="16"/>
      <c r="E973" s="18"/>
      <c r="F973" s="18"/>
      <c r="G973" s="18"/>
      <c r="H973" s="18"/>
      <c r="I973" s="18"/>
      <c r="J973" s="18"/>
    </row>
    <row r="974" spans="2:10" ht="12.75" customHeight="1" x14ac:dyDescent="0.2">
      <c r="B974" s="16"/>
      <c r="C974" s="17"/>
      <c r="D974" s="16"/>
      <c r="E974" s="18"/>
      <c r="F974" s="18"/>
      <c r="G974" s="18"/>
      <c r="H974" s="18"/>
      <c r="I974" s="18"/>
      <c r="J974" s="18"/>
    </row>
    <row r="975" spans="2:10" ht="12.75" customHeight="1" x14ac:dyDescent="0.2">
      <c r="B975" s="16"/>
      <c r="C975" s="17"/>
      <c r="D975" s="16"/>
      <c r="E975" s="18"/>
      <c r="F975" s="18"/>
      <c r="G975" s="18"/>
      <c r="H975" s="18"/>
      <c r="I975" s="18"/>
      <c r="J975" s="18"/>
    </row>
    <row r="976" spans="2:10" ht="12.75" customHeight="1" x14ac:dyDescent="0.2">
      <c r="B976" s="16"/>
      <c r="C976" s="17"/>
      <c r="D976" s="16"/>
      <c r="E976" s="18"/>
      <c r="F976" s="18"/>
      <c r="G976" s="18"/>
      <c r="H976" s="18"/>
      <c r="I976" s="18"/>
      <c r="J976" s="18"/>
    </row>
    <row r="977" spans="2:10" ht="12.75" customHeight="1" x14ac:dyDescent="0.2">
      <c r="B977" s="16"/>
      <c r="C977" s="17"/>
      <c r="D977" s="16"/>
      <c r="E977" s="18"/>
      <c r="F977" s="18"/>
      <c r="G977" s="18"/>
      <c r="H977" s="18"/>
      <c r="I977" s="18"/>
      <c r="J977" s="18"/>
    </row>
    <row r="978" spans="2:10" ht="12.75" customHeight="1" x14ac:dyDescent="0.2">
      <c r="B978" s="16"/>
      <c r="C978" s="17"/>
      <c r="D978" s="16"/>
      <c r="E978" s="18"/>
      <c r="F978" s="18"/>
      <c r="G978" s="18"/>
      <c r="H978" s="18"/>
      <c r="I978" s="18"/>
      <c r="J978" s="18"/>
    </row>
    <row r="979" spans="2:10" ht="12.75" customHeight="1" x14ac:dyDescent="0.2">
      <c r="B979" s="16"/>
      <c r="C979" s="17"/>
      <c r="D979" s="16"/>
      <c r="E979" s="18"/>
      <c r="F979" s="18"/>
      <c r="G979" s="18"/>
      <c r="H979" s="18"/>
      <c r="I979" s="18"/>
      <c r="J979" s="18"/>
    </row>
    <row r="980" spans="2:10" ht="12.75" customHeight="1" x14ac:dyDescent="0.2">
      <c r="B980" s="16"/>
      <c r="C980" s="17"/>
      <c r="D980" s="16"/>
      <c r="E980" s="18"/>
      <c r="F980" s="18"/>
      <c r="G980" s="18"/>
      <c r="H980" s="18"/>
      <c r="I980" s="18"/>
      <c r="J980" s="18"/>
    </row>
    <row r="981" spans="2:10" ht="12.75" customHeight="1" x14ac:dyDescent="0.2">
      <c r="B981" s="16"/>
      <c r="C981" s="17"/>
      <c r="D981" s="16"/>
      <c r="E981" s="18"/>
      <c r="F981" s="18"/>
      <c r="G981" s="18"/>
      <c r="H981" s="18"/>
      <c r="I981" s="18"/>
      <c r="J981" s="18"/>
    </row>
    <row r="982" spans="2:10" ht="12.75" customHeight="1" x14ac:dyDescent="0.2">
      <c r="B982" s="16"/>
      <c r="C982" s="17"/>
      <c r="D982" s="16"/>
      <c r="E982" s="18"/>
      <c r="F982" s="18"/>
      <c r="G982" s="18"/>
      <c r="H982" s="18"/>
      <c r="I982" s="18"/>
      <c r="J982" s="18"/>
    </row>
    <row r="983" spans="2:10" ht="12.75" customHeight="1" x14ac:dyDescent="0.2">
      <c r="B983" s="16"/>
      <c r="C983" s="17"/>
      <c r="D983" s="16"/>
      <c r="E983" s="18"/>
      <c r="F983" s="18"/>
      <c r="G983" s="18"/>
      <c r="H983" s="18"/>
      <c r="I983" s="18"/>
      <c r="J983" s="18"/>
    </row>
    <row r="984" spans="2:10" ht="12.75" customHeight="1" x14ac:dyDescent="0.2">
      <c r="B984" s="16"/>
      <c r="C984" s="17"/>
      <c r="D984" s="16"/>
      <c r="E984" s="18"/>
      <c r="F984" s="18"/>
      <c r="G984" s="18"/>
      <c r="H984" s="18"/>
      <c r="I984" s="18"/>
      <c r="J984" s="18"/>
    </row>
    <row r="985" spans="2:10" ht="12.75" customHeight="1" x14ac:dyDescent="0.2">
      <c r="B985" s="16"/>
      <c r="C985" s="17"/>
      <c r="D985" s="16"/>
      <c r="E985" s="18"/>
      <c r="F985" s="18"/>
      <c r="G985" s="18"/>
      <c r="H985" s="18"/>
      <c r="I985" s="18"/>
      <c r="J985" s="18"/>
    </row>
    <row r="986" spans="2:10" ht="12.75" customHeight="1" x14ac:dyDescent="0.2">
      <c r="B986" s="16"/>
      <c r="C986" s="17"/>
      <c r="D986" s="16"/>
      <c r="E986" s="18"/>
      <c r="F986" s="18"/>
      <c r="G986" s="18"/>
      <c r="H986" s="18"/>
      <c r="I986" s="18"/>
      <c r="J986" s="18"/>
    </row>
    <row r="987" spans="2:10" ht="12.75" customHeight="1" x14ac:dyDescent="0.2">
      <c r="B987" s="16"/>
      <c r="C987" s="17"/>
      <c r="D987" s="16"/>
      <c r="E987" s="18"/>
      <c r="F987" s="18"/>
      <c r="G987" s="18"/>
      <c r="H987" s="18"/>
      <c r="I987" s="18"/>
      <c r="J987" s="18"/>
    </row>
    <row r="988" spans="2:10" ht="12.75" customHeight="1" x14ac:dyDescent="0.2">
      <c r="B988" s="16"/>
      <c r="C988" s="17"/>
      <c r="D988" s="16"/>
      <c r="E988" s="18"/>
      <c r="F988" s="18"/>
      <c r="G988" s="18"/>
      <c r="H988" s="18"/>
      <c r="I988" s="18"/>
      <c r="J988" s="18"/>
    </row>
    <row r="989" spans="2:10" ht="12.75" customHeight="1" x14ac:dyDescent="0.2">
      <c r="B989" s="16"/>
      <c r="C989" s="17"/>
      <c r="D989" s="16"/>
      <c r="E989" s="18"/>
      <c r="F989" s="18"/>
      <c r="G989" s="18"/>
      <c r="H989" s="18"/>
      <c r="I989" s="18"/>
      <c r="J989" s="18"/>
    </row>
    <row r="990" spans="2:10" ht="12.75" customHeight="1" x14ac:dyDescent="0.2">
      <c r="B990" s="16"/>
      <c r="C990" s="17"/>
      <c r="D990" s="16"/>
      <c r="E990" s="18"/>
      <c r="F990" s="18"/>
      <c r="G990" s="18"/>
      <c r="H990" s="18"/>
      <c r="I990" s="18"/>
      <c r="J990" s="18"/>
    </row>
    <row r="991" spans="2:10" ht="12.75" customHeight="1" x14ac:dyDescent="0.2">
      <c r="B991" s="16"/>
      <c r="C991" s="17"/>
      <c r="D991" s="16"/>
      <c r="E991" s="18"/>
      <c r="F991" s="18"/>
      <c r="G991" s="18"/>
      <c r="H991" s="18"/>
      <c r="I991" s="18"/>
      <c r="J991" s="18"/>
    </row>
    <row r="992" spans="2:10" ht="12.75" customHeight="1" x14ac:dyDescent="0.2">
      <c r="B992" s="16"/>
      <c r="C992" s="17"/>
      <c r="D992" s="16"/>
      <c r="E992" s="18"/>
      <c r="F992" s="18"/>
      <c r="G992" s="18"/>
      <c r="H992" s="18"/>
      <c r="I992" s="18"/>
      <c r="J992" s="18"/>
    </row>
    <row r="993" spans="2:10" ht="12.75" customHeight="1" x14ac:dyDescent="0.2">
      <c r="B993" s="16"/>
      <c r="C993" s="17"/>
      <c r="D993" s="16"/>
      <c r="E993" s="18"/>
      <c r="F993" s="18"/>
      <c r="G993" s="18"/>
      <c r="H993" s="18"/>
      <c r="I993" s="18"/>
      <c r="J993" s="18"/>
    </row>
    <row r="994" spans="2:10" ht="12.75" customHeight="1" x14ac:dyDescent="0.2">
      <c r="B994" s="16"/>
      <c r="C994" s="17"/>
      <c r="D994" s="16"/>
      <c r="E994" s="18"/>
      <c r="F994" s="18"/>
      <c r="G994" s="18"/>
      <c r="H994" s="18"/>
      <c r="I994" s="18"/>
      <c r="J994" s="18"/>
    </row>
    <row r="995" spans="2:10" ht="12.75" customHeight="1" x14ac:dyDescent="0.2">
      <c r="B995" s="16"/>
      <c r="C995" s="17"/>
      <c r="D995" s="16"/>
      <c r="E995" s="18"/>
      <c r="F995" s="18"/>
      <c r="G995" s="18"/>
      <c r="H995" s="18"/>
      <c r="I995" s="18"/>
      <c r="J995" s="18"/>
    </row>
    <row r="996" spans="2:10" ht="12.75" customHeight="1" x14ac:dyDescent="0.2">
      <c r="B996" s="16"/>
      <c r="C996" s="17"/>
      <c r="D996" s="16"/>
      <c r="E996" s="18"/>
      <c r="F996" s="18"/>
      <c r="G996" s="18"/>
      <c r="H996" s="18"/>
      <c r="I996" s="18"/>
      <c r="J996" s="18"/>
    </row>
    <row r="997" spans="2:10" ht="12.75" customHeight="1" x14ac:dyDescent="0.2">
      <c r="B997" s="16"/>
      <c r="C997" s="17"/>
      <c r="D997" s="16"/>
      <c r="E997" s="18"/>
      <c r="F997" s="18"/>
      <c r="G997" s="18"/>
      <c r="H997" s="18"/>
      <c r="I997" s="18"/>
      <c r="J997" s="18"/>
    </row>
    <row r="998" spans="2:10" ht="12.75" customHeight="1" x14ac:dyDescent="0.2">
      <c r="B998" s="16"/>
      <c r="C998" s="17"/>
      <c r="D998" s="16"/>
      <c r="E998" s="18"/>
      <c r="F998" s="18"/>
      <c r="G998" s="18"/>
      <c r="H998" s="18"/>
      <c r="I998" s="18"/>
      <c r="J998" s="18"/>
    </row>
    <row r="999" spans="2:10" ht="12.75" customHeight="1" x14ac:dyDescent="0.2">
      <c r="B999" s="16"/>
      <c r="C999" s="17"/>
      <c r="D999" s="16"/>
      <c r="E999" s="18"/>
      <c r="F999" s="18"/>
      <c r="G999" s="18"/>
      <c r="H999" s="18"/>
      <c r="I999" s="18"/>
      <c r="J999" s="18"/>
    </row>
    <row r="1000" spans="2:10" ht="12.75" customHeight="1" x14ac:dyDescent="0.2">
      <c r="B1000" s="16"/>
      <c r="C1000" s="17"/>
      <c r="D1000" s="16"/>
      <c r="E1000" s="18"/>
      <c r="F1000" s="18"/>
      <c r="G1000" s="18"/>
      <c r="H1000" s="18"/>
      <c r="I1000" s="18"/>
      <c r="J1000" s="18"/>
    </row>
  </sheetData>
  <mergeCells count="1">
    <mergeCell ref="B7:C7"/>
  </mergeCells>
  <printOptions horizontalCentered="1"/>
  <pageMargins left="0.25" right="0.25" top="0.75" bottom="0.75" header="0" footer="0"/>
  <pageSetup paperSize="9" fitToHeight="0" orientation="landscape"/>
  <headerFooter>
    <oddFooter>&amp;R14</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679E7"/>
    <outlinePr summaryBelow="0"/>
  </sheetPr>
  <dimension ref="A1:Z999"/>
  <sheetViews>
    <sheetView showGridLines="0" topLeftCell="C1" workbookViewId="0">
      <pane ySplit="8" topLeftCell="A49" activePane="bottomLeft" state="frozen"/>
      <selection pane="bottomLeft" activeCell="H40" sqref="H40:H42"/>
    </sheetView>
  </sheetViews>
  <sheetFormatPr defaultColWidth="12.5703125" defaultRowHeight="15" customHeight="1" x14ac:dyDescent="0.2"/>
  <cols>
    <col min="1" max="1" width="3.42578125" customWidth="1"/>
    <col min="2" max="2" width="8.85546875" customWidth="1"/>
    <col min="3" max="3" width="126" customWidth="1"/>
    <col min="4" max="4" width="15.7109375" customWidth="1"/>
    <col min="5" max="5" width="12.140625" customWidth="1"/>
    <col min="6" max="6" width="10.85546875" customWidth="1"/>
    <col min="7" max="7" width="19" customWidth="1"/>
    <col min="8" max="8" width="16.42578125" customWidth="1"/>
    <col min="9" max="9" width="6" customWidth="1"/>
    <col min="10" max="26" width="8.5703125" customWidth="1"/>
  </cols>
  <sheetData>
    <row r="1" spans="1:26" ht="12.75" x14ac:dyDescent="0.2">
      <c r="B1" s="18"/>
      <c r="C1" s="82"/>
      <c r="D1" s="18"/>
      <c r="E1" s="18"/>
      <c r="F1" s="18"/>
    </row>
    <row r="2" spans="1:26" ht="12.75" x14ac:dyDescent="0.2">
      <c r="B2" s="18"/>
      <c r="C2" s="82"/>
      <c r="D2" s="18"/>
      <c r="E2" s="18"/>
      <c r="F2" s="18"/>
    </row>
    <row r="3" spans="1:26" ht="15.75" x14ac:dyDescent="0.2">
      <c r="B3" s="18"/>
      <c r="C3" s="83"/>
      <c r="D3" s="18"/>
      <c r="E3" s="18"/>
      <c r="F3" s="18"/>
    </row>
    <row r="4" spans="1:26" ht="12.75" x14ac:dyDescent="0.2">
      <c r="B4" s="18"/>
      <c r="C4" s="82"/>
      <c r="D4" s="18"/>
      <c r="E4" s="18"/>
      <c r="F4" s="18"/>
    </row>
    <row r="5" spans="1:26" ht="12.75" x14ac:dyDescent="0.2">
      <c r="B5" s="18"/>
      <c r="C5" s="82"/>
      <c r="D5" s="18"/>
      <c r="E5" s="18"/>
      <c r="F5" s="18"/>
    </row>
    <row r="6" spans="1:26" ht="16.5" x14ac:dyDescent="0.25">
      <c r="B6" s="8" t="s">
        <v>265</v>
      </c>
      <c r="C6" s="82"/>
      <c r="D6" s="18"/>
      <c r="E6" s="18"/>
      <c r="F6" s="18"/>
    </row>
    <row r="7" spans="1:26" ht="12.75" x14ac:dyDescent="0.2">
      <c r="B7" s="18"/>
      <c r="C7" s="82"/>
      <c r="D7" s="18"/>
      <c r="E7" s="18"/>
      <c r="F7" s="18"/>
    </row>
    <row r="8" spans="1:26" ht="24" x14ac:dyDescent="0.2">
      <c r="A8" s="21"/>
      <c r="B8" s="84" t="s">
        <v>91</v>
      </c>
      <c r="C8" s="84" t="s">
        <v>92</v>
      </c>
      <c r="D8" s="84" t="s">
        <v>93</v>
      </c>
      <c r="E8" s="84" t="s">
        <v>266</v>
      </c>
      <c r="F8" s="84" t="s">
        <v>267</v>
      </c>
      <c r="G8" s="84" t="s">
        <v>97</v>
      </c>
      <c r="H8" s="84" t="s">
        <v>98</v>
      </c>
      <c r="I8" s="84" t="s">
        <v>100</v>
      </c>
      <c r="J8" s="21"/>
      <c r="K8" s="21"/>
      <c r="L8" s="21"/>
      <c r="M8" s="21"/>
      <c r="N8" s="21"/>
      <c r="O8" s="21"/>
      <c r="P8" s="21"/>
      <c r="Q8" s="21"/>
      <c r="R8" s="21"/>
      <c r="S8" s="21"/>
      <c r="T8" s="21"/>
      <c r="U8" s="21"/>
      <c r="V8" s="21"/>
      <c r="W8" s="21"/>
      <c r="X8" s="21"/>
      <c r="Y8" s="21"/>
      <c r="Z8" s="21"/>
    </row>
    <row r="9" spans="1:26" ht="24" x14ac:dyDescent="0.2">
      <c r="B9" s="36" t="s">
        <v>102</v>
      </c>
      <c r="C9" s="37" t="s">
        <v>103</v>
      </c>
      <c r="D9" s="36">
        <v>0</v>
      </c>
      <c r="E9" s="85">
        <v>2</v>
      </c>
      <c r="F9" s="86" t="s">
        <v>268</v>
      </c>
      <c r="G9" s="87" t="s">
        <v>104</v>
      </c>
      <c r="H9" s="40" t="s">
        <v>105</v>
      </c>
      <c r="I9" s="88" t="s">
        <v>106</v>
      </c>
      <c r="J9" s="15"/>
    </row>
    <row r="10" spans="1:26" ht="24" x14ac:dyDescent="0.2">
      <c r="B10" s="36" t="s">
        <v>107</v>
      </c>
      <c r="C10" s="37" t="s">
        <v>108</v>
      </c>
      <c r="D10" s="36" t="s">
        <v>102</v>
      </c>
      <c r="E10" s="87">
        <v>3</v>
      </c>
      <c r="F10" s="89" t="s">
        <v>269</v>
      </c>
      <c r="G10" s="87" t="s">
        <v>104</v>
      </c>
      <c r="H10" s="40" t="s">
        <v>105</v>
      </c>
      <c r="I10" s="88" t="s">
        <v>106</v>
      </c>
      <c r="J10" s="15"/>
    </row>
    <row r="11" spans="1:26" ht="24" x14ac:dyDescent="0.2">
      <c r="B11" s="36" t="s">
        <v>109</v>
      </c>
      <c r="C11" s="37" t="s">
        <v>110</v>
      </c>
      <c r="D11" s="36" t="s">
        <v>107</v>
      </c>
      <c r="E11" s="87">
        <v>3</v>
      </c>
      <c r="F11" s="89" t="s">
        <v>269</v>
      </c>
      <c r="G11" s="87" t="s">
        <v>104</v>
      </c>
      <c r="H11" s="40" t="s">
        <v>105</v>
      </c>
      <c r="I11" s="88" t="s">
        <v>106</v>
      </c>
      <c r="J11" s="15"/>
    </row>
    <row r="12" spans="1:26" ht="24" x14ac:dyDescent="0.2">
      <c r="B12" s="36" t="s">
        <v>111</v>
      </c>
      <c r="C12" s="37" t="s">
        <v>112</v>
      </c>
      <c r="D12" s="36" t="s">
        <v>109</v>
      </c>
      <c r="E12" s="90">
        <v>3</v>
      </c>
      <c r="F12" s="89" t="s">
        <v>269</v>
      </c>
      <c r="G12" s="87" t="s">
        <v>104</v>
      </c>
      <c r="H12" s="40" t="s">
        <v>113</v>
      </c>
      <c r="I12" s="88" t="s">
        <v>106</v>
      </c>
      <c r="J12" s="15"/>
    </row>
    <row r="13" spans="1:26" ht="24" x14ac:dyDescent="0.2">
      <c r="B13" s="36" t="s">
        <v>114</v>
      </c>
      <c r="C13" s="37" t="s">
        <v>115</v>
      </c>
      <c r="D13" s="36" t="s">
        <v>111</v>
      </c>
      <c r="E13" s="90">
        <v>2</v>
      </c>
      <c r="F13" s="90" t="s">
        <v>269</v>
      </c>
      <c r="G13" s="87" t="s">
        <v>104</v>
      </c>
      <c r="H13" s="40" t="s">
        <v>113</v>
      </c>
      <c r="I13" s="88" t="s">
        <v>106</v>
      </c>
      <c r="J13" s="15"/>
    </row>
    <row r="14" spans="1:26" ht="24" x14ac:dyDescent="0.2">
      <c r="B14" s="36" t="s">
        <v>117</v>
      </c>
      <c r="C14" s="37" t="s">
        <v>118</v>
      </c>
      <c r="D14" s="36" t="s">
        <v>119</v>
      </c>
      <c r="E14" s="90">
        <v>3</v>
      </c>
      <c r="F14" s="90" t="s">
        <v>269</v>
      </c>
      <c r="G14" s="87" t="s">
        <v>104</v>
      </c>
      <c r="H14" s="40" t="s">
        <v>120</v>
      </c>
      <c r="I14" s="88" t="s">
        <v>106</v>
      </c>
      <c r="J14" s="15"/>
    </row>
    <row r="15" spans="1:26" ht="24" x14ac:dyDescent="0.2">
      <c r="B15" s="36" t="s">
        <v>121</v>
      </c>
      <c r="C15" s="49" t="s">
        <v>122</v>
      </c>
      <c r="D15" s="36" t="s">
        <v>123</v>
      </c>
      <c r="E15" s="90">
        <v>3</v>
      </c>
      <c r="F15" s="90" t="s">
        <v>269</v>
      </c>
      <c r="G15" s="87" t="s">
        <v>104</v>
      </c>
      <c r="H15" s="40" t="s">
        <v>120</v>
      </c>
      <c r="I15" s="88" t="s">
        <v>106</v>
      </c>
      <c r="J15" s="15"/>
    </row>
    <row r="16" spans="1:26" ht="24" x14ac:dyDescent="0.2">
      <c r="B16" s="36" t="s">
        <v>124</v>
      </c>
      <c r="C16" s="91" t="s">
        <v>125</v>
      </c>
      <c r="D16" s="36" t="s">
        <v>126</v>
      </c>
      <c r="E16" s="90">
        <v>2</v>
      </c>
      <c r="F16" s="90" t="s">
        <v>268</v>
      </c>
      <c r="G16" s="87" t="s">
        <v>104</v>
      </c>
      <c r="H16" s="40" t="s">
        <v>120</v>
      </c>
      <c r="I16" s="88" t="s">
        <v>106</v>
      </c>
      <c r="J16" s="15"/>
    </row>
    <row r="17" spans="2:10" ht="24" x14ac:dyDescent="0.2">
      <c r="B17" s="36" t="s">
        <v>127</v>
      </c>
      <c r="C17" s="37" t="s">
        <v>128</v>
      </c>
      <c r="D17" s="36" t="s">
        <v>129</v>
      </c>
      <c r="E17" s="87">
        <v>5</v>
      </c>
      <c r="F17" s="90" t="s">
        <v>268</v>
      </c>
      <c r="G17" s="87" t="s">
        <v>104</v>
      </c>
      <c r="H17" s="40" t="s">
        <v>120</v>
      </c>
      <c r="I17" s="88" t="s">
        <v>106</v>
      </c>
      <c r="J17" s="15"/>
    </row>
    <row r="18" spans="2:10" ht="24" x14ac:dyDescent="0.2">
      <c r="B18" s="36" t="s">
        <v>130</v>
      </c>
      <c r="C18" s="37" t="s">
        <v>131</v>
      </c>
      <c r="D18" s="36" t="s">
        <v>123</v>
      </c>
      <c r="E18" s="90">
        <v>1</v>
      </c>
      <c r="F18" s="87" t="s">
        <v>269</v>
      </c>
      <c r="G18" s="87" t="s">
        <v>104</v>
      </c>
      <c r="H18" s="40" t="s">
        <v>132</v>
      </c>
      <c r="I18" s="88" t="s">
        <v>106</v>
      </c>
      <c r="J18" s="15"/>
    </row>
    <row r="19" spans="2:10" ht="30" x14ac:dyDescent="0.2">
      <c r="B19" s="36" t="s">
        <v>133</v>
      </c>
      <c r="C19" s="37" t="s">
        <v>134</v>
      </c>
      <c r="D19" s="36" t="s">
        <v>135</v>
      </c>
      <c r="E19" s="90">
        <v>4</v>
      </c>
      <c r="F19" s="90" t="s">
        <v>268</v>
      </c>
      <c r="G19" s="87" t="s">
        <v>104</v>
      </c>
      <c r="H19" s="40" t="s">
        <v>132</v>
      </c>
      <c r="I19" s="88" t="s">
        <v>106</v>
      </c>
      <c r="J19" s="15"/>
    </row>
    <row r="20" spans="2:10" ht="30" x14ac:dyDescent="0.2">
      <c r="B20" s="36" t="s">
        <v>136</v>
      </c>
      <c r="C20" s="37" t="s">
        <v>270</v>
      </c>
      <c r="D20" s="36" t="s">
        <v>138</v>
      </c>
      <c r="E20" s="90">
        <v>2</v>
      </c>
      <c r="F20" s="90" t="s">
        <v>268</v>
      </c>
      <c r="G20" s="87" t="s">
        <v>104</v>
      </c>
      <c r="H20" s="40" t="s">
        <v>139</v>
      </c>
      <c r="I20" s="88" t="s">
        <v>106</v>
      </c>
      <c r="J20" s="15"/>
    </row>
    <row r="21" spans="2:10" x14ac:dyDescent="0.2">
      <c r="B21" s="36" t="s">
        <v>142</v>
      </c>
      <c r="C21" s="37" t="s">
        <v>143</v>
      </c>
      <c r="D21" s="36" t="s">
        <v>144</v>
      </c>
      <c r="E21" s="90">
        <v>3</v>
      </c>
      <c r="F21" s="90" t="s">
        <v>268</v>
      </c>
      <c r="G21" s="90" t="s">
        <v>145</v>
      </c>
      <c r="H21" s="40" t="s">
        <v>146</v>
      </c>
      <c r="I21" s="88" t="s">
        <v>106</v>
      </c>
      <c r="J21" s="15"/>
    </row>
    <row r="22" spans="2:10" x14ac:dyDescent="0.2">
      <c r="B22" s="36" t="s">
        <v>147</v>
      </c>
      <c r="C22" s="37" t="s">
        <v>148</v>
      </c>
      <c r="D22" s="36" t="s">
        <v>149</v>
      </c>
      <c r="E22" s="90">
        <v>4</v>
      </c>
      <c r="F22" s="90" t="s">
        <v>269</v>
      </c>
      <c r="G22" s="90" t="s">
        <v>145</v>
      </c>
      <c r="H22" s="40" t="s">
        <v>146</v>
      </c>
      <c r="I22" s="88" t="s">
        <v>106</v>
      </c>
      <c r="J22" s="15"/>
    </row>
    <row r="23" spans="2:10" x14ac:dyDescent="0.2">
      <c r="B23" s="36" t="s">
        <v>150</v>
      </c>
      <c r="C23" s="37" t="s">
        <v>151</v>
      </c>
      <c r="D23" s="36" t="s">
        <v>152</v>
      </c>
      <c r="E23" s="90">
        <v>4</v>
      </c>
      <c r="F23" s="90" t="s">
        <v>269</v>
      </c>
      <c r="G23" s="90" t="s">
        <v>145</v>
      </c>
      <c r="H23" s="40" t="s">
        <v>146</v>
      </c>
      <c r="I23" s="88" t="s">
        <v>106</v>
      </c>
      <c r="J23" s="15"/>
    </row>
    <row r="24" spans="2:10" x14ac:dyDescent="0.2">
      <c r="B24" s="36" t="s">
        <v>153</v>
      </c>
      <c r="C24" s="37" t="s">
        <v>154</v>
      </c>
      <c r="D24" s="36" t="s">
        <v>155</v>
      </c>
      <c r="E24" s="90">
        <v>4</v>
      </c>
      <c r="F24" s="90" t="s">
        <v>269</v>
      </c>
      <c r="G24" s="90" t="s">
        <v>145</v>
      </c>
      <c r="H24" s="40" t="s">
        <v>156</v>
      </c>
      <c r="I24" s="88" t="s">
        <v>106</v>
      </c>
      <c r="J24" s="15"/>
    </row>
    <row r="25" spans="2:10" x14ac:dyDescent="0.2">
      <c r="B25" s="36" t="s">
        <v>157</v>
      </c>
      <c r="C25" s="37" t="s">
        <v>158</v>
      </c>
      <c r="D25" s="36" t="s">
        <v>159</v>
      </c>
      <c r="E25" s="90">
        <v>4</v>
      </c>
      <c r="F25" s="90" t="s">
        <v>268</v>
      </c>
      <c r="G25" s="90" t="s">
        <v>145</v>
      </c>
      <c r="H25" s="40" t="s">
        <v>156</v>
      </c>
      <c r="I25" s="88" t="s">
        <v>106</v>
      </c>
      <c r="J25" s="15"/>
    </row>
    <row r="26" spans="2:10" ht="30" x14ac:dyDescent="0.2">
      <c r="B26" s="36" t="s">
        <v>160</v>
      </c>
      <c r="C26" s="37" t="s">
        <v>161</v>
      </c>
      <c r="D26" s="36" t="s">
        <v>162</v>
      </c>
      <c r="E26" s="90">
        <v>4</v>
      </c>
      <c r="F26" s="90" t="s">
        <v>269</v>
      </c>
      <c r="G26" s="90" t="s">
        <v>145</v>
      </c>
      <c r="H26" s="40" t="s">
        <v>156</v>
      </c>
      <c r="I26" s="88" t="s">
        <v>106</v>
      </c>
      <c r="J26" s="15"/>
    </row>
    <row r="27" spans="2:10" x14ac:dyDescent="0.2">
      <c r="B27" s="36" t="s">
        <v>164</v>
      </c>
      <c r="C27" s="37" t="s">
        <v>165</v>
      </c>
      <c r="D27" s="36" t="s">
        <v>160</v>
      </c>
      <c r="E27" s="87">
        <v>5</v>
      </c>
      <c r="F27" s="90" t="s">
        <v>268</v>
      </c>
      <c r="G27" s="90" t="s">
        <v>166</v>
      </c>
      <c r="H27" s="40" t="s">
        <v>167</v>
      </c>
      <c r="I27" s="88" t="s">
        <v>106</v>
      </c>
      <c r="J27" s="15"/>
    </row>
    <row r="28" spans="2:10" x14ac:dyDescent="0.2">
      <c r="B28" s="36" t="s">
        <v>168</v>
      </c>
      <c r="C28" s="37" t="s">
        <v>271</v>
      </c>
      <c r="D28" s="36" t="s">
        <v>170</v>
      </c>
      <c r="E28" s="87">
        <v>6</v>
      </c>
      <c r="F28" s="90" t="s">
        <v>269</v>
      </c>
      <c r="G28" s="90" t="s">
        <v>166</v>
      </c>
      <c r="H28" s="40" t="s">
        <v>167</v>
      </c>
      <c r="I28" s="88" t="s">
        <v>106</v>
      </c>
      <c r="J28" s="15"/>
    </row>
    <row r="29" spans="2:10" x14ac:dyDescent="0.2">
      <c r="B29" s="36" t="s">
        <v>171</v>
      </c>
      <c r="C29" s="37" t="s">
        <v>172</v>
      </c>
      <c r="D29" s="36" t="s">
        <v>173</v>
      </c>
      <c r="E29" s="87">
        <v>6</v>
      </c>
      <c r="F29" s="90" t="s">
        <v>268</v>
      </c>
      <c r="G29" s="90" t="s">
        <v>166</v>
      </c>
      <c r="H29" s="40" t="s">
        <v>167</v>
      </c>
      <c r="I29" s="88" t="s">
        <v>106</v>
      </c>
      <c r="J29" s="15"/>
    </row>
    <row r="30" spans="2:10" x14ac:dyDescent="0.2">
      <c r="B30" s="36" t="s">
        <v>174</v>
      </c>
      <c r="C30" s="37" t="s">
        <v>175</v>
      </c>
      <c r="D30" s="36" t="s">
        <v>176</v>
      </c>
      <c r="E30" s="87">
        <v>5</v>
      </c>
      <c r="F30" s="90" t="s">
        <v>269</v>
      </c>
      <c r="G30" s="90" t="s">
        <v>166</v>
      </c>
      <c r="H30" s="36" t="s">
        <v>177</v>
      </c>
      <c r="I30" s="88" t="s">
        <v>106</v>
      </c>
      <c r="J30" s="15"/>
    </row>
    <row r="31" spans="2:10" x14ac:dyDescent="0.2">
      <c r="B31" s="36" t="s">
        <v>178</v>
      </c>
      <c r="C31" s="37" t="s">
        <v>179</v>
      </c>
      <c r="D31" s="36" t="s">
        <v>176</v>
      </c>
      <c r="E31" s="90">
        <v>4</v>
      </c>
      <c r="F31" s="90" t="s">
        <v>269</v>
      </c>
      <c r="G31" s="90" t="s">
        <v>166</v>
      </c>
      <c r="H31" s="36" t="s">
        <v>177</v>
      </c>
      <c r="I31" s="88"/>
      <c r="J31" s="15"/>
    </row>
    <row r="32" spans="2:10" x14ac:dyDescent="0.2">
      <c r="B32" s="36" t="s">
        <v>180</v>
      </c>
      <c r="C32" s="37" t="s">
        <v>181</v>
      </c>
      <c r="D32" s="36" t="s">
        <v>182</v>
      </c>
      <c r="E32" s="90">
        <v>2</v>
      </c>
      <c r="F32" s="90" t="s">
        <v>269</v>
      </c>
      <c r="G32" s="90" t="s">
        <v>166</v>
      </c>
      <c r="H32" s="36" t="s">
        <v>177</v>
      </c>
      <c r="I32" s="88" t="s">
        <v>106</v>
      </c>
      <c r="J32" s="15"/>
    </row>
    <row r="33" spans="2:10" ht="30" x14ac:dyDescent="0.2">
      <c r="B33" s="36" t="s">
        <v>183</v>
      </c>
      <c r="C33" s="37" t="s">
        <v>184</v>
      </c>
      <c r="D33" s="36" t="s">
        <v>185</v>
      </c>
      <c r="E33" s="87">
        <v>3</v>
      </c>
      <c r="F33" s="90" t="s">
        <v>268</v>
      </c>
      <c r="G33" s="90" t="s">
        <v>166</v>
      </c>
      <c r="H33" s="36" t="s">
        <v>186</v>
      </c>
      <c r="I33" s="88" t="s">
        <v>106</v>
      </c>
      <c r="J33" s="15"/>
    </row>
    <row r="34" spans="2:10" x14ac:dyDescent="0.2">
      <c r="B34" s="36" t="s">
        <v>187</v>
      </c>
      <c r="C34" s="37" t="s">
        <v>188</v>
      </c>
      <c r="D34" s="36" t="s">
        <v>176</v>
      </c>
      <c r="E34" s="87">
        <v>3</v>
      </c>
      <c r="F34" s="90" t="s">
        <v>268</v>
      </c>
      <c r="G34" s="90" t="s">
        <v>166</v>
      </c>
      <c r="H34" s="36" t="s">
        <v>186</v>
      </c>
      <c r="I34" s="88" t="s">
        <v>106</v>
      </c>
      <c r="J34" s="15"/>
    </row>
    <row r="35" spans="2:10" x14ac:dyDescent="0.2">
      <c r="B35" s="36" t="s">
        <v>189</v>
      </c>
      <c r="C35" s="37" t="s">
        <v>190</v>
      </c>
      <c r="D35" s="36" t="s">
        <v>191</v>
      </c>
      <c r="E35" s="87">
        <v>6</v>
      </c>
      <c r="F35" s="90" t="s">
        <v>268</v>
      </c>
      <c r="G35" s="90" t="s">
        <v>166</v>
      </c>
      <c r="H35" s="36" t="s">
        <v>186</v>
      </c>
      <c r="I35" s="88" t="s">
        <v>106</v>
      </c>
      <c r="J35" s="15"/>
    </row>
    <row r="36" spans="2:10" x14ac:dyDescent="0.2">
      <c r="B36" s="36" t="s">
        <v>197</v>
      </c>
      <c r="C36" s="54" t="s">
        <v>194</v>
      </c>
      <c r="D36" s="36" t="s">
        <v>189</v>
      </c>
      <c r="E36" s="87">
        <v>3</v>
      </c>
      <c r="F36" s="90" t="s">
        <v>268</v>
      </c>
      <c r="G36" s="87" t="s">
        <v>195</v>
      </c>
      <c r="H36" s="92" t="s">
        <v>196</v>
      </c>
      <c r="I36" s="88" t="s">
        <v>106</v>
      </c>
      <c r="J36" s="15"/>
    </row>
    <row r="37" spans="2:10" ht="30" x14ac:dyDescent="0.2">
      <c r="B37" s="36" t="s">
        <v>200</v>
      </c>
      <c r="C37" s="37" t="s">
        <v>198</v>
      </c>
      <c r="D37" s="36" t="s">
        <v>199</v>
      </c>
      <c r="E37" s="87">
        <v>4</v>
      </c>
      <c r="F37" s="90" t="s">
        <v>269</v>
      </c>
      <c r="G37" s="87" t="s">
        <v>195</v>
      </c>
      <c r="H37" s="92" t="s">
        <v>196</v>
      </c>
      <c r="I37" s="88" t="s">
        <v>106</v>
      </c>
      <c r="J37" s="15"/>
    </row>
    <row r="38" spans="2:10" ht="30" x14ac:dyDescent="0.2">
      <c r="B38" s="36" t="s">
        <v>203</v>
      </c>
      <c r="C38" s="37" t="s">
        <v>201</v>
      </c>
      <c r="D38" s="36" t="s">
        <v>202</v>
      </c>
      <c r="E38" s="87">
        <v>4</v>
      </c>
      <c r="F38" s="90" t="s">
        <v>269</v>
      </c>
      <c r="G38" s="87" t="s">
        <v>195</v>
      </c>
      <c r="H38" s="92" t="s">
        <v>196</v>
      </c>
      <c r="I38" s="88" t="s">
        <v>106</v>
      </c>
      <c r="J38" s="15"/>
    </row>
    <row r="39" spans="2:10" ht="30" x14ac:dyDescent="0.2">
      <c r="B39" s="36" t="s">
        <v>272</v>
      </c>
      <c r="C39" s="49" t="s">
        <v>204</v>
      </c>
      <c r="D39" s="36" t="s">
        <v>205</v>
      </c>
      <c r="E39" s="87">
        <v>5</v>
      </c>
      <c r="F39" s="90" t="s">
        <v>269</v>
      </c>
      <c r="G39" s="87" t="s">
        <v>195</v>
      </c>
      <c r="H39" s="92" t="s">
        <v>196</v>
      </c>
      <c r="I39" s="88" t="s">
        <v>106</v>
      </c>
    </row>
    <row r="40" spans="2:10" x14ac:dyDescent="0.2">
      <c r="B40" s="36" t="s">
        <v>207</v>
      </c>
      <c r="C40" s="37" t="s">
        <v>208</v>
      </c>
      <c r="D40" s="36" t="s">
        <v>203</v>
      </c>
      <c r="E40" s="87">
        <v>5</v>
      </c>
      <c r="F40" s="90" t="s">
        <v>269</v>
      </c>
      <c r="G40" s="87" t="s">
        <v>209</v>
      </c>
      <c r="H40" s="92" t="s">
        <v>210</v>
      </c>
      <c r="I40" s="88" t="s">
        <v>106</v>
      </c>
      <c r="J40" s="15"/>
    </row>
    <row r="41" spans="2:10" ht="30" x14ac:dyDescent="0.2">
      <c r="B41" s="36" t="s">
        <v>211</v>
      </c>
      <c r="C41" s="37" t="s">
        <v>212</v>
      </c>
      <c r="D41" s="36" t="s">
        <v>213</v>
      </c>
      <c r="E41" s="87">
        <v>5</v>
      </c>
      <c r="F41" s="90" t="s">
        <v>269</v>
      </c>
      <c r="G41" s="87" t="s">
        <v>209</v>
      </c>
      <c r="H41" s="92" t="s">
        <v>210</v>
      </c>
      <c r="I41" s="88" t="s">
        <v>106</v>
      </c>
      <c r="J41" s="15"/>
    </row>
    <row r="42" spans="2:10" x14ac:dyDescent="0.2">
      <c r="B42" s="36" t="s">
        <v>214</v>
      </c>
      <c r="C42" s="37" t="s">
        <v>215</v>
      </c>
      <c r="D42" s="36" t="s">
        <v>216</v>
      </c>
      <c r="E42" s="87">
        <v>4</v>
      </c>
      <c r="F42" s="90" t="s">
        <v>269</v>
      </c>
      <c r="G42" s="87" t="s">
        <v>209</v>
      </c>
      <c r="H42" s="92" t="s">
        <v>210</v>
      </c>
      <c r="I42" s="88" t="s">
        <v>106</v>
      </c>
      <c r="J42" s="15"/>
    </row>
    <row r="43" spans="2:10" x14ac:dyDescent="0.2">
      <c r="B43" s="36" t="s">
        <v>218</v>
      </c>
      <c r="C43" s="91" t="s">
        <v>273</v>
      </c>
      <c r="D43" s="36" t="s">
        <v>220</v>
      </c>
      <c r="E43" s="87">
        <v>5</v>
      </c>
      <c r="F43" s="90" t="s">
        <v>269</v>
      </c>
      <c r="G43" s="87" t="s">
        <v>221</v>
      </c>
      <c r="H43" s="92" t="s">
        <v>222</v>
      </c>
      <c r="I43" s="88" t="s">
        <v>106</v>
      </c>
      <c r="J43" s="15"/>
    </row>
    <row r="44" spans="2:10" x14ac:dyDescent="0.2">
      <c r="B44" s="36" t="s">
        <v>223</v>
      </c>
      <c r="C44" s="37" t="s">
        <v>274</v>
      </c>
      <c r="D44" s="36" t="s">
        <v>218</v>
      </c>
      <c r="E44" s="87">
        <v>4</v>
      </c>
      <c r="F44" s="90" t="s">
        <v>269</v>
      </c>
      <c r="G44" s="87" t="s">
        <v>221</v>
      </c>
      <c r="H44" s="92" t="s">
        <v>222</v>
      </c>
      <c r="I44" s="88" t="s">
        <v>106</v>
      </c>
      <c r="J44" s="15"/>
    </row>
    <row r="45" spans="2:10" ht="60" x14ac:dyDescent="0.2">
      <c r="B45" s="36" t="s">
        <v>225</v>
      </c>
      <c r="C45" s="37" t="s">
        <v>275</v>
      </c>
      <c r="D45" s="36" t="s">
        <v>227</v>
      </c>
      <c r="E45" s="87">
        <v>5</v>
      </c>
      <c r="F45" s="90" t="s">
        <v>269</v>
      </c>
      <c r="G45" s="87" t="s">
        <v>221</v>
      </c>
      <c r="H45" s="92" t="s">
        <v>222</v>
      </c>
      <c r="I45" s="88" t="s">
        <v>106</v>
      </c>
      <c r="J45" s="15"/>
    </row>
    <row r="46" spans="2:10" x14ac:dyDescent="0.2">
      <c r="B46" s="36" t="s">
        <v>229</v>
      </c>
      <c r="C46" s="37" t="s">
        <v>276</v>
      </c>
      <c r="D46" s="36" t="s">
        <v>225</v>
      </c>
      <c r="E46" s="87">
        <v>3</v>
      </c>
      <c r="F46" s="90" t="s">
        <v>269</v>
      </c>
      <c r="G46" s="87" t="s">
        <v>221</v>
      </c>
      <c r="H46" s="92" t="s">
        <v>231</v>
      </c>
      <c r="I46" s="88" t="s">
        <v>106</v>
      </c>
      <c r="J46" s="15"/>
    </row>
    <row r="47" spans="2:10" x14ac:dyDescent="0.2">
      <c r="B47" s="36" t="s">
        <v>233</v>
      </c>
      <c r="C47" s="37" t="s">
        <v>277</v>
      </c>
      <c r="D47" s="36" t="s">
        <v>229</v>
      </c>
      <c r="E47" s="87">
        <v>9</v>
      </c>
      <c r="F47" s="90" t="s">
        <v>269</v>
      </c>
      <c r="G47" s="87" t="s">
        <v>221</v>
      </c>
      <c r="H47" s="92" t="s">
        <v>231</v>
      </c>
      <c r="I47" s="88" t="s">
        <v>106</v>
      </c>
      <c r="J47" s="15"/>
    </row>
    <row r="48" spans="2:10" x14ac:dyDescent="0.2">
      <c r="B48" s="36" t="s">
        <v>235</v>
      </c>
      <c r="C48" s="37" t="s">
        <v>236</v>
      </c>
      <c r="D48" s="36" t="s">
        <v>233</v>
      </c>
      <c r="E48" s="87">
        <v>5</v>
      </c>
      <c r="F48" s="90" t="s">
        <v>269</v>
      </c>
      <c r="G48" s="87" t="s">
        <v>221</v>
      </c>
      <c r="H48" s="92" t="s">
        <v>231</v>
      </c>
      <c r="I48" s="88" t="s">
        <v>106</v>
      </c>
      <c r="J48" s="15"/>
    </row>
    <row r="49" spans="2:10" x14ac:dyDescent="0.2">
      <c r="B49" s="36" t="s">
        <v>238</v>
      </c>
      <c r="C49" s="37" t="s">
        <v>239</v>
      </c>
      <c r="D49" s="36" t="s">
        <v>223</v>
      </c>
      <c r="E49" s="87">
        <v>5</v>
      </c>
      <c r="F49" s="90" t="s">
        <v>269</v>
      </c>
      <c r="G49" s="93" t="s">
        <v>278</v>
      </c>
      <c r="H49" s="92" t="s">
        <v>241</v>
      </c>
      <c r="I49" s="88" t="s">
        <v>106</v>
      </c>
      <c r="J49" s="15"/>
    </row>
    <row r="50" spans="2:10" x14ac:dyDescent="0.2">
      <c r="B50" s="36" t="s">
        <v>242</v>
      </c>
      <c r="C50" s="37" t="s">
        <v>243</v>
      </c>
      <c r="D50" s="36" t="s">
        <v>238</v>
      </c>
      <c r="E50" s="87">
        <v>5</v>
      </c>
      <c r="F50" s="90" t="s">
        <v>269</v>
      </c>
      <c r="G50" s="93" t="s">
        <v>278</v>
      </c>
      <c r="H50" s="92" t="s">
        <v>241</v>
      </c>
      <c r="I50" s="88" t="s">
        <v>106</v>
      </c>
      <c r="J50" s="15"/>
    </row>
    <row r="51" spans="2:10" x14ac:dyDescent="0.2">
      <c r="B51" s="36" t="s">
        <v>244</v>
      </c>
      <c r="C51" s="37" t="s">
        <v>279</v>
      </c>
      <c r="D51" s="36" t="s">
        <v>238</v>
      </c>
      <c r="E51" s="87">
        <v>12</v>
      </c>
      <c r="F51" s="90" t="s">
        <v>269</v>
      </c>
      <c r="G51" s="93" t="s">
        <v>278</v>
      </c>
      <c r="H51" s="92" t="s">
        <v>241</v>
      </c>
      <c r="I51" s="88" t="s">
        <v>106</v>
      </c>
      <c r="J51" s="15"/>
    </row>
    <row r="52" spans="2:10" ht="57" x14ac:dyDescent="0.2">
      <c r="B52" s="36" t="s">
        <v>246</v>
      </c>
      <c r="C52" s="37" t="s">
        <v>247</v>
      </c>
      <c r="D52" s="58" t="s">
        <v>248</v>
      </c>
      <c r="E52" s="87">
        <v>7</v>
      </c>
      <c r="F52" s="90" t="s">
        <v>269</v>
      </c>
      <c r="G52" s="94" t="s">
        <v>280</v>
      </c>
      <c r="H52" s="36" t="s">
        <v>250</v>
      </c>
      <c r="I52" s="88" t="s">
        <v>106</v>
      </c>
      <c r="J52" s="15"/>
    </row>
    <row r="53" spans="2:10" x14ac:dyDescent="0.2">
      <c r="B53" s="36" t="s">
        <v>251</v>
      </c>
      <c r="C53" s="37" t="s">
        <v>252</v>
      </c>
      <c r="D53" s="58" t="s">
        <v>253</v>
      </c>
      <c r="E53" s="87">
        <v>9</v>
      </c>
      <c r="F53" s="90" t="s">
        <v>269</v>
      </c>
      <c r="G53" s="93" t="s">
        <v>280</v>
      </c>
      <c r="H53" s="36" t="s">
        <v>250</v>
      </c>
      <c r="I53" s="88" t="s">
        <v>106</v>
      </c>
      <c r="J53" s="15"/>
    </row>
    <row r="54" spans="2:10" x14ac:dyDescent="0.2">
      <c r="B54" s="36" t="s">
        <v>254</v>
      </c>
      <c r="C54" s="37" t="s">
        <v>255</v>
      </c>
      <c r="D54" s="58" t="s">
        <v>246</v>
      </c>
      <c r="E54" s="87">
        <v>12</v>
      </c>
      <c r="F54" s="90" t="s">
        <v>269</v>
      </c>
      <c r="G54" s="93" t="s">
        <v>280</v>
      </c>
      <c r="H54" s="36" t="s">
        <v>250</v>
      </c>
      <c r="I54" s="88" t="s">
        <v>106</v>
      </c>
      <c r="J54" s="15"/>
    </row>
    <row r="55" spans="2:10" x14ac:dyDescent="0.2">
      <c r="B55" s="68" t="s">
        <v>257</v>
      </c>
      <c r="C55" s="37" t="s">
        <v>258</v>
      </c>
      <c r="D55" s="66" t="s">
        <v>254</v>
      </c>
      <c r="E55" s="87">
        <v>1</v>
      </c>
      <c r="F55" s="90" t="s">
        <v>269</v>
      </c>
      <c r="G55" s="93" t="s">
        <v>221</v>
      </c>
      <c r="H55" s="36" t="s">
        <v>222</v>
      </c>
      <c r="I55" s="88" t="s">
        <v>106</v>
      </c>
    </row>
    <row r="56" spans="2:10" x14ac:dyDescent="0.2">
      <c r="B56" s="68" t="s">
        <v>259</v>
      </c>
      <c r="C56" s="37" t="s">
        <v>260</v>
      </c>
      <c r="D56" s="66">
        <v>0</v>
      </c>
      <c r="E56" s="87">
        <v>1</v>
      </c>
      <c r="F56" s="90" t="s">
        <v>269</v>
      </c>
      <c r="G56" s="93" t="s">
        <v>221</v>
      </c>
      <c r="H56" s="36" t="s">
        <v>222</v>
      </c>
      <c r="I56" s="88" t="s">
        <v>106</v>
      </c>
    </row>
    <row r="57" spans="2:10" x14ac:dyDescent="0.2">
      <c r="B57" s="68" t="s">
        <v>261</v>
      </c>
      <c r="C57" s="37" t="s">
        <v>281</v>
      </c>
      <c r="D57" s="66" t="s">
        <v>263</v>
      </c>
      <c r="E57" s="87">
        <v>1</v>
      </c>
      <c r="F57" s="90" t="s">
        <v>269</v>
      </c>
      <c r="G57" s="93" t="s">
        <v>221</v>
      </c>
      <c r="H57" s="36" t="s">
        <v>222</v>
      </c>
      <c r="I57" s="88" t="s">
        <v>106</v>
      </c>
    </row>
    <row r="58" spans="2:10" ht="13.5" customHeight="1" x14ac:dyDescent="0.2">
      <c r="B58" s="16"/>
      <c r="C58" s="82"/>
      <c r="D58" s="18"/>
      <c r="E58" s="18"/>
      <c r="F58" s="18"/>
    </row>
    <row r="59" spans="2:10" ht="13.5" customHeight="1" x14ac:dyDescent="0.2">
      <c r="B59" s="18"/>
      <c r="C59" s="82"/>
      <c r="D59" s="18"/>
      <c r="E59" s="18"/>
      <c r="F59" s="18"/>
    </row>
    <row r="60" spans="2:10" ht="13.5" customHeight="1" x14ac:dyDescent="0.2">
      <c r="B60" s="18"/>
      <c r="C60" s="82"/>
      <c r="D60" s="18"/>
      <c r="E60" s="18"/>
      <c r="F60" s="18"/>
    </row>
    <row r="61" spans="2:10" ht="13.5" customHeight="1" x14ac:dyDescent="0.2">
      <c r="B61" s="18"/>
      <c r="C61" s="82"/>
      <c r="D61" s="18"/>
      <c r="E61" s="18"/>
      <c r="F61" s="18"/>
    </row>
    <row r="62" spans="2:10" ht="13.5" customHeight="1" x14ac:dyDescent="0.25">
      <c r="B62" s="18"/>
      <c r="C62" s="95" t="e">
        <f>UPPER(C48:C57)</f>
        <v>#VALUE!</v>
      </c>
      <c r="D62" s="18"/>
      <c r="E62" s="18"/>
      <c r="F62" s="18"/>
    </row>
    <row r="63" spans="2:10" ht="13.5" customHeight="1" x14ac:dyDescent="0.2">
      <c r="B63" s="18"/>
      <c r="C63" s="82"/>
      <c r="D63" s="18"/>
      <c r="E63" s="18"/>
      <c r="F63" s="18"/>
    </row>
    <row r="64" spans="2:10" ht="13.5" customHeight="1" x14ac:dyDescent="0.2">
      <c r="B64" s="18"/>
      <c r="C64" s="82"/>
      <c r="D64" s="18"/>
      <c r="E64" s="18"/>
      <c r="F64" s="18"/>
    </row>
    <row r="65" spans="2:6" ht="13.5" customHeight="1" x14ac:dyDescent="0.2">
      <c r="B65" s="18"/>
      <c r="C65" s="82"/>
      <c r="D65" s="18"/>
      <c r="E65" s="18"/>
      <c r="F65" s="18"/>
    </row>
    <row r="66" spans="2:6" ht="13.5" customHeight="1" x14ac:dyDescent="0.2">
      <c r="B66" s="18"/>
      <c r="C66" s="82"/>
      <c r="D66" s="18"/>
      <c r="E66" s="18"/>
      <c r="F66" s="18"/>
    </row>
    <row r="67" spans="2:6" ht="13.5" customHeight="1" x14ac:dyDescent="0.2">
      <c r="B67" s="18"/>
      <c r="C67" s="82"/>
      <c r="D67" s="18"/>
      <c r="E67" s="18"/>
      <c r="F67" s="18"/>
    </row>
    <row r="68" spans="2:6" ht="13.5" customHeight="1" x14ac:dyDescent="0.2">
      <c r="B68" s="18"/>
      <c r="C68" s="82"/>
      <c r="D68" s="18"/>
      <c r="E68" s="18"/>
      <c r="F68" s="18"/>
    </row>
    <row r="69" spans="2:6" ht="13.5" customHeight="1" x14ac:dyDescent="0.2">
      <c r="B69" s="18"/>
      <c r="C69" s="82"/>
      <c r="D69" s="18"/>
      <c r="E69" s="18"/>
      <c r="F69" s="18"/>
    </row>
    <row r="70" spans="2:6" ht="13.5" customHeight="1" x14ac:dyDescent="0.2">
      <c r="B70" s="18"/>
      <c r="C70" s="82"/>
      <c r="D70" s="18"/>
      <c r="E70" s="18"/>
      <c r="F70" s="18"/>
    </row>
    <row r="71" spans="2:6" ht="13.5" customHeight="1" x14ac:dyDescent="0.2">
      <c r="B71" s="18"/>
      <c r="C71" s="82"/>
      <c r="D71" s="18"/>
      <c r="E71" s="18"/>
      <c r="F71" s="18"/>
    </row>
    <row r="72" spans="2:6" ht="13.5" customHeight="1" x14ac:dyDescent="0.2">
      <c r="B72" s="18"/>
      <c r="C72" s="82"/>
      <c r="D72" s="18"/>
      <c r="E72" s="18"/>
      <c r="F72" s="18"/>
    </row>
    <row r="73" spans="2:6" ht="13.5" customHeight="1" x14ac:dyDescent="0.2">
      <c r="B73" s="18"/>
      <c r="C73" s="82"/>
      <c r="D73" s="18"/>
      <c r="E73" s="18"/>
      <c r="F73" s="18"/>
    </row>
    <row r="74" spans="2:6" ht="13.5" customHeight="1" x14ac:dyDescent="0.2">
      <c r="B74" s="18"/>
      <c r="C74" s="82"/>
      <c r="D74" s="18"/>
      <c r="E74" s="18"/>
      <c r="F74" s="18"/>
    </row>
    <row r="75" spans="2:6" ht="13.5" customHeight="1" x14ac:dyDescent="0.2">
      <c r="B75" s="18"/>
      <c r="C75" s="82"/>
      <c r="D75" s="18"/>
      <c r="E75" s="18"/>
      <c r="F75" s="18"/>
    </row>
    <row r="76" spans="2:6" ht="13.5" customHeight="1" x14ac:dyDescent="0.2">
      <c r="B76" s="18"/>
      <c r="C76" s="82"/>
      <c r="D76" s="18"/>
      <c r="E76" s="18"/>
      <c r="F76" s="18"/>
    </row>
    <row r="77" spans="2:6" ht="13.5" customHeight="1" x14ac:dyDescent="0.2">
      <c r="B77" s="18"/>
      <c r="C77" s="82"/>
      <c r="D77" s="18"/>
      <c r="E77" s="18"/>
      <c r="F77" s="18"/>
    </row>
    <row r="78" spans="2:6" ht="13.5" customHeight="1" x14ac:dyDescent="0.2">
      <c r="B78" s="18"/>
      <c r="C78" s="82"/>
      <c r="D78" s="18"/>
      <c r="E78" s="18"/>
      <c r="F78" s="18"/>
    </row>
    <row r="79" spans="2:6" ht="13.5" customHeight="1" x14ac:dyDescent="0.2">
      <c r="B79" s="18"/>
      <c r="C79" s="82"/>
      <c r="D79" s="18"/>
      <c r="E79" s="18"/>
      <c r="F79" s="18"/>
    </row>
    <row r="80" spans="2:6" ht="13.5" customHeight="1" x14ac:dyDescent="0.2">
      <c r="B80" s="18"/>
      <c r="C80" s="82"/>
      <c r="D80" s="18"/>
      <c r="E80" s="18"/>
      <c r="F80" s="18"/>
    </row>
    <row r="81" spans="2:6" ht="13.5" customHeight="1" x14ac:dyDescent="0.2">
      <c r="B81" s="18"/>
      <c r="C81" s="82"/>
      <c r="D81" s="18"/>
      <c r="E81" s="18"/>
      <c r="F81" s="18"/>
    </row>
    <row r="82" spans="2:6" ht="13.5" customHeight="1" x14ac:dyDescent="0.2">
      <c r="B82" s="18"/>
      <c r="C82" s="82"/>
      <c r="D82" s="18"/>
      <c r="E82" s="18"/>
      <c r="F82" s="18"/>
    </row>
    <row r="83" spans="2:6" ht="13.5" customHeight="1" x14ac:dyDescent="0.2">
      <c r="B83" s="18"/>
      <c r="C83" s="82"/>
      <c r="D83" s="18"/>
      <c r="E83" s="18"/>
      <c r="F83" s="18"/>
    </row>
    <row r="84" spans="2:6" ht="13.5" customHeight="1" x14ac:dyDescent="0.2">
      <c r="B84" s="18"/>
      <c r="C84" s="82"/>
      <c r="D84" s="18"/>
      <c r="E84" s="18"/>
      <c r="F84" s="18"/>
    </row>
    <row r="85" spans="2:6" ht="13.5" customHeight="1" x14ac:dyDescent="0.2">
      <c r="B85" s="18"/>
      <c r="C85" s="82"/>
      <c r="D85" s="18"/>
      <c r="E85" s="18"/>
      <c r="F85" s="18"/>
    </row>
    <row r="86" spans="2:6" ht="13.5" customHeight="1" x14ac:dyDescent="0.2">
      <c r="B86" s="18"/>
      <c r="C86" s="82"/>
      <c r="D86" s="18"/>
      <c r="E86" s="18"/>
      <c r="F86" s="18"/>
    </row>
    <row r="87" spans="2:6" ht="13.5" customHeight="1" x14ac:dyDescent="0.2">
      <c r="B87" s="18"/>
      <c r="C87" s="82"/>
      <c r="D87" s="18"/>
      <c r="E87" s="18"/>
      <c r="F87" s="18"/>
    </row>
    <row r="88" spans="2:6" ht="13.5" customHeight="1" x14ac:dyDescent="0.2">
      <c r="B88" s="18"/>
      <c r="C88" s="82"/>
      <c r="D88" s="18"/>
      <c r="E88" s="18"/>
      <c r="F88" s="18"/>
    </row>
    <row r="89" spans="2:6" ht="13.5" customHeight="1" x14ac:dyDescent="0.2">
      <c r="B89" s="18"/>
      <c r="C89" s="82"/>
      <c r="D89" s="18"/>
      <c r="E89" s="18"/>
      <c r="F89" s="18"/>
    </row>
    <row r="90" spans="2:6" ht="13.5" customHeight="1" x14ac:dyDescent="0.2">
      <c r="B90" s="18"/>
      <c r="C90" s="82"/>
      <c r="D90" s="18"/>
      <c r="E90" s="18"/>
      <c r="F90" s="18"/>
    </row>
    <row r="91" spans="2:6" ht="13.5" customHeight="1" x14ac:dyDescent="0.2">
      <c r="B91" s="18"/>
      <c r="C91" s="82"/>
      <c r="D91" s="18"/>
      <c r="E91" s="18"/>
      <c r="F91" s="18"/>
    </row>
    <row r="92" spans="2:6" ht="13.5" customHeight="1" x14ac:dyDescent="0.2">
      <c r="B92" s="18"/>
      <c r="C92" s="82"/>
      <c r="D92" s="18"/>
      <c r="E92" s="18"/>
      <c r="F92" s="18"/>
    </row>
    <row r="93" spans="2:6" ht="13.5" customHeight="1" x14ac:dyDescent="0.2">
      <c r="B93" s="18"/>
      <c r="C93" s="82"/>
      <c r="D93" s="18"/>
      <c r="E93" s="18"/>
      <c r="F93" s="18"/>
    </row>
    <row r="94" spans="2:6" ht="13.5" customHeight="1" x14ac:dyDescent="0.2">
      <c r="B94" s="18"/>
      <c r="C94" s="82"/>
      <c r="D94" s="18"/>
      <c r="E94" s="18"/>
      <c r="F94" s="18"/>
    </row>
    <row r="95" spans="2:6" ht="13.5" customHeight="1" x14ac:dyDescent="0.2">
      <c r="B95" s="18"/>
      <c r="C95" s="82"/>
      <c r="D95" s="18"/>
      <c r="E95" s="18"/>
      <c r="F95" s="18"/>
    </row>
    <row r="96" spans="2:6" ht="13.5" customHeight="1" x14ac:dyDescent="0.2">
      <c r="B96" s="18"/>
      <c r="C96" s="82"/>
      <c r="D96" s="18"/>
      <c r="E96" s="18"/>
      <c r="F96" s="18"/>
    </row>
    <row r="97" spans="2:6" ht="13.5" customHeight="1" x14ac:dyDescent="0.2">
      <c r="B97" s="18"/>
      <c r="C97" s="82"/>
      <c r="D97" s="18"/>
      <c r="E97" s="18"/>
      <c r="F97" s="18"/>
    </row>
    <row r="98" spans="2:6" ht="13.5" customHeight="1" x14ac:dyDescent="0.2">
      <c r="B98" s="18"/>
      <c r="C98" s="82"/>
      <c r="D98" s="18"/>
      <c r="E98" s="18"/>
      <c r="F98" s="18"/>
    </row>
    <row r="99" spans="2:6" ht="13.5" customHeight="1" x14ac:dyDescent="0.2">
      <c r="B99" s="18"/>
      <c r="C99" s="82"/>
      <c r="D99" s="18"/>
      <c r="E99" s="18"/>
      <c r="F99" s="18"/>
    </row>
    <row r="100" spans="2:6" ht="13.5" customHeight="1" x14ac:dyDescent="0.2">
      <c r="B100" s="18"/>
      <c r="C100" s="82"/>
      <c r="D100" s="18"/>
      <c r="E100" s="18"/>
      <c r="F100" s="18"/>
    </row>
    <row r="101" spans="2:6" ht="13.5" customHeight="1" x14ac:dyDescent="0.2">
      <c r="B101" s="18"/>
      <c r="C101" s="82"/>
      <c r="D101" s="18"/>
      <c r="E101" s="18"/>
      <c r="F101" s="18"/>
    </row>
    <row r="102" spans="2:6" ht="13.5" customHeight="1" x14ac:dyDescent="0.2">
      <c r="B102" s="18"/>
      <c r="C102" s="82"/>
      <c r="D102" s="18"/>
      <c r="E102" s="18"/>
      <c r="F102" s="18"/>
    </row>
    <row r="103" spans="2:6" ht="13.5" customHeight="1" x14ac:dyDescent="0.2">
      <c r="B103" s="18"/>
      <c r="C103" s="82"/>
      <c r="D103" s="18"/>
      <c r="E103" s="18"/>
      <c r="F103" s="18"/>
    </row>
    <row r="104" spans="2:6" ht="13.5" customHeight="1" x14ac:dyDescent="0.2">
      <c r="B104" s="18"/>
      <c r="C104" s="82"/>
      <c r="D104" s="18"/>
      <c r="E104" s="18"/>
      <c r="F104" s="18"/>
    </row>
    <row r="105" spans="2:6" ht="13.5" customHeight="1" x14ac:dyDescent="0.2">
      <c r="B105" s="18"/>
      <c r="C105" s="82"/>
      <c r="D105" s="18"/>
      <c r="E105" s="18"/>
      <c r="F105" s="18"/>
    </row>
    <row r="106" spans="2:6" ht="13.5" customHeight="1" x14ac:dyDescent="0.2">
      <c r="B106" s="18"/>
      <c r="C106" s="82"/>
      <c r="D106" s="18"/>
      <c r="E106" s="18"/>
      <c r="F106" s="18"/>
    </row>
    <row r="107" spans="2:6" ht="13.5" customHeight="1" x14ac:dyDescent="0.2">
      <c r="B107" s="18"/>
      <c r="C107" s="82"/>
      <c r="D107" s="18"/>
      <c r="E107" s="18"/>
      <c r="F107" s="18"/>
    </row>
    <row r="108" spans="2:6" ht="13.5" customHeight="1" x14ac:dyDescent="0.2">
      <c r="B108" s="18"/>
      <c r="C108" s="82"/>
      <c r="D108" s="18"/>
      <c r="E108" s="18"/>
      <c r="F108" s="18"/>
    </row>
    <row r="109" spans="2:6" ht="13.5" customHeight="1" x14ac:dyDescent="0.2">
      <c r="B109" s="18"/>
      <c r="C109" s="82"/>
      <c r="D109" s="18"/>
      <c r="E109" s="18"/>
      <c r="F109" s="18"/>
    </row>
    <row r="110" spans="2:6" ht="13.5" customHeight="1" x14ac:dyDescent="0.2">
      <c r="B110" s="18"/>
      <c r="C110" s="82"/>
      <c r="D110" s="18"/>
      <c r="E110" s="18"/>
      <c r="F110" s="18"/>
    </row>
    <row r="111" spans="2:6" ht="13.5" customHeight="1" x14ac:dyDescent="0.2">
      <c r="B111" s="18"/>
      <c r="C111" s="82"/>
      <c r="D111" s="18"/>
      <c r="E111" s="18"/>
      <c r="F111" s="18"/>
    </row>
    <row r="112" spans="2:6" ht="13.5" customHeight="1" x14ac:dyDescent="0.2">
      <c r="B112" s="18"/>
      <c r="C112" s="82"/>
      <c r="D112" s="18"/>
      <c r="E112" s="18"/>
      <c r="F112" s="18"/>
    </row>
    <row r="113" spans="2:6" ht="13.5" customHeight="1" x14ac:dyDescent="0.2">
      <c r="B113" s="18"/>
      <c r="C113" s="82"/>
      <c r="D113" s="18"/>
      <c r="E113" s="18"/>
      <c r="F113" s="18"/>
    </row>
    <row r="114" spans="2:6" ht="13.5" customHeight="1" x14ac:dyDescent="0.2">
      <c r="B114" s="18"/>
      <c r="C114" s="82"/>
      <c r="D114" s="18"/>
      <c r="E114" s="18"/>
      <c r="F114" s="18"/>
    </row>
    <row r="115" spans="2:6" ht="13.5" customHeight="1" x14ac:dyDescent="0.2">
      <c r="B115" s="18"/>
      <c r="C115" s="82"/>
      <c r="D115" s="18"/>
      <c r="E115" s="18"/>
      <c r="F115" s="18"/>
    </row>
    <row r="116" spans="2:6" ht="13.5" customHeight="1" x14ac:dyDescent="0.2">
      <c r="B116" s="18"/>
      <c r="C116" s="82"/>
      <c r="D116" s="18"/>
      <c r="E116" s="18"/>
      <c r="F116" s="18"/>
    </row>
    <row r="117" spans="2:6" ht="13.5" customHeight="1" x14ac:dyDescent="0.2">
      <c r="B117" s="18"/>
      <c r="C117" s="82"/>
      <c r="D117" s="18"/>
      <c r="E117" s="18"/>
      <c r="F117" s="18"/>
    </row>
    <row r="118" spans="2:6" ht="13.5" customHeight="1" x14ac:dyDescent="0.2">
      <c r="B118" s="18"/>
      <c r="C118" s="82"/>
      <c r="D118" s="18"/>
      <c r="E118" s="18"/>
      <c r="F118" s="18"/>
    </row>
    <row r="119" spans="2:6" ht="13.5" customHeight="1" x14ac:dyDescent="0.2">
      <c r="B119" s="18"/>
      <c r="C119" s="82"/>
      <c r="D119" s="18"/>
      <c r="E119" s="18"/>
      <c r="F119" s="18"/>
    </row>
    <row r="120" spans="2:6" ht="13.5" customHeight="1" x14ac:dyDescent="0.2">
      <c r="B120" s="18"/>
      <c r="C120" s="82"/>
      <c r="D120" s="18"/>
      <c r="E120" s="18"/>
      <c r="F120" s="18"/>
    </row>
    <row r="121" spans="2:6" ht="13.5" customHeight="1" x14ac:dyDescent="0.2">
      <c r="B121" s="18"/>
      <c r="C121" s="82"/>
      <c r="D121" s="18"/>
      <c r="E121" s="18"/>
      <c r="F121" s="18"/>
    </row>
    <row r="122" spans="2:6" ht="13.5" customHeight="1" x14ac:dyDescent="0.2">
      <c r="B122" s="18"/>
      <c r="C122" s="82"/>
      <c r="D122" s="18"/>
      <c r="E122" s="18"/>
      <c r="F122" s="18"/>
    </row>
    <row r="123" spans="2:6" ht="13.5" customHeight="1" x14ac:dyDescent="0.2">
      <c r="B123" s="18"/>
      <c r="C123" s="82"/>
      <c r="D123" s="18"/>
      <c r="E123" s="18"/>
      <c r="F123" s="18"/>
    </row>
    <row r="124" spans="2:6" ht="13.5" customHeight="1" x14ac:dyDescent="0.2">
      <c r="B124" s="18"/>
      <c r="C124" s="82"/>
      <c r="D124" s="18"/>
      <c r="E124" s="18"/>
      <c r="F124" s="18"/>
    </row>
    <row r="125" spans="2:6" ht="13.5" customHeight="1" x14ac:dyDescent="0.2">
      <c r="B125" s="18"/>
      <c r="C125" s="82"/>
      <c r="D125" s="18"/>
      <c r="E125" s="18"/>
      <c r="F125" s="18"/>
    </row>
    <row r="126" spans="2:6" ht="13.5" customHeight="1" x14ac:dyDescent="0.2">
      <c r="B126" s="18"/>
      <c r="C126" s="82"/>
      <c r="D126" s="18"/>
      <c r="E126" s="18"/>
      <c r="F126" s="18"/>
    </row>
    <row r="127" spans="2:6" ht="13.5" customHeight="1" x14ac:dyDescent="0.2">
      <c r="B127" s="18"/>
      <c r="C127" s="82"/>
      <c r="D127" s="18"/>
      <c r="E127" s="18"/>
      <c r="F127" s="18"/>
    </row>
    <row r="128" spans="2:6" ht="13.5" customHeight="1" x14ac:dyDescent="0.2">
      <c r="B128" s="18"/>
      <c r="C128" s="82"/>
      <c r="D128" s="18"/>
      <c r="E128" s="18"/>
      <c r="F128" s="18"/>
    </row>
    <row r="129" spans="2:6" ht="13.5" customHeight="1" x14ac:dyDescent="0.2">
      <c r="B129" s="18"/>
      <c r="C129" s="82"/>
      <c r="D129" s="18"/>
      <c r="E129" s="18"/>
      <c r="F129" s="18"/>
    </row>
    <row r="130" spans="2:6" ht="13.5" customHeight="1" x14ac:dyDescent="0.2">
      <c r="B130" s="18"/>
      <c r="C130" s="82"/>
      <c r="D130" s="18"/>
      <c r="E130" s="18"/>
      <c r="F130" s="18"/>
    </row>
    <row r="131" spans="2:6" ht="13.5" customHeight="1" x14ac:dyDescent="0.2">
      <c r="B131" s="18"/>
      <c r="C131" s="82"/>
      <c r="D131" s="18"/>
      <c r="E131" s="18"/>
      <c r="F131" s="18"/>
    </row>
    <row r="132" spans="2:6" ht="13.5" customHeight="1" x14ac:dyDescent="0.2">
      <c r="B132" s="18"/>
      <c r="C132" s="82"/>
      <c r="D132" s="18"/>
      <c r="E132" s="18"/>
      <c r="F132" s="18"/>
    </row>
    <row r="133" spans="2:6" ht="13.5" customHeight="1" x14ac:dyDescent="0.2">
      <c r="B133" s="18"/>
      <c r="C133" s="82"/>
      <c r="D133" s="18"/>
      <c r="E133" s="18"/>
      <c r="F133" s="18"/>
    </row>
    <row r="134" spans="2:6" ht="13.5" customHeight="1" x14ac:dyDescent="0.2">
      <c r="B134" s="18"/>
      <c r="C134" s="82"/>
      <c r="D134" s="18"/>
      <c r="E134" s="18"/>
      <c r="F134" s="18"/>
    </row>
    <row r="135" spans="2:6" ht="13.5" customHeight="1" x14ac:dyDescent="0.2">
      <c r="B135" s="18"/>
      <c r="C135" s="82"/>
      <c r="D135" s="18"/>
      <c r="E135" s="18"/>
      <c r="F135" s="18"/>
    </row>
    <row r="136" spans="2:6" ht="13.5" customHeight="1" x14ac:dyDescent="0.2">
      <c r="B136" s="18"/>
      <c r="C136" s="82"/>
      <c r="D136" s="18"/>
      <c r="E136" s="18"/>
      <c r="F136" s="18"/>
    </row>
    <row r="137" spans="2:6" ht="13.5" customHeight="1" x14ac:dyDescent="0.2">
      <c r="B137" s="18"/>
      <c r="C137" s="82"/>
      <c r="D137" s="18"/>
      <c r="E137" s="18"/>
      <c r="F137" s="18"/>
    </row>
    <row r="138" spans="2:6" ht="13.5" customHeight="1" x14ac:dyDescent="0.2">
      <c r="B138" s="18"/>
      <c r="C138" s="82"/>
      <c r="D138" s="18"/>
      <c r="E138" s="18"/>
      <c r="F138" s="18"/>
    </row>
    <row r="139" spans="2:6" ht="13.5" customHeight="1" x14ac:dyDescent="0.2">
      <c r="B139" s="18"/>
      <c r="C139" s="82"/>
      <c r="D139" s="18"/>
      <c r="E139" s="18"/>
      <c r="F139" s="18"/>
    </row>
    <row r="140" spans="2:6" ht="13.5" customHeight="1" x14ac:dyDescent="0.2">
      <c r="B140" s="18"/>
      <c r="C140" s="82"/>
      <c r="D140" s="18"/>
      <c r="E140" s="18"/>
      <c r="F140" s="18"/>
    </row>
    <row r="141" spans="2:6" ht="13.5" customHeight="1" x14ac:dyDescent="0.2">
      <c r="B141" s="18"/>
      <c r="C141" s="82"/>
      <c r="D141" s="18"/>
      <c r="E141" s="18"/>
      <c r="F141" s="18"/>
    </row>
    <row r="142" spans="2:6" ht="13.5" customHeight="1" x14ac:dyDescent="0.2">
      <c r="B142" s="18"/>
      <c r="C142" s="82"/>
      <c r="D142" s="18"/>
      <c r="E142" s="18"/>
      <c r="F142" s="18"/>
    </row>
    <row r="143" spans="2:6" ht="13.5" customHeight="1" x14ac:dyDescent="0.2">
      <c r="B143" s="18"/>
      <c r="C143" s="82"/>
      <c r="D143" s="18"/>
      <c r="E143" s="18"/>
      <c r="F143" s="18"/>
    </row>
    <row r="144" spans="2:6" ht="13.5" customHeight="1" x14ac:dyDescent="0.2">
      <c r="B144" s="18"/>
      <c r="C144" s="82"/>
      <c r="D144" s="18"/>
      <c r="E144" s="18"/>
      <c r="F144" s="18"/>
    </row>
    <row r="145" spans="2:6" ht="13.5" customHeight="1" x14ac:dyDescent="0.2">
      <c r="B145" s="18"/>
      <c r="C145" s="82"/>
      <c r="D145" s="18"/>
      <c r="E145" s="18"/>
      <c r="F145" s="18"/>
    </row>
    <row r="146" spans="2:6" ht="13.5" customHeight="1" x14ac:dyDescent="0.2">
      <c r="B146" s="18"/>
      <c r="C146" s="82"/>
      <c r="D146" s="18"/>
      <c r="E146" s="18"/>
      <c r="F146" s="18"/>
    </row>
    <row r="147" spans="2:6" ht="13.5" customHeight="1" x14ac:dyDescent="0.2">
      <c r="B147" s="18"/>
      <c r="C147" s="82"/>
      <c r="D147" s="18"/>
      <c r="E147" s="18"/>
      <c r="F147" s="18"/>
    </row>
    <row r="148" spans="2:6" ht="13.5" customHeight="1" x14ac:dyDescent="0.2">
      <c r="B148" s="18"/>
      <c r="C148" s="82"/>
      <c r="D148" s="18"/>
      <c r="E148" s="18"/>
      <c r="F148" s="18"/>
    </row>
    <row r="149" spans="2:6" ht="13.5" customHeight="1" x14ac:dyDescent="0.2">
      <c r="B149" s="18"/>
      <c r="C149" s="82"/>
      <c r="D149" s="18"/>
      <c r="E149" s="18"/>
      <c r="F149" s="18"/>
    </row>
    <row r="150" spans="2:6" ht="13.5" customHeight="1" x14ac:dyDescent="0.2">
      <c r="B150" s="18"/>
      <c r="C150" s="82"/>
      <c r="D150" s="18"/>
      <c r="E150" s="18"/>
      <c r="F150" s="18"/>
    </row>
    <row r="151" spans="2:6" ht="13.5" customHeight="1" x14ac:dyDescent="0.2">
      <c r="B151" s="18"/>
      <c r="C151" s="82"/>
      <c r="D151" s="18"/>
      <c r="E151" s="18"/>
      <c r="F151" s="18"/>
    </row>
    <row r="152" spans="2:6" ht="13.5" customHeight="1" x14ac:dyDescent="0.2">
      <c r="B152" s="18"/>
      <c r="C152" s="82"/>
      <c r="D152" s="18"/>
      <c r="E152" s="18"/>
      <c r="F152" s="18"/>
    </row>
    <row r="153" spans="2:6" ht="13.5" customHeight="1" x14ac:dyDescent="0.2">
      <c r="B153" s="18"/>
      <c r="C153" s="82"/>
      <c r="D153" s="18"/>
      <c r="E153" s="18"/>
      <c r="F153" s="18"/>
    </row>
    <row r="154" spans="2:6" ht="13.5" customHeight="1" x14ac:dyDescent="0.2">
      <c r="B154" s="18"/>
      <c r="C154" s="82"/>
      <c r="D154" s="18"/>
      <c r="E154" s="18"/>
      <c r="F154" s="18"/>
    </row>
    <row r="155" spans="2:6" ht="13.5" customHeight="1" x14ac:dyDescent="0.2">
      <c r="B155" s="18"/>
      <c r="C155" s="82"/>
      <c r="D155" s="18"/>
      <c r="E155" s="18"/>
      <c r="F155" s="18"/>
    </row>
    <row r="156" spans="2:6" ht="13.5" customHeight="1" x14ac:dyDescent="0.2">
      <c r="B156" s="18"/>
      <c r="C156" s="82"/>
      <c r="D156" s="18"/>
      <c r="E156" s="18"/>
      <c r="F156" s="18"/>
    </row>
    <row r="157" spans="2:6" ht="13.5" customHeight="1" x14ac:dyDescent="0.2">
      <c r="B157" s="18"/>
      <c r="C157" s="82"/>
      <c r="D157" s="18"/>
      <c r="E157" s="18"/>
      <c r="F157" s="18"/>
    </row>
    <row r="158" spans="2:6" ht="13.5" customHeight="1" x14ac:dyDescent="0.2">
      <c r="B158" s="18"/>
      <c r="C158" s="82"/>
      <c r="D158" s="18"/>
      <c r="E158" s="18"/>
      <c r="F158" s="18"/>
    </row>
    <row r="159" spans="2:6" ht="13.5" customHeight="1" x14ac:dyDescent="0.2">
      <c r="B159" s="18"/>
      <c r="C159" s="82"/>
      <c r="D159" s="18"/>
      <c r="E159" s="18"/>
      <c r="F159" s="18"/>
    </row>
    <row r="160" spans="2:6" ht="13.5" customHeight="1" x14ac:dyDescent="0.2">
      <c r="B160" s="18"/>
      <c r="C160" s="82"/>
      <c r="D160" s="18"/>
      <c r="E160" s="18"/>
      <c r="F160" s="18"/>
    </row>
    <row r="161" spans="2:6" ht="13.5" customHeight="1" x14ac:dyDescent="0.2">
      <c r="B161" s="18"/>
      <c r="C161" s="82"/>
      <c r="D161" s="18"/>
      <c r="E161" s="18"/>
      <c r="F161" s="18"/>
    </row>
    <row r="162" spans="2:6" ht="13.5" customHeight="1" x14ac:dyDescent="0.2">
      <c r="B162" s="18"/>
      <c r="C162" s="82"/>
      <c r="D162" s="18"/>
      <c r="E162" s="18"/>
      <c r="F162" s="18"/>
    </row>
    <row r="163" spans="2:6" ht="13.5" customHeight="1" x14ac:dyDescent="0.2">
      <c r="B163" s="18"/>
      <c r="C163" s="82"/>
      <c r="D163" s="18"/>
      <c r="E163" s="18"/>
      <c r="F163" s="18"/>
    </row>
    <row r="164" spans="2:6" ht="13.5" customHeight="1" x14ac:dyDescent="0.2">
      <c r="B164" s="18"/>
      <c r="C164" s="82"/>
      <c r="D164" s="18"/>
      <c r="E164" s="18"/>
      <c r="F164" s="18"/>
    </row>
    <row r="165" spans="2:6" ht="13.5" customHeight="1" x14ac:dyDescent="0.2">
      <c r="B165" s="18"/>
      <c r="C165" s="82"/>
      <c r="D165" s="18"/>
      <c r="E165" s="18"/>
      <c r="F165" s="18"/>
    </row>
    <row r="166" spans="2:6" ht="13.5" customHeight="1" x14ac:dyDescent="0.2">
      <c r="B166" s="18"/>
      <c r="C166" s="82"/>
      <c r="D166" s="18"/>
      <c r="E166" s="18"/>
      <c r="F166" s="18"/>
    </row>
    <row r="167" spans="2:6" ht="13.5" customHeight="1" x14ac:dyDescent="0.2">
      <c r="B167" s="18"/>
      <c r="C167" s="82"/>
      <c r="D167" s="18"/>
      <c r="E167" s="18"/>
      <c r="F167" s="18"/>
    </row>
    <row r="168" spans="2:6" ht="13.5" customHeight="1" x14ac:dyDescent="0.2">
      <c r="B168" s="18"/>
      <c r="C168" s="82"/>
      <c r="D168" s="18"/>
      <c r="E168" s="18"/>
      <c r="F168" s="18"/>
    </row>
    <row r="169" spans="2:6" ht="13.5" customHeight="1" x14ac:dyDescent="0.2">
      <c r="B169" s="18"/>
      <c r="C169" s="82"/>
      <c r="D169" s="18"/>
      <c r="E169" s="18"/>
      <c r="F169" s="18"/>
    </row>
    <row r="170" spans="2:6" ht="13.5" customHeight="1" x14ac:dyDescent="0.2">
      <c r="B170" s="18"/>
      <c r="C170" s="82"/>
      <c r="D170" s="18"/>
      <c r="E170" s="18"/>
      <c r="F170" s="18"/>
    </row>
    <row r="171" spans="2:6" ht="13.5" customHeight="1" x14ac:dyDescent="0.2">
      <c r="B171" s="18"/>
      <c r="C171" s="82"/>
      <c r="D171" s="18"/>
      <c r="E171" s="18"/>
      <c r="F171" s="18"/>
    </row>
    <row r="172" spans="2:6" ht="13.5" customHeight="1" x14ac:dyDescent="0.2">
      <c r="B172" s="18"/>
      <c r="C172" s="82"/>
      <c r="D172" s="18"/>
      <c r="E172" s="18"/>
      <c r="F172" s="18"/>
    </row>
    <row r="173" spans="2:6" ht="13.5" customHeight="1" x14ac:dyDescent="0.2">
      <c r="B173" s="18"/>
      <c r="C173" s="82"/>
      <c r="D173" s="18"/>
      <c r="E173" s="18"/>
      <c r="F173" s="18"/>
    </row>
    <row r="174" spans="2:6" ht="13.5" customHeight="1" x14ac:dyDescent="0.2">
      <c r="B174" s="18"/>
      <c r="C174" s="82"/>
      <c r="D174" s="18"/>
      <c r="E174" s="18"/>
      <c r="F174" s="18"/>
    </row>
    <row r="175" spans="2:6" ht="13.5" customHeight="1" x14ac:dyDescent="0.2">
      <c r="B175" s="18"/>
      <c r="C175" s="82"/>
      <c r="D175" s="18"/>
      <c r="E175" s="18"/>
      <c r="F175" s="18"/>
    </row>
    <row r="176" spans="2:6" ht="13.5" customHeight="1" x14ac:dyDescent="0.2">
      <c r="B176" s="18"/>
      <c r="C176" s="82"/>
      <c r="D176" s="18"/>
      <c r="E176" s="18"/>
      <c r="F176" s="18"/>
    </row>
    <row r="177" spans="2:6" ht="13.5" customHeight="1" x14ac:dyDescent="0.2">
      <c r="B177" s="18"/>
      <c r="C177" s="82"/>
      <c r="D177" s="18"/>
      <c r="E177" s="18"/>
      <c r="F177" s="18"/>
    </row>
    <row r="178" spans="2:6" ht="13.5" customHeight="1" x14ac:dyDescent="0.2">
      <c r="B178" s="18"/>
      <c r="C178" s="82"/>
      <c r="D178" s="18"/>
      <c r="E178" s="18"/>
      <c r="F178" s="18"/>
    </row>
    <row r="179" spans="2:6" ht="13.5" customHeight="1" x14ac:dyDescent="0.2">
      <c r="B179" s="18"/>
      <c r="C179" s="82"/>
      <c r="D179" s="18"/>
      <c r="E179" s="18"/>
      <c r="F179" s="18"/>
    </row>
    <row r="180" spans="2:6" ht="13.5" customHeight="1" x14ac:dyDescent="0.2">
      <c r="B180" s="18"/>
      <c r="C180" s="82"/>
      <c r="D180" s="18"/>
      <c r="E180" s="18"/>
      <c r="F180" s="18"/>
    </row>
    <row r="181" spans="2:6" ht="13.5" customHeight="1" x14ac:dyDescent="0.2">
      <c r="B181" s="18"/>
      <c r="C181" s="82"/>
      <c r="D181" s="18"/>
      <c r="E181" s="18"/>
      <c r="F181" s="18"/>
    </row>
    <row r="182" spans="2:6" ht="13.5" customHeight="1" x14ac:dyDescent="0.2">
      <c r="B182" s="18"/>
      <c r="C182" s="82"/>
      <c r="D182" s="18"/>
      <c r="E182" s="18"/>
      <c r="F182" s="18"/>
    </row>
    <row r="183" spans="2:6" ht="13.5" customHeight="1" x14ac:dyDescent="0.2">
      <c r="B183" s="18"/>
      <c r="C183" s="82"/>
      <c r="D183" s="18"/>
      <c r="E183" s="18"/>
      <c r="F183" s="18"/>
    </row>
    <row r="184" spans="2:6" ht="13.5" customHeight="1" x14ac:dyDescent="0.2">
      <c r="B184" s="18"/>
      <c r="C184" s="82"/>
      <c r="D184" s="18"/>
      <c r="E184" s="18"/>
      <c r="F184" s="18"/>
    </row>
    <row r="185" spans="2:6" ht="13.5" customHeight="1" x14ac:dyDescent="0.2">
      <c r="B185" s="18"/>
      <c r="C185" s="82"/>
      <c r="D185" s="18"/>
      <c r="E185" s="18"/>
      <c r="F185" s="18"/>
    </row>
    <row r="186" spans="2:6" ht="13.5" customHeight="1" x14ac:dyDescent="0.2">
      <c r="B186" s="18"/>
      <c r="C186" s="82"/>
      <c r="D186" s="18"/>
      <c r="E186" s="18"/>
      <c r="F186" s="18"/>
    </row>
    <row r="187" spans="2:6" ht="13.5" customHeight="1" x14ac:dyDescent="0.2">
      <c r="B187" s="18"/>
      <c r="C187" s="82"/>
      <c r="D187" s="18"/>
      <c r="E187" s="18"/>
      <c r="F187" s="18"/>
    </row>
    <row r="188" spans="2:6" ht="13.5" customHeight="1" x14ac:dyDescent="0.2">
      <c r="B188" s="18"/>
      <c r="C188" s="82"/>
      <c r="D188" s="18"/>
      <c r="E188" s="18"/>
      <c r="F188" s="18"/>
    </row>
    <row r="189" spans="2:6" ht="13.5" customHeight="1" x14ac:dyDescent="0.2">
      <c r="B189" s="18"/>
      <c r="C189" s="82"/>
      <c r="D189" s="18"/>
      <c r="E189" s="18"/>
      <c r="F189" s="18"/>
    </row>
    <row r="190" spans="2:6" ht="13.5" customHeight="1" x14ac:dyDescent="0.2">
      <c r="B190" s="18"/>
      <c r="C190" s="82"/>
      <c r="D190" s="18"/>
      <c r="E190" s="18"/>
      <c r="F190" s="18"/>
    </row>
    <row r="191" spans="2:6" ht="13.5" customHeight="1" x14ac:dyDescent="0.2">
      <c r="B191" s="18"/>
      <c r="C191" s="82"/>
      <c r="D191" s="18"/>
      <c r="E191" s="18"/>
      <c r="F191" s="18"/>
    </row>
    <row r="192" spans="2:6" ht="13.5" customHeight="1" x14ac:dyDescent="0.2">
      <c r="B192" s="18"/>
      <c r="C192" s="82"/>
      <c r="D192" s="18"/>
      <c r="E192" s="18"/>
      <c r="F192" s="18"/>
    </row>
    <row r="193" spans="2:6" ht="13.5" customHeight="1" x14ac:dyDescent="0.2">
      <c r="B193" s="18"/>
      <c r="C193" s="82"/>
      <c r="D193" s="18"/>
      <c r="E193" s="18"/>
      <c r="F193" s="18"/>
    </row>
    <row r="194" spans="2:6" ht="13.5" customHeight="1" x14ac:dyDescent="0.2">
      <c r="B194" s="18"/>
      <c r="C194" s="82"/>
      <c r="D194" s="18"/>
      <c r="E194" s="18"/>
      <c r="F194" s="18"/>
    </row>
    <row r="195" spans="2:6" ht="13.5" customHeight="1" x14ac:dyDescent="0.2">
      <c r="B195" s="18"/>
      <c r="C195" s="82"/>
      <c r="D195" s="18"/>
      <c r="E195" s="18"/>
      <c r="F195" s="18"/>
    </row>
    <row r="196" spans="2:6" ht="13.5" customHeight="1" x14ac:dyDescent="0.2">
      <c r="B196" s="18"/>
      <c r="C196" s="82"/>
      <c r="D196" s="18"/>
      <c r="E196" s="18"/>
      <c r="F196" s="18"/>
    </row>
    <row r="197" spans="2:6" ht="13.5" customHeight="1" x14ac:dyDescent="0.2">
      <c r="B197" s="18"/>
      <c r="C197" s="82"/>
      <c r="D197" s="18"/>
      <c r="E197" s="18"/>
      <c r="F197" s="18"/>
    </row>
    <row r="198" spans="2:6" ht="13.5" customHeight="1" x14ac:dyDescent="0.2">
      <c r="B198" s="18"/>
      <c r="C198" s="82"/>
      <c r="D198" s="18"/>
      <c r="E198" s="18"/>
      <c r="F198" s="18"/>
    </row>
    <row r="199" spans="2:6" ht="13.5" customHeight="1" x14ac:dyDescent="0.2">
      <c r="B199" s="18"/>
      <c r="C199" s="82"/>
      <c r="D199" s="18"/>
      <c r="E199" s="18"/>
      <c r="F199" s="18"/>
    </row>
    <row r="200" spans="2:6" ht="13.5" customHeight="1" x14ac:dyDescent="0.2">
      <c r="B200" s="18"/>
      <c r="C200" s="82"/>
      <c r="D200" s="18"/>
      <c r="E200" s="18"/>
      <c r="F200" s="18"/>
    </row>
    <row r="201" spans="2:6" ht="13.5" customHeight="1" x14ac:dyDescent="0.2">
      <c r="B201" s="18"/>
      <c r="C201" s="82"/>
      <c r="D201" s="18"/>
      <c r="E201" s="18"/>
      <c r="F201" s="18"/>
    </row>
    <row r="202" spans="2:6" ht="13.5" customHeight="1" x14ac:dyDescent="0.2">
      <c r="B202" s="18"/>
      <c r="C202" s="82"/>
      <c r="D202" s="18"/>
      <c r="E202" s="18"/>
      <c r="F202" s="18"/>
    </row>
    <row r="203" spans="2:6" ht="13.5" customHeight="1" x14ac:dyDescent="0.2">
      <c r="B203" s="18"/>
      <c r="C203" s="82"/>
      <c r="D203" s="18"/>
      <c r="E203" s="18"/>
      <c r="F203" s="18"/>
    </row>
    <row r="204" spans="2:6" ht="13.5" customHeight="1" x14ac:dyDescent="0.2">
      <c r="B204" s="18"/>
      <c r="C204" s="82"/>
      <c r="D204" s="18"/>
      <c r="E204" s="18"/>
      <c r="F204" s="18"/>
    </row>
    <row r="205" spans="2:6" ht="13.5" customHeight="1" x14ac:dyDescent="0.2">
      <c r="B205" s="18"/>
      <c r="C205" s="82"/>
      <c r="D205" s="18"/>
      <c r="E205" s="18"/>
      <c r="F205" s="18"/>
    </row>
    <row r="206" spans="2:6" ht="13.5" customHeight="1" x14ac:dyDescent="0.2">
      <c r="B206" s="18"/>
      <c r="C206" s="82"/>
      <c r="D206" s="18"/>
      <c r="E206" s="18"/>
      <c r="F206" s="18"/>
    </row>
    <row r="207" spans="2:6" ht="13.5" customHeight="1" x14ac:dyDescent="0.2">
      <c r="B207" s="18"/>
      <c r="C207" s="82"/>
      <c r="D207" s="18"/>
      <c r="E207" s="18"/>
      <c r="F207" s="18"/>
    </row>
    <row r="208" spans="2:6" ht="13.5" customHeight="1" x14ac:dyDescent="0.2">
      <c r="B208" s="18"/>
      <c r="C208" s="82"/>
      <c r="D208" s="18"/>
      <c r="E208" s="18"/>
      <c r="F208" s="18"/>
    </row>
    <row r="209" spans="2:6" ht="13.5" customHeight="1" x14ac:dyDescent="0.2">
      <c r="B209" s="18"/>
      <c r="C209" s="82"/>
      <c r="D209" s="18"/>
      <c r="E209" s="18"/>
      <c r="F209" s="18"/>
    </row>
    <row r="210" spans="2:6" ht="13.5" customHeight="1" x14ac:dyDescent="0.2">
      <c r="B210" s="18"/>
      <c r="C210" s="82"/>
      <c r="D210" s="18"/>
      <c r="E210" s="18"/>
      <c r="F210" s="18"/>
    </row>
    <row r="211" spans="2:6" ht="13.5" customHeight="1" x14ac:dyDescent="0.2">
      <c r="B211" s="18"/>
      <c r="C211" s="82"/>
      <c r="D211" s="18"/>
      <c r="E211" s="18"/>
      <c r="F211" s="18"/>
    </row>
    <row r="212" spans="2:6" ht="13.5" customHeight="1" x14ac:dyDescent="0.2">
      <c r="B212" s="18"/>
      <c r="C212" s="82"/>
      <c r="D212" s="18"/>
      <c r="E212" s="18"/>
      <c r="F212" s="18"/>
    </row>
    <row r="213" spans="2:6" ht="13.5" customHeight="1" x14ac:dyDescent="0.2">
      <c r="B213" s="18"/>
      <c r="C213" s="82"/>
      <c r="D213" s="18"/>
      <c r="E213" s="18"/>
      <c r="F213" s="18"/>
    </row>
    <row r="214" spans="2:6" ht="13.5" customHeight="1" x14ac:dyDescent="0.2">
      <c r="B214" s="18"/>
      <c r="C214" s="82"/>
      <c r="D214" s="18"/>
      <c r="E214" s="18"/>
      <c r="F214" s="18"/>
    </row>
    <row r="215" spans="2:6" ht="13.5" customHeight="1" x14ac:dyDescent="0.2">
      <c r="B215" s="18"/>
      <c r="C215" s="82"/>
      <c r="D215" s="18"/>
      <c r="E215" s="18"/>
      <c r="F215" s="18"/>
    </row>
    <row r="216" spans="2:6" ht="13.5" customHeight="1" x14ac:dyDescent="0.2">
      <c r="B216" s="18"/>
      <c r="C216" s="82"/>
      <c r="D216" s="18"/>
      <c r="E216" s="18"/>
      <c r="F216" s="18"/>
    </row>
    <row r="217" spans="2:6" ht="13.5" customHeight="1" x14ac:dyDescent="0.2">
      <c r="B217" s="18"/>
      <c r="C217" s="82"/>
      <c r="D217" s="18"/>
      <c r="E217" s="18"/>
      <c r="F217" s="18"/>
    </row>
    <row r="218" spans="2:6" ht="13.5" customHeight="1" x14ac:dyDescent="0.2">
      <c r="B218" s="18"/>
      <c r="C218" s="82"/>
      <c r="D218" s="18"/>
      <c r="E218" s="18"/>
      <c r="F218" s="18"/>
    </row>
    <row r="219" spans="2:6" ht="13.5" customHeight="1" x14ac:dyDescent="0.2">
      <c r="B219" s="18"/>
      <c r="C219" s="82"/>
      <c r="D219" s="18"/>
      <c r="E219" s="18"/>
      <c r="F219" s="18"/>
    </row>
    <row r="220" spans="2:6" ht="13.5" customHeight="1" x14ac:dyDescent="0.2">
      <c r="B220" s="18"/>
      <c r="C220" s="82"/>
      <c r="D220" s="18"/>
      <c r="E220" s="18"/>
      <c r="F220" s="18"/>
    </row>
    <row r="221" spans="2:6" ht="13.5" customHeight="1" x14ac:dyDescent="0.2">
      <c r="B221" s="18"/>
      <c r="C221" s="82"/>
      <c r="D221" s="18"/>
      <c r="E221" s="18"/>
      <c r="F221" s="18"/>
    </row>
    <row r="222" spans="2:6" ht="13.5" customHeight="1" x14ac:dyDescent="0.2">
      <c r="B222" s="18"/>
      <c r="C222" s="82"/>
      <c r="D222" s="18"/>
      <c r="E222" s="18"/>
      <c r="F222" s="18"/>
    </row>
    <row r="223" spans="2:6" ht="13.5" customHeight="1" x14ac:dyDescent="0.2">
      <c r="B223" s="18"/>
      <c r="C223" s="82"/>
      <c r="D223" s="18"/>
      <c r="E223" s="18"/>
      <c r="F223" s="18"/>
    </row>
    <row r="224" spans="2:6" ht="13.5" customHeight="1" x14ac:dyDescent="0.2">
      <c r="B224" s="18"/>
      <c r="C224" s="82"/>
      <c r="D224" s="18"/>
      <c r="E224" s="18"/>
      <c r="F224" s="18"/>
    </row>
    <row r="225" spans="2:6" ht="13.5" customHeight="1" x14ac:dyDescent="0.2">
      <c r="B225" s="18"/>
      <c r="C225" s="82"/>
      <c r="D225" s="18"/>
      <c r="E225" s="18"/>
      <c r="F225" s="18"/>
    </row>
    <row r="226" spans="2:6" ht="13.5" customHeight="1" x14ac:dyDescent="0.2">
      <c r="B226" s="18"/>
      <c r="C226" s="82"/>
      <c r="D226" s="18"/>
      <c r="E226" s="18"/>
      <c r="F226" s="18"/>
    </row>
    <row r="227" spans="2:6" ht="13.5" customHeight="1" x14ac:dyDescent="0.2">
      <c r="B227" s="18"/>
      <c r="C227" s="82"/>
      <c r="D227" s="18"/>
      <c r="E227" s="18"/>
      <c r="F227" s="18"/>
    </row>
    <row r="228" spans="2:6" ht="13.5" customHeight="1" x14ac:dyDescent="0.2">
      <c r="B228" s="18"/>
      <c r="C228" s="82"/>
      <c r="D228" s="18"/>
      <c r="E228" s="18"/>
      <c r="F228" s="18"/>
    </row>
    <row r="229" spans="2:6" ht="13.5" customHeight="1" x14ac:dyDescent="0.2">
      <c r="B229" s="18"/>
      <c r="C229" s="82"/>
      <c r="D229" s="18"/>
      <c r="E229" s="18"/>
      <c r="F229" s="18"/>
    </row>
    <row r="230" spans="2:6" ht="13.5" customHeight="1" x14ac:dyDescent="0.2">
      <c r="B230" s="18"/>
      <c r="C230" s="82"/>
      <c r="D230" s="18"/>
      <c r="E230" s="18"/>
      <c r="F230" s="18"/>
    </row>
    <row r="231" spans="2:6" ht="13.5" customHeight="1" x14ac:dyDescent="0.2">
      <c r="B231" s="18"/>
      <c r="C231" s="82"/>
      <c r="D231" s="18"/>
      <c r="E231" s="18"/>
      <c r="F231" s="18"/>
    </row>
    <row r="232" spans="2:6" ht="13.5" customHeight="1" x14ac:dyDescent="0.2">
      <c r="B232" s="18"/>
      <c r="C232" s="82"/>
      <c r="D232" s="18"/>
      <c r="E232" s="18"/>
      <c r="F232" s="18"/>
    </row>
    <row r="233" spans="2:6" ht="13.5" customHeight="1" x14ac:dyDescent="0.2">
      <c r="B233" s="18"/>
      <c r="C233" s="82"/>
      <c r="D233" s="18"/>
      <c r="E233" s="18"/>
      <c r="F233" s="18"/>
    </row>
    <row r="234" spans="2:6" ht="13.5" customHeight="1" x14ac:dyDescent="0.2">
      <c r="B234" s="18"/>
      <c r="C234" s="82"/>
      <c r="D234" s="18"/>
      <c r="E234" s="18"/>
      <c r="F234" s="18"/>
    </row>
    <row r="235" spans="2:6" ht="13.5" customHeight="1" x14ac:dyDescent="0.2">
      <c r="B235" s="18"/>
      <c r="C235" s="82"/>
      <c r="D235" s="18"/>
      <c r="E235" s="18"/>
      <c r="F235" s="18"/>
    </row>
    <row r="236" spans="2:6" ht="13.5" customHeight="1" x14ac:dyDescent="0.2">
      <c r="B236" s="18"/>
      <c r="C236" s="82"/>
      <c r="D236" s="18"/>
      <c r="E236" s="18"/>
      <c r="F236" s="18"/>
    </row>
    <row r="237" spans="2:6" ht="13.5" customHeight="1" x14ac:dyDescent="0.2">
      <c r="B237" s="18"/>
      <c r="C237" s="82"/>
      <c r="D237" s="18"/>
      <c r="E237" s="18"/>
      <c r="F237" s="18"/>
    </row>
    <row r="238" spans="2:6" ht="13.5" customHeight="1" x14ac:dyDescent="0.2">
      <c r="B238" s="18"/>
      <c r="C238" s="82"/>
      <c r="D238" s="18"/>
      <c r="E238" s="18"/>
      <c r="F238" s="18"/>
    </row>
    <row r="239" spans="2:6" ht="13.5" customHeight="1" x14ac:dyDescent="0.2">
      <c r="B239" s="18"/>
      <c r="C239" s="82"/>
      <c r="D239" s="18"/>
      <c r="E239" s="18"/>
      <c r="F239" s="18"/>
    </row>
    <row r="240" spans="2:6" ht="13.5" customHeight="1" x14ac:dyDescent="0.2">
      <c r="B240" s="18"/>
      <c r="C240" s="82"/>
      <c r="D240" s="18"/>
      <c r="E240" s="18"/>
      <c r="F240" s="18"/>
    </row>
    <row r="241" spans="2:6" ht="13.5" customHeight="1" x14ac:dyDescent="0.2">
      <c r="B241" s="18"/>
      <c r="C241" s="82"/>
      <c r="D241" s="18"/>
      <c r="E241" s="18"/>
      <c r="F241" s="18"/>
    </row>
    <row r="242" spans="2:6" ht="13.5" customHeight="1" x14ac:dyDescent="0.2">
      <c r="B242" s="18"/>
      <c r="C242" s="82"/>
      <c r="D242" s="18"/>
      <c r="E242" s="18"/>
      <c r="F242" s="18"/>
    </row>
    <row r="243" spans="2:6" ht="13.5" customHeight="1" x14ac:dyDescent="0.2">
      <c r="B243" s="18"/>
      <c r="C243" s="82"/>
      <c r="D243" s="18"/>
      <c r="E243" s="18"/>
      <c r="F243" s="18"/>
    </row>
    <row r="244" spans="2:6" ht="13.5" customHeight="1" x14ac:dyDescent="0.2">
      <c r="B244" s="18"/>
      <c r="C244" s="82"/>
      <c r="D244" s="18"/>
      <c r="E244" s="18"/>
      <c r="F244" s="18"/>
    </row>
    <row r="245" spans="2:6" ht="13.5" customHeight="1" x14ac:dyDescent="0.2">
      <c r="B245" s="18"/>
      <c r="C245" s="82"/>
      <c r="D245" s="18"/>
      <c r="E245" s="18"/>
      <c r="F245" s="18"/>
    </row>
    <row r="246" spans="2:6" ht="13.5" customHeight="1" x14ac:dyDescent="0.2">
      <c r="B246" s="18"/>
      <c r="C246" s="82"/>
      <c r="D246" s="18"/>
      <c r="E246" s="18"/>
      <c r="F246" s="18"/>
    </row>
    <row r="247" spans="2:6" ht="13.5" customHeight="1" x14ac:dyDescent="0.2">
      <c r="B247" s="18"/>
      <c r="C247" s="82"/>
      <c r="D247" s="18"/>
      <c r="E247" s="18"/>
      <c r="F247" s="18"/>
    </row>
    <row r="248" spans="2:6" ht="13.5" customHeight="1" x14ac:dyDescent="0.2">
      <c r="B248" s="18"/>
      <c r="C248" s="82"/>
      <c r="D248" s="18"/>
      <c r="E248" s="18"/>
      <c r="F248" s="18"/>
    </row>
    <row r="249" spans="2:6" ht="13.5" customHeight="1" x14ac:dyDescent="0.2">
      <c r="B249" s="18"/>
      <c r="C249" s="82"/>
      <c r="D249" s="18"/>
      <c r="E249" s="18"/>
      <c r="F249" s="18"/>
    </row>
    <row r="250" spans="2:6" ht="13.5" customHeight="1" x14ac:dyDescent="0.2">
      <c r="B250" s="18"/>
      <c r="C250" s="82"/>
      <c r="D250" s="18"/>
      <c r="E250" s="18"/>
      <c r="F250" s="18"/>
    </row>
    <row r="251" spans="2:6" ht="13.5" customHeight="1" x14ac:dyDescent="0.2">
      <c r="B251" s="18"/>
      <c r="C251" s="82"/>
      <c r="D251" s="18"/>
      <c r="E251" s="18"/>
      <c r="F251" s="18"/>
    </row>
    <row r="252" spans="2:6" ht="13.5" customHeight="1" x14ac:dyDescent="0.2">
      <c r="B252" s="18"/>
      <c r="C252" s="82"/>
      <c r="D252" s="18"/>
      <c r="E252" s="18"/>
      <c r="F252" s="18"/>
    </row>
    <row r="253" spans="2:6" ht="13.5" customHeight="1" x14ac:dyDescent="0.2">
      <c r="B253" s="18"/>
      <c r="C253" s="82"/>
      <c r="D253" s="18"/>
      <c r="E253" s="18"/>
      <c r="F253" s="18"/>
    </row>
    <row r="254" spans="2:6" ht="13.5" customHeight="1" x14ac:dyDescent="0.2">
      <c r="B254" s="18"/>
      <c r="C254" s="82"/>
      <c r="D254" s="18"/>
      <c r="E254" s="18"/>
      <c r="F254" s="18"/>
    </row>
    <row r="255" spans="2:6" ht="13.5" customHeight="1" x14ac:dyDescent="0.2">
      <c r="B255" s="18"/>
      <c r="C255" s="82"/>
      <c r="D255" s="18"/>
      <c r="E255" s="18"/>
      <c r="F255" s="18"/>
    </row>
    <row r="256" spans="2:6" ht="13.5" customHeight="1" x14ac:dyDescent="0.2">
      <c r="B256" s="18"/>
      <c r="C256" s="82"/>
      <c r="D256" s="18"/>
      <c r="E256" s="18"/>
      <c r="F256" s="18"/>
    </row>
    <row r="257" spans="2:6" ht="13.5" customHeight="1" x14ac:dyDescent="0.2">
      <c r="B257" s="18"/>
      <c r="C257" s="82"/>
      <c r="D257" s="18"/>
      <c r="E257" s="18"/>
      <c r="F257" s="18"/>
    </row>
    <row r="258" spans="2:6" ht="13.5" customHeight="1" x14ac:dyDescent="0.2">
      <c r="B258" s="18"/>
      <c r="C258" s="82"/>
      <c r="D258" s="18"/>
      <c r="E258" s="18"/>
      <c r="F258" s="18"/>
    </row>
    <row r="259" spans="2:6" ht="13.5" customHeight="1" x14ac:dyDescent="0.2">
      <c r="B259" s="18"/>
      <c r="C259" s="82"/>
      <c r="D259" s="18"/>
      <c r="E259" s="18"/>
      <c r="F259" s="18"/>
    </row>
    <row r="260" spans="2:6" ht="13.5" customHeight="1" x14ac:dyDescent="0.2">
      <c r="B260" s="18"/>
      <c r="C260" s="82"/>
      <c r="D260" s="18"/>
      <c r="E260" s="18"/>
      <c r="F260" s="18"/>
    </row>
    <row r="261" spans="2:6" ht="13.5" customHeight="1" x14ac:dyDescent="0.2">
      <c r="B261" s="18"/>
      <c r="C261" s="82"/>
      <c r="D261" s="18"/>
      <c r="E261" s="18"/>
      <c r="F261" s="18"/>
    </row>
    <row r="262" spans="2:6" ht="13.5" customHeight="1" x14ac:dyDescent="0.2">
      <c r="B262" s="18"/>
      <c r="C262" s="82"/>
      <c r="D262" s="18"/>
      <c r="E262" s="18"/>
      <c r="F262" s="18"/>
    </row>
    <row r="263" spans="2:6" ht="13.5" customHeight="1" x14ac:dyDescent="0.2">
      <c r="B263" s="18"/>
      <c r="C263" s="82"/>
      <c r="D263" s="18"/>
      <c r="E263" s="18"/>
      <c r="F263" s="18"/>
    </row>
    <row r="264" spans="2:6" ht="13.5" customHeight="1" x14ac:dyDescent="0.2">
      <c r="B264" s="18"/>
      <c r="C264" s="82"/>
      <c r="D264" s="18"/>
      <c r="E264" s="18"/>
      <c r="F264" s="18"/>
    </row>
    <row r="265" spans="2:6" ht="13.5" customHeight="1" x14ac:dyDescent="0.2">
      <c r="B265" s="18"/>
      <c r="C265" s="82"/>
      <c r="D265" s="18"/>
      <c r="E265" s="18"/>
      <c r="F265" s="18"/>
    </row>
    <row r="266" spans="2:6" ht="13.5" customHeight="1" x14ac:dyDescent="0.2">
      <c r="B266" s="18"/>
      <c r="C266" s="82"/>
      <c r="D266" s="18"/>
      <c r="E266" s="18"/>
      <c r="F266" s="18"/>
    </row>
    <row r="267" spans="2:6" ht="13.5" customHeight="1" x14ac:dyDescent="0.2">
      <c r="B267" s="18"/>
      <c r="C267" s="82"/>
      <c r="D267" s="18"/>
      <c r="E267" s="18"/>
      <c r="F267" s="18"/>
    </row>
    <row r="268" spans="2:6" ht="13.5" customHeight="1" x14ac:dyDescent="0.2">
      <c r="B268" s="18"/>
      <c r="C268" s="82"/>
      <c r="D268" s="18"/>
      <c r="E268" s="18"/>
      <c r="F268" s="18"/>
    </row>
    <row r="269" spans="2:6" ht="13.5" customHeight="1" x14ac:dyDescent="0.2">
      <c r="B269" s="18"/>
      <c r="C269" s="82"/>
      <c r="D269" s="18"/>
      <c r="E269" s="18"/>
      <c r="F269" s="18"/>
    </row>
    <row r="270" spans="2:6" ht="13.5" customHeight="1" x14ac:dyDescent="0.2">
      <c r="B270" s="18"/>
      <c r="C270" s="82"/>
      <c r="D270" s="18"/>
      <c r="E270" s="18"/>
      <c r="F270" s="18"/>
    </row>
    <row r="271" spans="2:6" ht="13.5" customHeight="1" x14ac:dyDescent="0.2">
      <c r="B271" s="18"/>
      <c r="C271" s="82"/>
      <c r="D271" s="18"/>
      <c r="E271" s="18"/>
      <c r="F271" s="18"/>
    </row>
    <row r="272" spans="2:6" ht="13.5" customHeight="1" x14ac:dyDescent="0.2">
      <c r="B272" s="18"/>
      <c r="C272" s="82"/>
      <c r="D272" s="18"/>
      <c r="E272" s="18"/>
      <c r="F272" s="18"/>
    </row>
    <row r="273" spans="2:6" ht="13.5" customHeight="1" x14ac:dyDescent="0.2">
      <c r="B273" s="18"/>
      <c r="C273" s="82"/>
      <c r="D273" s="18"/>
      <c r="E273" s="18"/>
      <c r="F273" s="18"/>
    </row>
    <row r="274" spans="2:6" ht="13.5" customHeight="1" x14ac:dyDescent="0.2">
      <c r="B274" s="18"/>
      <c r="C274" s="82"/>
      <c r="D274" s="18"/>
      <c r="E274" s="18"/>
      <c r="F274" s="18"/>
    </row>
    <row r="275" spans="2:6" ht="13.5" customHeight="1" x14ac:dyDescent="0.2">
      <c r="B275" s="18"/>
      <c r="C275" s="82"/>
      <c r="D275" s="18"/>
      <c r="E275" s="18"/>
      <c r="F275" s="18"/>
    </row>
    <row r="276" spans="2:6" ht="13.5" customHeight="1" x14ac:dyDescent="0.2">
      <c r="B276" s="18"/>
      <c r="C276" s="82"/>
      <c r="D276" s="18"/>
      <c r="E276" s="18"/>
      <c r="F276" s="18"/>
    </row>
    <row r="277" spans="2:6" ht="13.5" customHeight="1" x14ac:dyDescent="0.2">
      <c r="B277" s="18"/>
      <c r="C277" s="82"/>
      <c r="D277" s="18"/>
      <c r="E277" s="18"/>
      <c r="F277" s="18"/>
    </row>
    <row r="278" spans="2:6" ht="13.5" customHeight="1" x14ac:dyDescent="0.2">
      <c r="B278" s="18"/>
      <c r="C278" s="82"/>
      <c r="D278" s="18"/>
      <c r="E278" s="18"/>
      <c r="F278" s="18"/>
    </row>
    <row r="279" spans="2:6" ht="13.5" customHeight="1" x14ac:dyDescent="0.2">
      <c r="B279" s="18"/>
      <c r="C279" s="82"/>
      <c r="D279" s="18"/>
      <c r="E279" s="18"/>
      <c r="F279" s="18"/>
    </row>
    <row r="280" spans="2:6" ht="13.5" customHeight="1" x14ac:dyDescent="0.2">
      <c r="B280" s="18"/>
      <c r="C280" s="82"/>
      <c r="D280" s="18"/>
      <c r="E280" s="18"/>
      <c r="F280" s="18"/>
    </row>
    <row r="281" spans="2:6" ht="13.5" customHeight="1" x14ac:dyDescent="0.2">
      <c r="B281" s="18"/>
      <c r="C281" s="82"/>
      <c r="D281" s="18"/>
      <c r="E281" s="18"/>
      <c r="F281" s="18"/>
    </row>
    <row r="282" spans="2:6" ht="13.5" customHeight="1" x14ac:dyDescent="0.2">
      <c r="B282" s="18"/>
      <c r="C282" s="82"/>
      <c r="D282" s="18"/>
      <c r="E282" s="18"/>
      <c r="F282" s="18"/>
    </row>
    <row r="283" spans="2:6" ht="13.5" customHeight="1" x14ac:dyDescent="0.2">
      <c r="B283" s="18"/>
      <c r="C283" s="82"/>
      <c r="D283" s="18"/>
      <c r="E283" s="18"/>
      <c r="F283" s="18"/>
    </row>
    <row r="284" spans="2:6" ht="13.5" customHeight="1" x14ac:dyDescent="0.2">
      <c r="B284" s="18"/>
      <c r="C284" s="82"/>
      <c r="D284" s="18"/>
      <c r="E284" s="18"/>
      <c r="F284" s="18"/>
    </row>
    <row r="285" spans="2:6" ht="13.5" customHeight="1" x14ac:dyDescent="0.2">
      <c r="B285" s="18"/>
      <c r="C285" s="82"/>
      <c r="D285" s="18"/>
      <c r="E285" s="18"/>
      <c r="F285" s="18"/>
    </row>
    <row r="286" spans="2:6" ht="13.5" customHeight="1" x14ac:dyDescent="0.2">
      <c r="B286" s="18"/>
      <c r="C286" s="82"/>
      <c r="D286" s="18"/>
      <c r="E286" s="18"/>
      <c r="F286" s="18"/>
    </row>
    <row r="287" spans="2:6" ht="13.5" customHeight="1" x14ac:dyDescent="0.2">
      <c r="B287" s="18"/>
      <c r="C287" s="82"/>
      <c r="D287" s="18"/>
      <c r="E287" s="18"/>
      <c r="F287" s="18"/>
    </row>
    <row r="288" spans="2:6" ht="13.5" customHeight="1" x14ac:dyDescent="0.2">
      <c r="B288" s="18"/>
      <c r="C288" s="82"/>
      <c r="D288" s="18"/>
      <c r="E288" s="18"/>
      <c r="F288" s="18"/>
    </row>
    <row r="289" spans="2:6" ht="13.5" customHeight="1" x14ac:dyDescent="0.2">
      <c r="B289" s="18"/>
      <c r="C289" s="82"/>
      <c r="D289" s="18"/>
      <c r="E289" s="18"/>
      <c r="F289" s="18"/>
    </row>
    <row r="290" spans="2:6" ht="13.5" customHeight="1" x14ac:dyDescent="0.2">
      <c r="B290" s="18"/>
      <c r="C290" s="82"/>
      <c r="D290" s="18"/>
      <c r="E290" s="18"/>
      <c r="F290" s="18"/>
    </row>
    <row r="291" spans="2:6" ht="13.5" customHeight="1" x14ac:dyDescent="0.2">
      <c r="B291" s="18"/>
      <c r="C291" s="82"/>
      <c r="D291" s="18"/>
      <c r="E291" s="18"/>
      <c r="F291" s="18"/>
    </row>
    <row r="292" spans="2:6" ht="13.5" customHeight="1" x14ac:dyDescent="0.2">
      <c r="B292" s="18"/>
      <c r="C292" s="82"/>
      <c r="D292" s="18"/>
      <c r="E292" s="18"/>
      <c r="F292" s="18"/>
    </row>
    <row r="293" spans="2:6" ht="13.5" customHeight="1" x14ac:dyDescent="0.2">
      <c r="B293" s="18"/>
      <c r="C293" s="82"/>
      <c r="D293" s="18"/>
      <c r="E293" s="18"/>
      <c r="F293" s="18"/>
    </row>
    <row r="294" spans="2:6" ht="13.5" customHeight="1" x14ac:dyDescent="0.2">
      <c r="B294" s="18"/>
      <c r="C294" s="82"/>
      <c r="D294" s="18"/>
      <c r="E294" s="18"/>
      <c r="F294" s="18"/>
    </row>
    <row r="295" spans="2:6" ht="13.5" customHeight="1" x14ac:dyDescent="0.2">
      <c r="B295" s="18"/>
      <c r="C295" s="82"/>
      <c r="D295" s="18"/>
      <c r="E295" s="18"/>
      <c r="F295" s="18"/>
    </row>
    <row r="296" spans="2:6" ht="13.5" customHeight="1" x14ac:dyDescent="0.2">
      <c r="B296" s="18"/>
      <c r="C296" s="82"/>
      <c r="D296" s="18"/>
      <c r="E296" s="18"/>
      <c r="F296" s="18"/>
    </row>
    <row r="297" spans="2:6" ht="13.5" customHeight="1" x14ac:dyDescent="0.2">
      <c r="B297" s="18"/>
      <c r="C297" s="82"/>
      <c r="D297" s="18"/>
      <c r="E297" s="18"/>
      <c r="F297" s="18"/>
    </row>
    <row r="298" spans="2:6" ht="13.5" customHeight="1" x14ac:dyDescent="0.2">
      <c r="B298" s="18"/>
      <c r="C298" s="82"/>
      <c r="D298" s="18"/>
      <c r="E298" s="18"/>
      <c r="F298" s="18"/>
    </row>
    <row r="299" spans="2:6" ht="13.5" customHeight="1" x14ac:dyDescent="0.2">
      <c r="B299" s="18"/>
      <c r="C299" s="82"/>
      <c r="D299" s="18"/>
      <c r="E299" s="18"/>
      <c r="F299" s="18"/>
    </row>
    <row r="300" spans="2:6" ht="13.5" customHeight="1" x14ac:dyDescent="0.2">
      <c r="B300" s="18"/>
      <c r="C300" s="82"/>
      <c r="D300" s="18"/>
      <c r="E300" s="18"/>
      <c r="F300" s="18"/>
    </row>
    <row r="301" spans="2:6" ht="13.5" customHeight="1" x14ac:dyDescent="0.2">
      <c r="B301" s="18"/>
      <c r="C301" s="82"/>
      <c r="D301" s="18"/>
      <c r="E301" s="18"/>
      <c r="F301" s="18"/>
    </row>
    <row r="302" spans="2:6" ht="13.5" customHeight="1" x14ac:dyDescent="0.2">
      <c r="B302" s="18"/>
      <c r="C302" s="82"/>
      <c r="D302" s="18"/>
      <c r="E302" s="18"/>
      <c r="F302" s="18"/>
    </row>
    <row r="303" spans="2:6" ht="13.5" customHeight="1" x14ac:dyDescent="0.2">
      <c r="B303" s="18"/>
      <c r="C303" s="82"/>
      <c r="D303" s="18"/>
      <c r="E303" s="18"/>
      <c r="F303" s="18"/>
    </row>
    <row r="304" spans="2:6" ht="13.5" customHeight="1" x14ac:dyDescent="0.2">
      <c r="B304" s="18"/>
      <c r="C304" s="82"/>
      <c r="D304" s="18"/>
      <c r="E304" s="18"/>
      <c r="F304" s="18"/>
    </row>
    <row r="305" spans="2:6" ht="13.5" customHeight="1" x14ac:dyDescent="0.2">
      <c r="B305" s="18"/>
      <c r="C305" s="82"/>
      <c r="D305" s="18"/>
      <c r="E305" s="18"/>
      <c r="F305" s="18"/>
    </row>
    <row r="306" spans="2:6" ht="13.5" customHeight="1" x14ac:dyDescent="0.2">
      <c r="B306" s="18"/>
      <c r="C306" s="82"/>
      <c r="D306" s="18"/>
      <c r="E306" s="18"/>
      <c r="F306" s="18"/>
    </row>
    <row r="307" spans="2:6" ht="13.5" customHeight="1" x14ac:dyDescent="0.2">
      <c r="B307" s="18"/>
      <c r="C307" s="82"/>
      <c r="D307" s="18"/>
      <c r="E307" s="18"/>
      <c r="F307" s="18"/>
    </row>
    <row r="308" spans="2:6" ht="13.5" customHeight="1" x14ac:dyDescent="0.2">
      <c r="B308" s="18"/>
      <c r="C308" s="82"/>
      <c r="D308" s="18"/>
      <c r="E308" s="18"/>
      <c r="F308" s="18"/>
    </row>
    <row r="309" spans="2:6" ht="13.5" customHeight="1" x14ac:dyDescent="0.2">
      <c r="B309" s="18"/>
      <c r="C309" s="82"/>
      <c r="D309" s="18"/>
      <c r="E309" s="18"/>
      <c r="F309" s="18"/>
    </row>
    <row r="310" spans="2:6" ht="13.5" customHeight="1" x14ac:dyDescent="0.2">
      <c r="B310" s="18"/>
      <c r="C310" s="82"/>
      <c r="D310" s="18"/>
      <c r="E310" s="18"/>
      <c r="F310" s="18"/>
    </row>
    <row r="311" spans="2:6" ht="13.5" customHeight="1" x14ac:dyDescent="0.2">
      <c r="B311" s="18"/>
      <c r="C311" s="82"/>
      <c r="D311" s="18"/>
      <c r="E311" s="18"/>
      <c r="F311" s="18"/>
    </row>
    <row r="312" spans="2:6" ht="13.5" customHeight="1" x14ac:dyDescent="0.2">
      <c r="B312" s="18"/>
      <c r="C312" s="82"/>
      <c r="D312" s="18"/>
      <c r="E312" s="18"/>
      <c r="F312" s="18"/>
    </row>
    <row r="313" spans="2:6" ht="13.5" customHeight="1" x14ac:dyDescent="0.2">
      <c r="B313" s="18"/>
      <c r="C313" s="82"/>
      <c r="D313" s="18"/>
      <c r="E313" s="18"/>
      <c r="F313" s="18"/>
    </row>
    <row r="314" spans="2:6" ht="13.5" customHeight="1" x14ac:dyDescent="0.2">
      <c r="B314" s="18"/>
      <c r="C314" s="82"/>
      <c r="D314" s="18"/>
      <c r="E314" s="18"/>
      <c r="F314" s="18"/>
    </row>
    <row r="315" spans="2:6" ht="13.5" customHeight="1" x14ac:dyDescent="0.2">
      <c r="B315" s="18"/>
      <c r="C315" s="82"/>
      <c r="D315" s="18"/>
      <c r="E315" s="18"/>
      <c r="F315" s="18"/>
    </row>
    <row r="316" spans="2:6" ht="13.5" customHeight="1" x14ac:dyDescent="0.2">
      <c r="B316" s="18"/>
      <c r="C316" s="82"/>
      <c r="D316" s="18"/>
      <c r="E316" s="18"/>
      <c r="F316" s="18"/>
    </row>
    <row r="317" spans="2:6" ht="13.5" customHeight="1" x14ac:dyDescent="0.2">
      <c r="B317" s="18"/>
      <c r="C317" s="82"/>
      <c r="D317" s="18"/>
      <c r="E317" s="18"/>
      <c r="F317" s="18"/>
    </row>
    <row r="318" spans="2:6" ht="13.5" customHeight="1" x14ac:dyDescent="0.2">
      <c r="B318" s="18"/>
      <c r="C318" s="82"/>
      <c r="D318" s="18"/>
      <c r="E318" s="18"/>
      <c r="F318" s="18"/>
    </row>
    <row r="319" spans="2:6" ht="13.5" customHeight="1" x14ac:dyDescent="0.2">
      <c r="B319" s="18"/>
      <c r="C319" s="82"/>
      <c r="D319" s="18"/>
      <c r="E319" s="18"/>
      <c r="F319" s="18"/>
    </row>
    <row r="320" spans="2:6" ht="13.5" customHeight="1" x14ac:dyDescent="0.2">
      <c r="B320" s="18"/>
      <c r="C320" s="82"/>
      <c r="D320" s="18"/>
      <c r="E320" s="18"/>
      <c r="F320" s="18"/>
    </row>
    <row r="321" spans="2:6" ht="13.5" customHeight="1" x14ac:dyDescent="0.2">
      <c r="B321" s="18"/>
      <c r="C321" s="82"/>
      <c r="D321" s="18"/>
      <c r="E321" s="18"/>
      <c r="F321" s="18"/>
    </row>
    <row r="322" spans="2:6" ht="13.5" customHeight="1" x14ac:dyDescent="0.2">
      <c r="B322" s="18"/>
      <c r="C322" s="82"/>
      <c r="D322" s="18"/>
      <c r="E322" s="18"/>
      <c r="F322" s="18"/>
    </row>
    <row r="323" spans="2:6" ht="13.5" customHeight="1" x14ac:dyDescent="0.2">
      <c r="B323" s="18"/>
      <c r="C323" s="82"/>
      <c r="D323" s="18"/>
      <c r="E323" s="18"/>
      <c r="F323" s="18"/>
    </row>
    <row r="324" spans="2:6" ht="13.5" customHeight="1" x14ac:dyDescent="0.2">
      <c r="B324" s="18"/>
      <c r="C324" s="82"/>
      <c r="D324" s="18"/>
      <c r="E324" s="18"/>
      <c r="F324" s="18"/>
    </row>
    <row r="325" spans="2:6" ht="13.5" customHeight="1" x14ac:dyDescent="0.2">
      <c r="B325" s="18"/>
      <c r="C325" s="82"/>
      <c r="D325" s="18"/>
      <c r="E325" s="18"/>
      <c r="F325" s="18"/>
    </row>
    <row r="326" spans="2:6" ht="13.5" customHeight="1" x14ac:dyDescent="0.2">
      <c r="B326" s="18"/>
      <c r="C326" s="82"/>
      <c r="D326" s="18"/>
      <c r="E326" s="18"/>
      <c r="F326" s="18"/>
    </row>
    <row r="327" spans="2:6" ht="13.5" customHeight="1" x14ac:dyDescent="0.2">
      <c r="B327" s="18"/>
      <c r="C327" s="82"/>
      <c r="D327" s="18"/>
      <c r="E327" s="18"/>
      <c r="F327" s="18"/>
    </row>
    <row r="328" spans="2:6" ht="13.5" customHeight="1" x14ac:dyDescent="0.2">
      <c r="B328" s="18"/>
      <c r="C328" s="82"/>
      <c r="D328" s="18"/>
      <c r="E328" s="18"/>
      <c r="F328" s="18"/>
    </row>
    <row r="329" spans="2:6" ht="13.5" customHeight="1" x14ac:dyDescent="0.2">
      <c r="B329" s="18"/>
      <c r="C329" s="82"/>
      <c r="D329" s="18"/>
      <c r="E329" s="18"/>
      <c r="F329" s="18"/>
    </row>
    <row r="330" spans="2:6" ht="13.5" customHeight="1" x14ac:dyDescent="0.2">
      <c r="B330" s="18"/>
      <c r="C330" s="82"/>
      <c r="D330" s="18"/>
      <c r="E330" s="18"/>
      <c r="F330" s="18"/>
    </row>
    <row r="331" spans="2:6" ht="13.5" customHeight="1" x14ac:dyDescent="0.2">
      <c r="B331" s="18"/>
      <c r="C331" s="82"/>
      <c r="D331" s="18"/>
      <c r="E331" s="18"/>
      <c r="F331" s="18"/>
    </row>
    <row r="332" spans="2:6" ht="13.5" customHeight="1" x14ac:dyDescent="0.2">
      <c r="B332" s="18"/>
      <c r="C332" s="82"/>
      <c r="D332" s="18"/>
      <c r="E332" s="18"/>
      <c r="F332" s="18"/>
    </row>
    <row r="333" spans="2:6" ht="13.5" customHeight="1" x14ac:dyDescent="0.2">
      <c r="B333" s="18"/>
      <c r="C333" s="82"/>
      <c r="D333" s="18"/>
      <c r="E333" s="18"/>
      <c r="F333" s="18"/>
    </row>
    <row r="334" spans="2:6" ht="13.5" customHeight="1" x14ac:dyDescent="0.2">
      <c r="B334" s="18"/>
      <c r="C334" s="82"/>
      <c r="D334" s="18"/>
      <c r="E334" s="18"/>
      <c r="F334" s="18"/>
    </row>
    <row r="335" spans="2:6" ht="13.5" customHeight="1" x14ac:dyDescent="0.2">
      <c r="B335" s="18"/>
      <c r="C335" s="82"/>
      <c r="D335" s="18"/>
      <c r="E335" s="18"/>
      <c r="F335" s="18"/>
    </row>
    <row r="336" spans="2:6" ht="13.5" customHeight="1" x14ac:dyDescent="0.2">
      <c r="B336" s="18"/>
      <c r="C336" s="82"/>
      <c r="D336" s="18"/>
      <c r="E336" s="18"/>
      <c r="F336" s="18"/>
    </row>
    <row r="337" spans="2:6" ht="13.5" customHeight="1" x14ac:dyDescent="0.2">
      <c r="B337" s="18"/>
      <c r="C337" s="82"/>
      <c r="D337" s="18"/>
      <c r="E337" s="18"/>
      <c r="F337" s="18"/>
    </row>
    <row r="338" spans="2:6" ht="13.5" customHeight="1" x14ac:dyDescent="0.2">
      <c r="B338" s="18"/>
      <c r="C338" s="82"/>
      <c r="D338" s="18"/>
      <c r="E338" s="18"/>
      <c r="F338" s="18"/>
    </row>
    <row r="339" spans="2:6" ht="13.5" customHeight="1" x14ac:dyDescent="0.2">
      <c r="B339" s="18"/>
      <c r="C339" s="82"/>
      <c r="D339" s="18"/>
      <c r="E339" s="18"/>
      <c r="F339" s="18"/>
    </row>
    <row r="340" spans="2:6" ht="13.5" customHeight="1" x14ac:dyDescent="0.2">
      <c r="B340" s="18"/>
      <c r="C340" s="82"/>
      <c r="D340" s="18"/>
      <c r="E340" s="18"/>
      <c r="F340" s="18"/>
    </row>
    <row r="341" spans="2:6" ht="13.5" customHeight="1" x14ac:dyDescent="0.2">
      <c r="B341" s="18"/>
      <c r="C341" s="82"/>
      <c r="D341" s="18"/>
      <c r="E341" s="18"/>
      <c r="F341" s="18"/>
    </row>
    <row r="342" spans="2:6" ht="13.5" customHeight="1" x14ac:dyDescent="0.2">
      <c r="B342" s="18"/>
      <c r="C342" s="82"/>
      <c r="D342" s="18"/>
      <c r="E342" s="18"/>
      <c r="F342" s="18"/>
    </row>
    <row r="343" spans="2:6" ht="13.5" customHeight="1" x14ac:dyDescent="0.2">
      <c r="B343" s="18"/>
      <c r="C343" s="82"/>
      <c r="D343" s="18"/>
      <c r="E343" s="18"/>
      <c r="F343" s="18"/>
    </row>
    <row r="344" spans="2:6" ht="13.5" customHeight="1" x14ac:dyDescent="0.2">
      <c r="B344" s="18"/>
      <c r="C344" s="82"/>
      <c r="D344" s="18"/>
      <c r="E344" s="18"/>
      <c r="F344" s="18"/>
    </row>
    <row r="345" spans="2:6" ht="13.5" customHeight="1" x14ac:dyDescent="0.2">
      <c r="B345" s="18"/>
      <c r="C345" s="82"/>
      <c r="D345" s="18"/>
      <c r="E345" s="18"/>
      <c r="F345" s="18"/>
    </row>
    <row r="346" spans="2:6" ht="13.5" customHeight="1" x14ac:dyDescent="0.2">
      <c r="B346" s="18"/>
      <c r="C346" s="82"/>
      <c r="D346" s="18"/>
      <c r="E346" s="18"/>
      <c r="F346" s="18"/>
    </row>
    <row r="347" spans="2:6" ht="13.5" customHeight="1" x14ac:dyDescent="0.2">
      <c r="B347" s="18"/>
      <c r="C347" s="82"/>
      <c r="D347" s="18"/>
      <c r="E347" s="18"/>
      <c r="F347" s="18"/>
    </row>
    <row r="348" spans="2:6" ht="13.5" customHeight="1" x14ac:dyDescent="0.2">
      <c r="B348" s="18"/>
      <c r="C348" s="82"/>
      <c r="D348" s="18"/>
      <c r="E348" s="18"/>
      <c r="F348" s="18"/>
    </row>
    <row r="349" spans="2:6" ht="13.5" customHeight="1" x14ac:dyDescent="0.2">
      <c r="B349" s="18"/>
      <c r="C349" s="82"/>
      <c r="D349" s="18"/>
      <c r="E349" s="18"/>
      <c r="F349" s="18"/>
    </row>
    <row r="350" spans="2:6" ht="13.5" customHeight="1" x14ac:dyDescent="0.2">
      <c r="B350" s="18"/>
      <c r="C350" s="82"/>
      <c r="D350" s="18"/>
      <c r="E350" s="18"/>
      <c r="F350" s="18"/>
    </row>
    <row r="351" spans="2:6" ht="13.5" customHeight="1" x14ac:dyDescent="0.2">
      <c r="B351" s="18"/>
      <c r="C351" s="82"/>
      <c r="D351" s="18"/>
      <c r="E351" s="18"/>
      <c r="F351" s="18"/>
    </row>
    <row r="352" spans="2:6" ht="13.5" customHeight="1" x14ac:dyDescent="0.2">
      <c r="B352" s="18"/>
      <c r="C352" s="82"/>
      <c r="D352" s="18"/>
      <c r="E352" s="18"/>
      <c r="F352" s="18"/>
    </row>
    <row r="353" spans="2:6" ht="13.5" customHeight="1" x14ac:dyDescent="0.2">
      <c r="B353" s="18"/>
      <c r="C353" s="82"/>
      <c r="D353" s="18"/>
      <c r="E353" s="18"/>
      <c r="F353" s="18"/>
    </row>
    <row r="354" spans="2:6" ht="13.5" customHeight="1" x14ac:dyDescent="0.2">
      <c r="B354" s="18"/>
      <c r="C354" s="82"/>
      <c r="D354" s="18"/>
      <c r="E354" s="18"/>
      <c r="F354" s="18"/>
    </row>
    <row r="355" spans="2:6" ht="13.5" customHeight="1" x14ac:dyDescent="0.2">
      <c r="B355" s="18"/>
      <c r="C355" s="82"/>
      <c r="D355" s="18"/>
      <c r="E355" s="18"/>
      <c r="F355" s="18"/>
    </row>
    <row r="356" spans="2:6" ht="13.5" customHeight="1" x14ac:dyDescent="0.2">
      <c r="B356" s="18"/>
      <c r="C356" s="82"/>
      <c r="D356" s="18"/>
      <c r="E356" s="18"/>
      <c r="F356" s="18"/>
    </row>
    <row r="357" spans="2:6" ht="13.5" customHeight="1" x14ac:dyDescent="0.2">
      <c r="B357" s="18"/>
      <c r="C357" s="82"/>
      <c r="D357" s="18"/>
      <c r="E357" s="18"/>
      <c r="F357" s="18"/>
    </row>
    <row r="358" spans="2:6" ht="13.5" customHeight="1" x14ac:dyDescent="0.2">
      <c r="B358" s="18"/>
      <c r="C358" s="82"/>
      <c r="D358" s="18"/>
      <c r="E358" s="18"/>
      <c r="F358" s="18"/>
    </row>
    <row r="359" spans="2:6" ht="13.5" customHeight="1" x14ac:dyDescent="0.2">
      <c r="B359" s="18"/>
      <c r="C359" s="82"/>
      <c r="D359" s="18"/>
      <c r="E359" s="18"/>
      <c r="F359" s="18"/>
    </row>
    <row r="360" spans="2:6" ht="13.5" customHeight="1" x14ac:dyDescent="0.2">
      <c r="B360" s="18"/>
      <c r="C360" s="82"/>
      <c r="D360" s="18"/>
      <c r="E360" s="18"/>
      <c r="F360" s="18"/>
    </row>
    <row r="361" spans="2:6" ht="13.5" customHeight="1" x14ac:dyDescent="0.2">
      <c r="B361" s="18"/>
      <c r="C361" s="82"/>
      <c r="D361" s="18"/>
      <c r="E361" s="18"/>
      <c r="F361" s="18"/>
    </row>
    <row r="362" spans="2:6" ht="13.5" customHeight="1" x14ac:dyDescent="0.2">
      <c r="B362" s="18"/>
      <c r="C362" s="82"/>
      <c r="D362" s="18"/>
      <c r="E362" s="18"/>
      <c r="F362" s="18"/>
    </row>
    <row r="363" spans="2:6" ht="13.5" customHeight="1" x14ac:dyDescent="0.2">
      <c r="B363" s="18"/>
      <c r="C363" s="82"/>
      <c r="D363" s="18"/>
      <c r="E363" s="18"/>
      <c r="F363" s="18"/>
    </row>
    <row r="364" spans="2:6" ht="13.5" customHeight="1" x14ac:dyDescent="0.2">
      <c r="B364" s="18"/>
      <c r="C364" s="82"/>
      <c r="D364" s="18"/>
      <c r="E364" s="18"/>
      <c r="F364" s="18"/>
    </row>
    <row r="365" spans="2:6" ht="13.5" customHeight="1" x14ac:dyDescent="0.2">
      <c r="B365" s="18"/>
      <c r="C365" s="82"/>
      <c r="D365" s="18"/>
      <c r="E365" s="18"/>
      <c r="F365" s="18"/>
    </row>
    <row r="366" spans="2:6" ht="13.5" customHeight="1" x14ac:dyDescent="0.2">
      <c r="B366" s="18"/>
      <c r="C366" s="82"/>
      <c r="D366" s="18"/>
      <c r="E366" s="18"/>
      <c r="F366" s="18"/>
    </row>
    <row r="367" spans="2:6" ht="13.5" customHeight="1" x14ac:dyDescent="0.2">
      <c r="B367" s="18"/>
      <c r="C367" s="82"/>
      <c r="D367" s="18"/>
      <c r="E367" s="18"/>
      <c r="F367" s="18"/>
    </row>
    <row r="368" spans="2:6" ht="13.5" customHeight="1" x14ac:dyDescent="0.2">
      <c r="B368" s="18"/>
      <c r="C368" s="82"/>
      <c r="D368" s="18"/>
      <c r="E368" s="18"/>
      <c r="F368" s="18"/>
    </row>
    <row r="369" spans="2:6" ht="13.5" customHeight="1" x14ac:dyDescent="0.2">
      <c r="B369" s="18"/>
      <c r="C369" s="82"/>
      <c r="D369" s="18"/>
      <c r="E369" s="18"/>
      <c r="F369" s="18"/>
    </row>
    <row r="370" spans="2:6" ht="13.5" customHeight="1" x14ac:dyDescent="0.2">
      <c r="B370" s="18"/>
      <c r="C370" s="82"/>
      <c r="D370" s="18"/>
      <c r="E370" s="18"/>
      <c r="F370" s="18"/>
    </row>
    <row r="371" spans="2:6" ht="13.5" customHeight="1" x14ac:dyDescent="0.2">
      <c r="B371" s="18"/>
      <c r="C371" s="82"/>
      <c r="D371" s="18"/>
      <c r="E371" s="18"/>
      <c r="F371" s="18"/>
    </row>
    <row r="372" spans="2:6" ht="13.5" customHeight="1" x14ac:dyDescent="0.2">
      <c r="B372" s="18"/>
      <c r="C372" s="82"/>
      <c r="D372" s="18"/>
      <c r="E372" s="18"/>
      <c r="F372" s="18"/>
    </row>
    <row r="373" spans="2:6" ht="13.5" customHeight="1" x14ac:dyDescent="0.2">
      <c r="B373" s="18"/>
      <c r="C373" s="82"/>
      <c r="D373" s="18"/>
      <c r="E373" s="18"/>
      <c r="F373" s="18"/>
    </row>
    <row r="374" spans="2:6" ht="13.5" customHeight="1" x14ac:dyDescent="0.2">
      <c r="B374" s="18"/>
      <c r="C374" s="82"/>
      <c r="D374" s="18"/>
      <c r="E374" s="18"/>
      <c r="F374" s="18"/>
    </row>
    <row r="375" spans="2:6" ht="13.5" customHeight="1" x14ac:dyDescent="0.2">
      <c r="B375" s="18"/>
      <c r="C375" s="82"/>
      <c r="D375" s="18"/>
      <c r="E375" s="18"/>
      <c r="F375" s="18"/>
    </row>
    <row r="376" spans="2:6" ht="13.5" customHeight="1" x14ac:dyDescent="0.2">
      <c r="B376" s="18"/>
      <c r="C376" s="82"/>
      <c r="D376" s="18"/>
      <c r="E376" s="18"/>
      <c r="F376" s="18"/>
    </row>
    <row r="377" spans="2:6" ht="13.5" customHeight="1" x14ac:dyDescent="0.2">
      <c r="B377" s="18"/>
      <c r="C377" s="82"/>
      <c r="D377" s="18"/>
      <c r="E377" s="18"/>
      <c r="F377" s="18"/>
    </row>
    <row r="378" spans="2:6" ht="13.5" customHeight="1" x14ac:dyDescent="0.2">
      <c r="B378" s="18"/>
      <c r="C378" s="82"/>
      <c r="D378" s="18"/>
      <c r="E378" s="18"/>
      <c r="F378" s="18"/>
    </row>
    <row r="379" spans="2:6" ht="13.5" customHeight="1" x14ac:dyDescent="0.2">
      <c r="B379" s="18"/>
      <c r="C379" s="82"/>
      <c r="D379" s="18"/>
      <c r="E379" s="18"/>
      <c r="F379" s="18"/>
    </row>
    <row r="380" spans="2:6" ht="13.5" customHeight="1" x14ac:dyDescent="0.2">
      <c r="B380" s="18"/>
      <c r="C380" s="82"/>
      <c r="D380" s="18"/>
      <c r="E380" s="18"/>
      <c r="F380" s="18"/>
    </row>
    <row r="381" spans="2:6" ht="13.5" customHeight="1" x14ac:dyDescent="0.2">
      <c r="B381" s="18"/>
      <c r="C381" s="82"/>
      <c r="D381" s="18"/>
      <c r="E381" s="18"/>
      <c r="F381" s="18"/>
    </row>
    <row r="382" spans="2:6" ht="13.5" customHeight="1" x14ac:dyDescent="0.2">
      <c r="B382" s="18"/>
      <c r="C382" s="82"/>
      <c r="D382" s="18"/>
      <c r="E382" s="18"/>
      <c r="F382" s="18"/>
    </row>
    <row r="383" spans="2:6" ht="13.5" customHeight="1" x14ac:dyDescent="0.2">
      <c r="B383" s="18"/>
      <c r="C383" s="82"/>
      <c r="D383" s="18"/>
      <c r="E383" s="18"/>
      <c r="F383" s="18"/>
    </row>
    <row r="384" spans="2:6" ht="13.5" customHeight="1" x14ac:dyDescent="0.2">
      <c r="B384" s="18"/>
      <c r="C384" s="82"/>
      <c r="D384" s="18"/>
      <c r="E384" s="18"/>
      <c r="F384" s="18"/>
    </row>
    <row r="385" spans="2:6" ht="13.5" customHeight="1" x14ac:dyDescent="0.2">
      <c r="B385" s="18"/>
      <c r="C385" s="82"/>
      <c r="D385" s="18"/>
      <c r="E385" s="18"/>
      <c r="F385" s="18"/>
    </row>
    <row r="386" spans="2:6" ht="13.5" customHeight="1" x14ac:dyDescent="0.2">
      <c r="B386" s="18"/>
      <c r="C386" s="82"/>
      <c r="D386" s="18"/>
      <c r="E386" s="18"/>
      <c r="F386" s="18"/>
    </row>
    <row r="387" spans="2:6" ht="13.5" customHeight="1" x14ac:dyDescent="0.2">
      <c r="B387" s="18"/>
      <c r="C387" s="82"/>
      <c r="D387" s="18"/>
      <c r="E387" s="18"/>
      <c r="F387" s="18"/>
    </row>
    <row r="388" spans="2:6" ht="13.5" customHeight="1" x14ac:dyDescent="0.2">
      <c r="B388" s="18"/>
      <c r="C388" s="82"/>
      <c r="D388" s="18"/>
      <c r="E388" s="18"/>
      <c r="F388" s="18"/>
    </row>
    <row r="389" spans="2:6" ht="13.5" customHeight="1" x14ac:dyDescent="0.2">
      <c r="B389" s="18"/>
      <c r="C389" s="82"/>
      <c r="D389" s="18"/>
      <c r="E389" s="18"/>
      <c r="F389" s="18"/>
    </row>
    <row r="390" spans="2:6" ht="13.5" customHeight="1" x14ac:dyDescent="0.2">
      <c r="B390" s="18"/>
      <c r="C390" s="82"/>
      <c r="D390" s="18"/>
      <c r="E390" s="18"/>
      <c r="F390" s="18"/>
    </row>
    <row r="391" spans="2:6" ht="13.5" customHeight="1" x14ac:dyDescent="0.2">
      <c r="B391" s="18"/>
      <c r="C391" s="82"/>
      <c r="D391" s="18"/>
      <c r="E391" s="18"/>
      <c r="F391" s="18"/>
    </row>
    <row r="392" spans="2:6" ht="13.5" customHeight="1" x14ac:dyDescent="0.2">
      <c r="B392" s="18"/>
      <c r="C392" s="82"/>
      <c r="D392" s="18"/>
      <c r="E392" s="18"/>
      <c r="F392" s="18"/>
    </row>
    <row r="393" spans="2:6" ht="13.5" customHeight="1" x14ac:dyDescent="0.2">
      <c r="B393" s="18"/>
      <c r="C393" s="82"/>
      <c r="D393" s="18"/>
      <c r="E393" s="18"/>
      <c r="F393" s="18"/>
    </row>
    <row r="394" spans="2:6" ht="13.5" customHeight="1" x14ac:dyDescent="0.2">
      <c r="B394" s="18"/>
      <c r="C394" s="82"/>
      <c r="D394" s="18"/>
      <c r="E394" s="18"/>
      <c r="F394" s="18"/>
    </row>
    <row r="395" spans="2:6" ht="13.5" customHeight="1" x14ac:dyDescent="0.2">
      <c r="B395" s="18"/>
      <c r="C395" s="82"/>
      <c r="D395" s="18"/>
      <c r="E395" s="18"/>
      <c r="F395" s="18"/>
    </row>
    <row r="396" spans="2:6" ht="13.5" customHeight="1" x14ac:dyDescent="0.2">
      <c r="B396" s="18"/>
      <c r="C396" s="82"/>
      <c r="D396" s="18"/>
      <c r="E396" s="18"/>
      <c r="F396" s="18"/>
    </row>
    <row r="397" spans="2:6" ht="13.5" customHeight="1" x14ac:dyDescent="0.2">
      <c r="B397" s="18"/>
      <c r="C397" s="82"/>
      <c r="D397" s="18"/>
      <c r="E397" s="18"/>
      <c r="F397" s="18"/>
    </row>
    <row r="398" spans="2:6" ht="13.5" customHeight="1" x14ac:dyDescent="0.2">
      <c r="B398" s="18"/>
      <c r="C398" s="82"/>
      <c r="D398" s="18"/>
      <c r="E398" s="18"/>
      <c r="F398" s="18"/>
    </row>
    <row r="399" spans="2:6" ht="13.5" customHeight="1" x14ac:dyDescent="0.2">
      <c r="B399" s="18"/>
      <c r="C399" s="82"/>
      <c r="D399" s="18"/>
      <c r="E399" s="18"/>
      <c r="F399" s="18"/>
    </row>
    <row r="400" spans="2:6" ht="13.5" customHeight="1" x14ac:dyDescent="0.2">
      <c r="B400" s="18"/>
      <c r="C400" s="82"/>
      <c r="D400" s="18"/>
      <c r="E400" s="18"/>
      <c r="F400" s="18"/>
    </row>
    <row r="401" spans="2:6" ht="13.5" customHeight="1" x14ac:dyDescent="0.2">
      <c r="B401" s="18"/>
      <c r="C401" s="82"/>
      <c r="D401" s="18"/>
      <c r="E401" s="18"/>
      <c r="F401" s="18"/>
    </row>
    <row r="402" spans="2:6" ht="13.5" customHeight="1" x14ac:dyDescent="0.2">
      <c r="B402" s="18"/>
      <c r="C402" s="82"/>
      <c r="D402" s="18"/>
      <c r="E402" s="18"/>
      <c r="F402" s="18"/>
    </row>
    <row r="403" spans="2:6" ht="13.5" customHeight="1" x14ac:dyDescent="0.2">
      <c r="B403" s="18"/>
      <c r="C403" s="82"/>
      <c r="D403" s="18"/>
      <c r="E403" s="18"/>
      <c r="F403" s="18"/>
    </row>
    <row r="404" spans="2:6" ht="13.5" customHeight="1" x14ac:dyDescent="0.2">
      <c r="B404" s="18"/>
      <c r="C404" s="82"/>
      <c r="D404" s="18"/>
      <c r="E404" s="18"/>
      <c r="F404" s="18"/>
    </row>
    <row r="405" spans="2:6" ht="13.5" customHeight="1" x14ac:dyDescent="0.2">
      <c r="B405" s="18"/>
      <c r="C405" s="82"/>
      <c r="D405" s="18"/>
      <c r="E405" s="18"/>
      <c r="F405" s="18"/>
    </row>
    <row r="406" spans="2:6" ht="13.5" customHeight="1" x14ac:dyDescent="0.2">
      <c r="B406" s="18"/>
      <c r="C406" s="82"/>
      <c r="D406" s="18"/>
      <c r="E406" s="18"/>
      <c r="F406" s="18"/>
    </row>
    <row r="407" spans="2:6" ht="13.5" customHeight="1" x14ac:dyDescent="0.2">
      <c r="B407" s="18"/>
      <c r="C407" s="82"/>
      <c r="D407" s="18"/>
      <c r="E407" s="18"/>
      <c r="F407" s="18"/>
    </row>
    <row r="408" spans="2:6" ht="13.5" customHeight="1" x14ac:dyDescent="0.2">
      <c r="B408" s="18"/>
      <c r="C408" s="82"/>
      <c r="D408" s="18"/>
      <c r="E408" s="18"/>
      <c r="F408" s="18"/>
    </row>
    <row r="409" spans="2:6" ht="13.5" customHeight="1" x14ac:dyDescent="0.2">
      <c r="B409" s="18"/>
      <c r="C409" s="82"/>
      <c r="D409" s="18"/>
      <c r="E409" s="18"/>
      <c r="F409" s="18"/>
    </row>
    <row r="410" spans="2:6" ht="13.5" customHeight="1" x14ac:dyDescent="0.2">
      <c r="B410" s="18"/>
      <c r="C410" s="82"/>
      <c r="D410" s="18"/>
      <c r="E410" s="18"/>
      <c r="F410" s="18"/>
    </row>
    <row r="411" spans="2:6" ht="13.5" customHeight="1" x14ac:dyDescent="0.2">
      <c r="B411" s="18"/>
      <c r="C411" s="82"/>
      <c r="D411" s="18"/>
      <c r="E411" s="18"/>
      <c r="F411" s="18"/>
    </row>
    <row r="412" spans="2:6" ht="13.5" customHeight="1" x14ac:dyDescent="0.2">
      <c r="B412" s="18"/>
      <c r="C412" s="82"/>
      <c r="D412" s="18"/>
      <c r="E412" s="18"/>
      <c r="F412" s="18"/>
    </row>
    <row r="413" spans="2:6" ht="13.5" customHeight="1" x14ac:dyDescent="0.2">
      <c r="B413" s="18"/>
      <c r="C413" s="82"/>
      <c r="D413" s="18"/>
      <c r="E413" s="18"/>
      <c r="F413" s="18"/>
    </row>
    <row r="414" spans="2:6" ht="13.5" customHeight="1" x14ac:dyDescent="0.2">
      <c r="B414" s="18"/>
      <c r="C414" s="82"/>
      <c r="D414" s="18"/>
      <c r="E414" s="18"/>
      <c r="F414" s="18"/>
    </row>
    <row r="415" spans="2:6" ht="13.5" customHeight="1" x14ac:dyDescent="0.2">
      <c r="B415" s="18"/>
      <c r="C415" s="82"/>
      <c r="D415" s="18"/>
      <c r="E415" s="18"/>
      <c r="F415" s="18"/>
    </row>
    <row r="416" spans="2:6" ht="13.5" customHeight="1" x14ac:dyDescent="0.2">
      <c r="B416" s="18"/>
      <c r="C416" s="82"/>
      <c r="D416" s="18"/>
      <c r="E416" s="18"/>
      <c r="F416" s="18"/>
    </row>
    <row r="417" spans="2:6" ht="13.5" customHeight="1" x14ac:dyDescent="0.2">
      <c r="B417" s="18"/>
      <c r="C417" s="82"/>
      <c r="D417" s="18"/>
      <c r="E417" s="18"/>
      <c r="F417" s="18"/>
    </row>
    <row r="418" spans="2:6" ht="13.5" customHeight="1" x14ac:dyDescent="0.2">
      <c r="B418" s="18"/>
      <c r="C418" s="82"/>
      <c r="D418" s="18"/>
      <c r="E418" s="18"/>
      <c r="F418" s="18"/>
    </row>
    <row r="419" spans="2:6" ht="13.5" customHeight="1" x14ac:dyDescent="0.2">
      <c r="B419" s="18"/>
      <c r="C419" s="82"/>
      <c r="D419" s="18"/>
      <c r="E419" s="18"/>
      <c r="F419" s="18"/>
    </row>
    <row r="420" spans="2:6" ht="13.5" customHeight="1" x14ac:dyDescent="0.2">
      <c r="B420" s="18"/>
      <c r="C420" s="82"/>
      <c r="D420" s="18"/>
      <c r="E420" s="18"/>
      <c r="F420" s="18"/>
    </row>
    <row r="421" spans="2:6" ht="13.5" customHeight="1" x14ac:dyDescent="0.2">
      <c r="B421" s="18"/>
      <c r="C421" s="82"/>
      <c r="D421" s="18"/>
      <c r="E421" s="18"/>
      <c r="F421" s="18"/>
    </row>
    <row r="422" spans="2:6" ht="13.5" customHeight="1" x14ac:dyDescent="0.2">
      <c r="B422" s="18"/>
      <c r="C422" s="82"/>
      <c r="D422" s="18"/>
      <c r="E422" s="18"/>
      <c r="F422" s="18"/>
    </row>
    <row r="423" spans="2:6" ht="13.5" customHeight="1" x14ac:dyDescent="0.2">
      <c r="B423" s="18"/>
      <c r="C423" s="82"/>
      <c r="D423" s="18"/>
      <c r="E423" s="18"/>
      <c r="F423" s="18"/>
    </row>
    <row r="424" spans="2:6" ht="13.5" customHeight="1" x14ac:dyDescent="0.2">
      <c r="B424" s="18"/>
      <c r="C424" s="82"/>
      <c r="D424" s="18"/>
      <c r="E424" s="18"/>
      <c r="F424" s="18"/>
    </row>
    <row r="425" spans="2:6" ht="13.5" customHeight="1" x14ac:dyDescent="0.2">
      <c r="B425" s="18"/>
      <c r="C425" s="82"/>
      <c r="D425" s="18"/>
      <c r="E425" s="18"/>
      <c r="F425" s="18"/>
    </row>
    <row r="426" spans="2:6" ht="13.5" customHeight="1" x14ac:dyDescent="0.2">
      <c r="B426" s="18"/>
      <c r="C426" s="82"/>
      <c r="D426" s="18"/>
      <c r="E426" s="18"/>
      <c r="F426" s="18"/>
    </row>
    <row r="427" spans="2:6" ht="13.5" customHeight="1" x14ac:dyDescent="0.2">
      <c r="B427" s="18"/>
      <c r="C427" s="82"/>
      <c r="D427" s="18"/>
      <c r="E427" s="18"/>
      <c r="F427" s="18"/>
    </row>
    <row r="428" spans="2:6" ht="13.5" customHeight="1" x14ac:dyDescent="0.2">
      <c r="B428" s="18"/>
      <c r="C428" s="82"/>
      <c r="D428" s="18"/>
      <c r="E428" s="18"/>
      <c r="F428" s="18"/>
    </row>
    <row r="429" spans="2:6" ht="13.5" customHeight="1" x14ac:dyDescent="0.2">
      <c r="B429" s="18"/>
      <c r="C429" s="82"/>
      <c r="D429" s="18"/>
      <c r="E429" s="18"/>
      <c r="F429" s="18"/>
    </row>
    <row r="430" spans="2:6" ht="13.5" customHeight="1" x14ac:dyDescent="0.2">
      <c r="B430" s="18"/>
      <c r="C430" s="82"/>
      <c r="D430" s="18"/>
      <c r="E430" s="18"/>
      <c r="F430" s="18"/>
    </row>
    <row r="431" spans="2:6" ht="13.5" customHeight="1" x14ac:dyDescent="0.2">
      <c r="B431" s="18"/>
      <c r="C431" s="82"/>
      <c r="D431" s="18"/>
      <c r="E431" s="18"/>
      <c r="F431" s="18"/>
    </row>
    <row r="432" spans="2:6" ht="13.5" customHeight="1" x14ac:dyDescent="0.2">
      <c r="B432" s="18"/>
      <c r="C432" s="82"/>
      <c r="D432" s="18"/>
      <c r="E432" s="18"/>
      <c r="F432" s="18"/>
    </row>
    <row r="433" spans="2:6" ht="13.5" customHeight="1" x14ac:dyDescent="0.2">
      <c r="B433" s="18"/>
      <c r="C433" s="82"/>
      <c r="D433" s="18"/>
      <c r="E433" s="18"/>
      <c r="F433" s="18"/>
    </row>
    <row r="434" spans="2:6" ht="13.5" customHeight="1" x14ac:dyDescent="0.2">
      <c r="B434" s="18"/>
      <c r="C434" s="82"/>
      <c r="D434" s="18"/>
      <c r="E434" s="18"/>
      <c r="F434" s="18"/>
    </row>
    <row r="435" spans="2:6" ht="13.5" customHeight="1" x14ac:dyDescent="0.2">
      <c r="B435" s="18"/>
      <c r="C435" s="82"/>
      <c r="D435" s="18"/>
      <c r="E435" s="18"/>
      <c r="F435" s="18"/>
    </row>
    <row r="436" spans="2:6" ht="13.5" customHeight="1" x14ac:dyDescent="0.2">
      <c r="B436" s="18"/>
      <c r="C436" s="82"/>
      <c r="D436" s="18"/>
      <c r="E436" s="18"/>
      <c r="F436" s="18"/>
    </row>
    <row r="437" spans="2:6" ht="13.5" customHeight="1" x14ac:dyDescent="0.2">
      <c r="B437" s="18"/>
      <c r="C437" s="82"/>
      <c r="D437" s="18"/>
      <c r="E437" s="18"/>
      <c r="F437" s="18"/>
    </row>
    <row r="438" spans="2:6" ht="13.5" customHeight="1" x14ac:dyDescent="0.2">
      <c r="B438" s="18"/>
      <c r="C438" s="82"/>
      <c r="D438" s="18"/>
      <c r="E438" s="18"/>
      <c r="F438" s="18"/>
    </row>
    <row r="439" spans="2:6" ht="13.5" customHeight="1" x14ac:dyDescent="0.2">
      <c r="B439" s="18"/>
      <c r="C439" s="82"/>
      <c r="D439" s="18"/>
      <c r="E439" s="18"/>
      <c r="F439" s="18"/>
    </row>
    <row r="440" spans="2:6" ht="13.5" customHeight="1" x14ac:dyDescent="0.2">
      <c r="B440" s="18"/>
      <c r="C440" s="82"/>
      <c r="D440" s="18"/>
      <c r="E440" s="18"/>
      <c r="F440" s="18"/>
    </row>
    <row r="441" spans="2:6" ht="13.5" customHeight="1" x14ac:dyDescent="0.2">
      <c r="B441" s="18"/>
      <c r="C441" s="82"/>
      <c r="D441" s="18"/>
      <c r="E441" s="18"/>
      <c r="F441" s="18"/>
    </row>
    <row r="442" spans="2:6" ht="13.5" customHeight="1" x14ac:dyDescent="0.2">
      <c r="B442" s="18"/>
      <c r="C442" s="82"/>
      <c r="D442" s="18"/>
      <c r="E442" s="18"/>
      <c r="F442" s="18"/>
    </row>
    <row r="443" spans="2:6" ht="13.5" customHeight="1" x14ac:dyDescent="0.2">
      <c r="B443" s="18"/>
      <c r="C443" s="82"/>
      <c r="D443" s="18"/>
      <c r="E443" s="18"/>
      <c r="F443" s="18"/>
    </row>
    <row r="444" spans="2:6" ht="13.5" customHeight="1" x14ac:dyDescent="0.2">
      <c r="B444" s="18"/>
      <c r="C444" s="82"/>
      <c r="D444" s="18"/>
      <c r="E444" s="18"/>
      <c r="F444" s="18"/>
    </row>
    <row r="445" spans="2:6" ht="13.5" customHeight="1" x14ac:dyDescent="0.2">
      <c r="B445" s="18"/>
      <c r="C445" s="82"/>
      <c r="D445" s="18"/>
      <c r="E445" s="18"/>
      <c r="F445" s="18"/>
    </row>
    <row r="446" spans="2:6" ht="13.5" customHeight="1" x14ac:dyDescent="0.2">
      <c r="B446" s="18"/>
      <c r="C446" s="82"/>
      <c r="D446" s="18"/>
      <c r="E446" s="18"/>
      <c r="F446" s="18"/>
    </row>
    <row r="447" spans="2:6" ht="13.5" customHeight="1" x14ac:dyDescent="0.2">
      <c r="B447" s="18"/>
      <c r="C447" s="82"/>
      <c r="D447" s="18"/>
      <c r="E447" s="18"/>
      <c r="F447" s="18"/>
    </row>
    <row r="448" spans="2:6" ht="13.5" customHeight="1" x14ac:dyDescent="0.2">
      <c r="B448" s="18"/>
      <c r="C448" s="82"/>
      <c r="D448" s="18"/>
      <c r="E448" s="18"/>
      <c r="F448" s="18"/>
    </row>
    <row r="449" spans="2:6" ht="13.5" customHeight="1" x14ac:dyDescent="0.2">
      <c r="B449" s="18"/>
      <c r="C449" s="82"/>
      <c r="D449" s="18"/>
      <c r="E449" s="18"/>
      <c r="F449" s="18"/>
    </row>
    <row r="450" spans="2:6" ht="13.5" customHeight="1" x14ac:dyDescent="0.2">
      <c r="B450" s="18"/>
      <c r="C450" s="82"/>
      <c r="D450" s="18"/>
      <c r="E450" s="18"/>
      <c r="F450" s="18"/>
    </row>
    <row r="451" spans="2:6" ht="13.5" customHeight="1" x14ac:dyDescent="0.2">
      <c r="B451" s="18"/>
      <c r="C451" s="82"/>
      <c r="D451" s="18"/>
      <c r="E451" s="18"/>
      <c r="F451" s="18"/>
    </row>
    <row r="452" spans="2:6" ht="13.5" customHeight="1" x14ac:dyDescent="0.2">
      <c r="B452" s="18"/>
      <c r="C452" s="82"/>
      <c r="D452" s="18"/>
      <c r="E452" s="18"/>
      <c r="F452" s="18"/>
    </row>
    <row r="453" spans="2:6" ht="13.5" customHeight="1" x14ac:dyDescent="0.2">
      <c r="B453" s="18"/>
      <c r="C453" s="82"/>
      <c r="D453" s="18"/>
      <c r="E453" s="18"/>
      <c r="F453" s="18"/>
    </row>
    <row r="454" spans="2:6" ht="13.5" customHeight="1" x14ac:dyDescent="0.2">
      <c r="B454" s="18"/>
      <c r="C454" s="82"/>
      <c r="D454" s="18"/>
      <c r="E454" s="18"/>
      <c r="F454" s="18"/>
    </row>
    <row r="455" spans="2:6" ht="13.5" customHeight="1" x14ac:dyDescent="0.2">
      <c r="B455" s="18"/>
      <c r="C455" s="82"/>
      <c r="D455" s="18"/>
      <c r="E455" s="18"/>
      <c r="F455" s="18"/>
    </row>
    <row r="456" spans="2:6" ht="13.5" customHeight="1" x14ac:dyDescent="0.2">
      <c r="B456" s="18"/>
      <c r="C456" s="82"/>
      <c r="D456" s="18"/>
      <c r="E456" s="18"/>
      <c r="F456" s="18"/>
    </row>
    <row r="457" spans="2:6" ht="13.5" customHeight="1" x14ac:dyDescent="0.2">
      <c r="B457" s="18"/>
      <c r="C457" s="82"/>
      <c r="D457" s="18"/>
      <c r="E457" s="18"/>
      <c r="F457" s="18"/>
    </row>
    <row r="458" spans="2:6" ht="13.5" customHeight="1" x14ac:dyDescent="0.2">
      <c r="B458" s="18"/>
      <c r="C458" s="82"/>
      <c r="D458" s="18"/>
      <c r="E458" s="18"/>
      <c r="F458" s="18"/>
    </row>
    <row r="459" spans="2:6" ht="13.5" customHeight="1" x14ac:dyDescent="0.2">
      <c r="B459" s="18"/>
      <c r="C459" s="82"/>
      <c r="D459" s="18"/>
      <c r="E459" s="18"/>
      <c r="F459" s="18"/>
    </row>
    <row r="460" spans="2:6" ht="13.5" customHeight="1" x14ac:dyDescent="0.2">
      <c r="B460" s="18"/>
      <c r="C460" s="82"/>
      <c r="D460" s="18"/>
      <c r="E460" s="18"/>
      <c r="F460" s="18"/>
    </row>
    <row r="461" spans="2:6" ht="13.5" customHeight="1" x14ac:dyDescent="0.2">
      <c r="B461" s="18"/>
      <c r="C461" s="82"/>
      <c r="D461" s="18"/>
      <c r="E461" s="18"/>
      <c r="F461" s="18"/>
    </row>
    <row r="462" spans="2:6" ht="13.5" customHeight="1" x14ac:dyDescent="0.2">
      <c r="B462" s="18"/>
      <c r="C462" s="82"/>
      <c r="D462" s="18"/>
      <c r="E462" s="18"/>
      <c r="F462" s="18"/>
    </row>
    <row r="463" spans="2:6" ht="13.5" customHeight="1" x14ac:dyDescent="0.2">
      <c r="B463" s="18"/>
      <c r="C463" s="82"/>
      <c r="D463" s="18"/>
      <c r="E463" s="18"/>
      <c r="F463" s="18"/>
    </row>
    <row r="464" spans="2:6" ht="13.5" customHeight="1" x14ac:dyDescent="0.2">
      <c r="B464" s="18"/>
      <c r="C464" s="82"/>
      <c r="D464" s="18"/>
      <c r="E464" s="18"/>
      <c r="F464" s="18"/>
    </row>
    <row r="465" spans="2:6" ht="13.5" customHeight="1" x14ac:dyDescent="0.2">
      <c r="B465" s="18"/>
      <c r="C465" s="82"/>
      <c r="D465" s="18"/>
      <c r="E465" s="18"/>
      <c r="F465" s="18"/>
    </row>
    <row r="466" spans="2:6" ht="13.5" customHeight="1" x14ac:dyDescent="0.2">
      <c r="B466" s="18"/>
      <c r="C466" s="82"/>
      <c r="D466" s="18"/>
      <c r="E466" s="18"/>
      <c r="F466" s="18"/>
    </row>
    <row r="467" spans="2:6" ht="13.5" customHeight="1" x14ac:dyDescent="0.2">
      <c r="B467" s="18"/>
      <c r="C467" s="82"/>
      <c r="D467" s="18"/>
      <c r="E467" s="18"/>
      <c r="F467" s="18"/>
    </row>
    <row r="468" spans="2:6" ht="13.5" customHeight="1" x14ac:dyDescent="0.2">
      <c r="B468" s="18"/>
      <c r="C468" s="82"/>
      <c r="D468" s="18"/>
      <c r="E468" s="18"/>
      <c r="F468" s="18"/>
    </row>
    <row r="469" spans="2:6" ht="13.5" customHeight="1" x14ac:dyDescent="0.2">
      <c r="B469" s="18"/>
      <c r="C469" s="82"/>
      <c r="D469" s="18"/>
      <c r="E469" s="18"/>
      <c r="F469" s="18"/>
    </row>
    <row r="470" spans="2:6" ht="13.5" customHeight="1" x14ac:dyDescent="0.2">
      <c r="B470" s="18"/>
      <c r="C470" s="82"/>
      <c r="D470" s="18"/>
      <c r="E470" s="18"/>
      <c r="F470" s="18"/>
    </row>
    <row r="471" spans="2:6" ht="13.5" customHeight="1" x14ac:dyDescent="0.2">
      <c r="B471" s="18"/>
      <c r="C471" s="82"/>
      <c r="D471" s="18"/>
      <c r="E471" s="18"/>
      <c r="F471" s="18"/>
    </row>
    <row r="472" spans="2:6" ht="13.5" customHeight="1" x14ac:dyDescent="0.2">
      <c r="B472" s="18"/>
      <c r="C472" s="82"/>
      <c r="D472" s="18"/>
      <c r="E472" s="18"/>
      <c r="F472" s="18"/>
    </row>
    <row r="473" spans="2:6" ht="13.5" customHeight="1" x14ac:dyDescent="0.2">
      <c r="B473" s="18"/>
      <c r="C473" s="82"/>
      <c r="D473" s="18"/>
      <c r="E473" s="18"/>
      <c r="F473" s="18"/>
    </row>
    <row r="474" spans="2:6" ht="13.5" customHeight="1" x14ac:dyDescent="0.2">
      <c r="B474" s="18"/>
      <c r="C474" s="82"/>
      <c r="D474" s="18"/>
      <c r="E474" s="18"/>
      <c r="F474" s="18"/>
    </row>
    <row r="475" spans="2:6" ht="13.5" customHeight="1" x14ac:dyDescent="0.2">
      <c r="B475" s="18"/>
      <c r="C475" s="82"/>
      <c r="D475" s="18"/>
      <c r="E475" s="18"/>
      <c r="F475" s="18"/>
    </row>
    <row r="476" spans="2:6" ht="13.5" customHeight="1" x14ac:dyDescent="0.2">
      <c r="B476" s="18"/>
      <c r="C476" s="82"/>
      <c r="D476" s="18"/>
      <c r="E476" s="18"/>
      <c r="F476" s="18"/>
    </row>
    <row r="477" spans="2:6" ht="13.5" customHeight="1" x14ac:dyDescent="0.2">
      <c r="B477" s="18"/>
      <c r="C477" s="82"/>
      <c r="D477" s="18"/>
      <c r="E477" s="18"/>
      <c r="F477" s="18"/>
    </row>
    <row r="478" spans="2:6" ht="13.5" customHeight="1" x14ac:dyDescent="0.2">
      <c r="B478" s="18"/>
      <c r="C478" s="82"/>
      <c r="D478" s="18"/>
      <c r="E478" s="18"/>
      <c r="F478" s="18"/>
    </row>
    <row r="479" spans="2:6" ht="13.5" customHeight="1" x14ac:dyDescent="0.2">
      <c r="B479" s="18"/>
      <c r="C479" s="82"/>
      <c r="D479" s="18"/>
      <c r="E479" s="18"/>
      <c r="F479" s="18"/>
    </row>
    <row r="480" spans="2:6" ht="13.5" customHeight="1" x14ac:dyDescent="0.2">
      <c r="B480" s="18"/>
      <c r="C480" s="82"/>
      <c r="D480" s="18"/>
      <c r="E480" s="18"/>
      <c r="F480" s="18"/>
    </row>
    <row r="481" spans="2:6" ht="13.5" customHeight="1" x14ac:dyDescent="0.2">
      <c r="B481" s="18"/>
      <c r="C481" s="82"/>
      <c r="D481" s="18"/>
      <c r="E481" s="18"/>
      <c r="F481" s="18"/>
    </row>
    <row r="482" spans="2:6" ht="13.5" customHeight="1" x14ac:dyDescent="0.2">
      <c r="B482" s="18"/>
      <c r="C482" s="82"/>
      <c r="D482" s="18"/>
      <c r="E482" s="18"/>
      <c r="F482" s="18"/>
    </row>
    <row r="483" spans="2:6" ht="13.5" customHeight="1" x14ac:dyDescent="0.2">
      <c r="B483" s="18"/>
      <c r="C483" s="82"/>
      <c r="D483" s="18"/>
      <c r="E483" s="18"/>
      <c r="F483" s="18"/>
    </row>
    <row r="484" spans="2:6" ht="13.5" customHeight="1" x14ac:dyDescent="0.2">
      <c r="B484" s="18"/>
      <c r="C484" s="82"/>
      <c r="D484" s="18"/>
      <c r="E484" s="18"/>
      <c r="F484" s="18"/>
    </row>
    <row r="485" spans="2:6" ht="13.5" customHeight="1" x14ac:dyDescent="0.2">
      <c r="B485" s="18"/>
      <c r="C485" s="82"/>
      <c r="D485" s="18"/>
      <c r="E485" s="18"/>
      <c r="F485" s="18"/>
    </row>
    <row r="486" spans="2:6" ht="13.5" customHeight="1" x14ac:dyDescent="0.2">
      <c r="B486" s="18"/>
      <c r="C486" s="82"/>
      <c r="D486" s="18"/>
      <c r="E486" s="18"/>
      <c r="F486" s="18"/>
    </row>
    <row r="487" spans="2:6" ht="13.5" customHeight="1" x14ac:dyDescent="0.2">
      <c r="B487" s="18"/>
      <c r="C487" s="82"/>
      <c r="D487" s="18"/>
      <c r="E487" s="18"/>
      <c r="F487" s="18"/>
    </row>
    <row r="488" spans="2:6" ht="13.5" customHeight="1" x14ac:dyDescent="0.2">
      <c r="B488" s="18"/>
      <c r="C488" s="82"/>
      <c r="D488" s="18"/>
      <c r="E488" s="18"/>
      <c r="F488" s="18"/>
    </row>
    <row r="489" spans="2:6" ht="13.5" customHeight="1" x14ac:dyDescent="0.2">
      <c r="B489" s="18"/>
      <c r="C489" s="82"/>
      <c r="D489" s="18"/>
      <c r="E489" s="18"/>
      <c r="F489" s="18"/>
    </row>
    <row r="490" spans="2:6" ht="13.5" customHeight="1" x14ac:dyDescent="0.2">
      <c r="B490" s="18"/>
      <c r="C490" s="82"/>
      <c r="D490" s="18"/>
      <c r="E490" s="18"/>
      <c r="F490" s="18"/>
    </row>
    <row r="491" spans="2:6" ht="13.5" customHeight="1" x14ac:dyDescent="0.2">
      <c r="B491" s="18"/>
      <c r="C491" s="82"/>
      <c r="D491" s="18"/>
      <c r="E491" s="18"/>
      <c r="F491" s="18"/>
    </row>
    <row r="492" spans="2:6" ht="13.5" customHeight="1" x14ac:dyDescent="0.2">
      <c r="B492" s="18"/>
      <c r="C492" s="82"/>
      <c r="D492" s="18"/>
      <c r="E492" s="18"/>
      <c r="F492" s="18"/>
    </row>
    <row r="493" spans="2:6" ht="13.5" customHeight="1" x14ac:dyDescent="0.2">
      <c r="B493" s="18"/>
      <c r="C493" s="82"/>
      <c r="D493" s="18"/>
      <c r="E493" s="18"/>
      <c r="F493" s="18"/>
    </row>
    <row r="494" spans="2:6" ht="13.5" customHeight="1" x14ac:dyDescent="0.2">
      <c r="B494" s="18"/>
      <c r="C494" s="82"/>
      <c r="D494" s="18"/>
      <c r="E494" s="18"/>
      <c r="F494" s="18"/>
    </row>
    <row r="495" spans="2:6" ht="13.5" customHeight="1" x14ac:dyDescent="0.2">
      <c r="B495" s="18"/>
      <c r="C495" s="82"/>
      <c r="D495" s="18"/>
      <c r="E495" s="18"/>
      <c r="F495" s="18"/>
    </row>
    <row r="496" spans="2:6" ht="13.5" customHeight="1" x14ac:dyDescent="0.2">
      <c r="B496" s="18"/>
      <c r="C496" s="82"/>
      <c r="D496" s="18"/>
      <c r="E496" s="18"/>
      <c r="F496" s="18"/>
    </row>
    <row r="497" spans="2:6" ht="13.5" customHeight="1" x14ac:dyDescent="0.2">
      <c r="B497" s="18"/>
      <c r="C497" s="82"/>
      <c r="D497" s="18"/>
      <c r="E497" s="18"/>
      <c r="F497" s="18"/>
    </row>
    <row r="498" spans="2:6" ht="13.5" customHeight="1" x14ac:dyDescent="0.2">
      <c r="B498" s="18"/>
      <c r="C498" s="82"/>
      <c r="D498" s="18"/>
      <c r="E498" s="18"/>
      <c r="F498" s="18"/>
    </row>
    <row r="499" spans="2:6" ht="13.5" customHeight="1" x14ac:dyDescent="0.2">
      <c r="B499" s="18"/>
      <c r="C499" s="82"/>
      <c r="D499" s="18"/>
      <c r="E499" s="18"/>
      <c r="F499" s="18"/>
    </row>
    <row r="500" spans="2:6" ht="13.5" customHeight="1" x14ac:dyDescent="0.2">
      <c r="B500" s="18"/>
      <c r="C500" s="82"/>
      <c r="D500" s="18"/>
      <c r="E500" s="18"/>
      <c r="F500" s="18"/>
    </row>
    <row r="501" spans="2:6" ht="13.5" customHeight="1" x14ac:dyDescent="0.2">
      <c r="B501" s="18"/>
      <c r="C501" s="82"/>
      <c r="D501" s="18"/>
      <c r="E501" s="18"/>
      <c r="F501" s="18"/>
    </row>
    <row r="502" spans="2:6" ht="13.5" customHeight="1" x14ac:dyDescent="0.2">
      <c r="B502" s="18"/>
      <c r="C502" s="82"/>
      <c r="D502" s="18"/>
      <c r="E502" s="18"/>
      <c r="F502" s="18"/>
    </row>
    <row r="503" spans="2:6" ht="13.5" customHeight="1" x14ac:dyDescent="0.2">
      <c r="B503" s="18"/>
      <c r="C503" s="82"/>
      <c r="D503" s="18"/>
      <c r="E503" s="18"/>
      <c r="F503" s="18"/>
    </row>
    <row r="504" spans="2:6" ht="13.5" customHeight="1" x14ac:dyDescent="0.2">
      <c r="B504" s="18"/>
      <c r="C504" s="82"/>
      <c r="D504" s="18"/>
      <c r="E504" s="18"/>
      <c r="F504" s="18"/>
    </row>
    <row r="505" spans="2:6" ht="13.5" customHeight="1" x14ac:dyDescent="0.2">
      <c r="B505" s="18"/>
      <c r="C505" s="82"/>
      <c r="D505" s="18"/>
      <c r="E505" s="18"/>
      <c r="F505" s="18"/>
    </row>
    <row r="506" spans="2:6" ht="13.5" customHeight="1" x14ac:dyDescent="0.2">
      <c r="B506" s="18"/>
      <c r="C506" s="82"/>
      <c r="D506" s="18"/>
      <c r="E506" s="18"/>
      <c r="F506" s="18"/>
    </row>
    <row r="507" spans="2:6" ht="13.5" customHeight="1" x14ac:dyDescent="0.2">
      <c r="B507" s="18"/>
      <c r="C507" s="82"/>
      <c r="D507" s="18"/>
      <c r="E507" s="18"/>
      <c r="F507" s="18"/>
    </row>
    <row r="508" spans="2:6" ht="13.5" customHeight="1" x14ac:dyDescent="0.2">
      <c r="B508" s="18"/>
      <c r="C508" s="82"/>
      <c r="D508" s="18"/>
      <c r="E508" s="18"/>
      <c r="F508" s="18"/>
    </row>
    <row r="509" spans="2:6" ht="13.5" customHeight="1" x14ac:dyDescent="0.2">
      <c r="B509" s="18"/>
      <c r="C509" s="82"/>
      <c r="D509" s="18"/>
      <c r="E509" s="18"/>
      <c r="F509" s="18"/>
    </row>
    <row r="510" spans="2:6" ht="13.5" customHeight="1" x14ac:dyDescent="0.2">
      <c r="B510" s="18"/>
      <c r="C510" s="82"/>
      <c r="D510" s="18"/>
      <c r="E510" s="18"/>
      <c r="F510" s="18"/>
    </row>
    <row r="511" spans="2:6" ht="13.5" customHeight="1" x14ac:dyDescent="0.2">
      <c r="B511" s="18"/>
      <c r="C511" s="82"/>
      <c r="D511" s="18"/>
      <c r="E511" s="18"/>
      <c r="F511" s="18"/>
    </row>
    <row r="512" spans="2:6" ht="13.5" customHeight="1" x14ac:dyDescent="0.2">
      <c r="B512" s="18"/>
      <c r="C512" s="82"/>
      <c r="D512" s="18"/>
      <c r="E512" s="18"/>
      <c r="F512" s="18"/>
    </row>
    <row r="513" spans="2:6" ht="13.5" customHeight="1" x14ac:dyDescent="0.2">
      <c r="B513" s="18"/>
      <c r="C513" s="82"/>
      <c r="D513" s="18"/>
      <c r="E513" s="18"/>
      <c r="F513" s="18"/>
    </row>
    <row r="514" spans="2:6" ht="13.5" customHeight="1" x14ac:dyDescent="0.2">
      <c r="B514" s="18"/>
      <c r="C514" s="82"/>
      <c r="D514" s="18"/>
      <c r="E514" s="18"/>
      <c r="F514" s="18"/>
    </row>
    <row r="515" spans="2:6" ht="13.5" customHeight="1" x14ac:dyDescent="0.2">
      <c r="B515" s="18"/>
      <c r="C515" s="82"/>
      <c r="D515" s="18"/>
      <c r="E515" s="18"/>
      <c r="F515" s="18"/>
    </row>
    <row r="516" spans="2:6" ht="13.5" customHeight="1" x14ac:dyDescent="0.2">
      <c r="B516" s="18"/>
      <c r="C516" s="82"/>
      <c r="D516" s="18"/>
      <c r="E516" s="18"/>
      <c r="F516" s="18"/>
    </row>
    <row r="517" spans="2:6" ht="13.5" customHeight="1" x14ac:dyDescent="0.2">
      <c r="B517" s="18"/>
      <c r="C517" s="82"/>
      <c r="D517" s="18"/>
      <c r="E517" s="18"/>
      <c r="F517" s="18"/>
    </row>
    <row r="518" spans="2:6" ht="13.5" customHeight="1" x14ac:dyDescent="0.2">
      <c r="B518" s="18"/>
      <c r="C518" s="82"/>
      <c r="D518" s="18"/>
      <c r="E518" s="18"/>
      <c r="F518" s="18"/>
    </row>
    <row r="519" spans="2:6" ht="13.5" customHeight="1" x14ac:dyDescent="0.2">
      <c r="B519" s="18"/>
      <c r="C519" s="82"/>
      <c r="D519" s="18"/>
      <c r="E519" s="18"/>
      <c r="F519" s="18"/>
    </row>
    <row r="520" spans="2:6" ht="13.5" customHeight="1" x14ac:dyDescent="0.2">
      <c r="B520" s="18"/>
      <c r="C520" s="82"/>
      <c r="D520" s="18"/>
      <c r="E520" s="18"/>
      <c r="F520" s="18"/>
    </row>
    <row r="521" spans="2:6" ht="13.5" customHeight="1" x14ac:dyDescent="0.2">
      <c r="B521" s="18"/>
      <c r="C521" s="82"/>
      <c r="D521" s="18"/>
      <c r="E521" s="18"/>
      <c r="F521" s="18"/>
    </row>
    <row r="522" spans="2:6" ht="13.5" customHeight="1" x14ac:dyDescent="0.2">
      <c r="B522" s="18"/>
      <c r="C522" s="82"/>
      <c r="D522" s="18"/>
      <c r="E522" s="18"/>
      <c r="F522" s="18"/>
    </row>
    <row r="523" spans="2:6" ht="13.5" customHeight="1" x14ac:dyDescent="0.2">
      <c r="B523" s="18"/>
      <c r="C523" s="82"/>
      <c r="D523" s="18"/>
      <c r="E523" s="18"/>
      <c r="F523" s="18"/>
    </row>
    <row r="524" spans="2:6" ht="13.5" customHeight="1" x14ac:dyDescent="0.2">
      <c r="B524" s="18"/>
      <c r="C524" s="82"/>
      <c r="D524" s="18"/>
      <c r="E524" s="18"/>
      <c r="F524" s="18"/>
    </row>
    <row r="525" spans="2:6" ht="13.5" customHeight="1" x14ac:dyDescent="0.2">
      <c r="B525" s="18"/>
      <c r="C525" s="82"/>
      <c r="D525" s="18"/>
      <c r="E525" s="18"/>
      <c r="F525" s="18"/>
    </row>
    <row r="526" spans="2:6" ht="13.5" customHeight="1" x14ac:dyDescent="0.2">
      <c r="B526" s="18"/>
      <c r="C526" s="82"/>
      <c r="D526" s="18"/>
      <c r="E526" s="18"/>
      <c r="F526" s="18"/>
    </row>
    <row r="527" spans="2:6" ht="13.5" customHeight="1" x14ac:dyDescent="0.2">
      <c r="B527" s="18"/>
      <c r="C527" s="82"/>
      <c r="D527" s="18"/>
      <c r="E527" s="18"/>
      <c r="F527" s="18"/>
    </row>
    <row r="528" spans="2:6" ht="13.5" customHeight="1" x14ac:dyDescent="0.2">
      <c r="B528" s="18"/>
      <c r="C528" s="82"/>
      <c r="D528" s="18"/>
      <c r="E528" s="18"/>
      <c r="F528" s="18"/>
    </row>
    <row r="529" spans="2:6" ht="13.5" customHeight="1" x14ac:dyDescent="0.2">
      <c r="B529" s="18"/>
      <c r="C529" s="82"/>
      <c r="D529" s="18"/>
      <c r="E529" s="18"/>
      <c r="F529" s="18"/>
    </row>
    <row r="530" spans="2:6" ht="13.5" customHeight="1" x14ac:dyDescent="0.2">
      <c r="B530" s="18"/>
      <c r="C530" s="82"/>
      <c r="D530" s="18"/>
      <c r="E530" s="18"/>
      <c r="F530" s="18"/>
    </row>
    <row r="531" spans="2:6" ht="13.5" customHeight="1" x14ac:dyDescent="0.2">
      <c r="B531" s="18"/>
      <c r="C531" s="82"/>
      <c r="D531" s="18"/>
      <c r="E531" s="18"/>
      <c r="F531" s="18"/>
    </row>
    <row r="532" spans="2:6" ht="13.5" customHeight="1" x14ac:dyDescent="0.2">
      <c r="B532" s="18"/>
      <c r="C532" s="82"/>
      <c r="D532" s="18"/>
      <c r="E532" s="18"/>
      <c r="F532" s="18"/>
    </row>
    <row r="533" spans="2:6" ht="13.5" customHeight="1" x14ac:dyDescent="0.2">
      <c r="B533" s="18"/>
      <c r="C533" s="82"/>
      <c r="D533" s="18"/>
      <c r="E533" s="18"/>
      <c r="F533" s="18"/>
    </row>
    <row r="534" spans="2:6" ht="13.5" customHeight="1" x14ac:dyDescent="0.2">
      <c r="B534" s="18"/>
      <c r="C534" s="82"/>
      <c r="D534" s="18"/>
      <c r="E534" s="18"/>
      <c r="F534" s="18"/>
    </row>
    <row r="535" spans="2:6" ht="13.5" customHeight="1" x14ac:dyDescent="0.2">
      <c r="B535" s="18"/>
      <c r="C535" s="82"/>
      <c r="D535" s="18"/>
      <c r="E535" s="18"/>
      <c r="F535" s="18"/>
    </row>
    <row r="536" spans="2:6" ht="13.5" customHeight="1" x14ac:dyDescent="0.2">
      <c r="B536" s="18"/>
      <c r="C536" s="82"/>
      <c r="D536" s="18"/>
      <c r="E536" s="18"/>
      <c r="F536" s="18"/>
    </row>
    <row r="537" spans="2:6" ht="13.5" customHeight="1" x14ac:dyDescent="0.2">
      <c r="B537" s="18"/>
      <c r="C537" s="82"/>
      <c r="D537" s="18"/>
      <c r="E537" s="18"/>
      <c r="F537" s="18"/>
    </row>
    <row r="538" spans="2:6" ht="13.5" customHeight="1" x14ac:dyDescent="0.2">
      <c r="B538" s="18"/>
      <c r="C538" s="82"/>
      <c r="D538" s="18"/>
      <c r="E538" s="18"/>
      <c r="F538" s="18"/>
    </row>
    <row r="539" spans="2:6" ht="13.5" customHeight="1" x14ac:dyDescent="0.2">
      <c r="B539" s="18"/>
      <c r="C539" s="82"/>
      <c r="D539" s="18"/>
      <c r="E539" s="18"/>
      <c r="F539" s="18"/>
    </row>
    <row r="540" spans="2:6" ht="13.5" customHeight="1" x14ac:dyDescent="0.2">
      <c r="B540" s="18"/>
      <c r="C540" s="82"/>
      <c r="D540" s="18"/>
      <c r="E540" s="18"/>
      <c r="F540" s="18"/>
    </row>
    <row r="541" spans="2:6" ht="13.5" customHeight="1" x14ac:dyDescent="0.2">
      <c r="B541" s="18"/>
      <c r="C541" s="82"/>
      <c r="D541" s="18"/>
      <c r="E541" s="18"/>
      <c r="F541" s="18"/>
    </row>
    <row r="542" spans="2:6" ht="13.5" customHeight="1" x14ac:dyDescent="0.2">
      <c r="B542" s="18"/>
      <c r="C542" s="82"/>
      <c r="D542" s="18"/>
      <c r="E542" s="18"/>
      <c r="F542" s="18"/>
    </row>
    <row r="543" spans="2:6" ht="13.5" customHeight="1" x14ac:dyDescent="0.2">
      <c r="B543" s="18"/>
      <c r="C543" s="82"/>
      <c r="D543" s="18"/>
      <c r="E543" s="18"/>
      <c r="F543" s="18"/>
    </row>
    <row r="544" spans="2:6" ht="13.5" customHeight="1" x14ac:dyDescent="0.2">
      <c r="B544" s="18"/>
      <c r="C544" s="82"/>
      <c r="D544" s="18"/>
      <c r="E544" s="18"/>
      <c r="F544" s="18"/>
    </row>
    <row r="545" spans="2:6" ht="13.5" customHeight="1" x14ac:dyDescent="0.2">
      <c r="B545" s="18"/>
      <c r="C545" s="82"/>
      <c r="D545" s="18"/>
      <c r="E545" s="18"/>
      <c r="F545" s="18"/>
    </row>
    <row r="546" spans="2:6" ht="13.5" customHeight="1" x14ac:dyDescent="0.2">
      <c r="B546" s="18"/>
      <c r="C546" s="82"/>
      <c r="D546" s="18"/>
      <c r="E546" s="18"/>
      <c r="F546" s="18"/>
    </row>
    <row r="547" spans="2:6" ht="13.5" customHeight="1" x14ac:dyDescent="0.2">
      <c r="B547" s="18"/>
      <c r="C547" s="82"/>
      <c r="D547" s="18"/>
      <c r="E547" s="18"/>
      <c r="F547" s="18"/>
    </row>
    <row r="548" spans="2:6" ht="13.5" customHeight="1" x14ac:dyDescent="0.2">
      <c r="B548" s="18"/>
      <c r="C548" s="82"/>
      <c r="D548" s="18"/>
      <c r="E548" s="18"/>
      <c r="F548" s="18"/>
    </row>
    <row r="549" spans="2:6" ht="13.5" customHeight="1" x14ac:dyDescent="0.2">
      <c r="B549" s="18"/>
      <c r="C549" s="82"/>
      <c r="D549" s="18"/>
      <c r="E549" s="18"/>
      <c r="F549" s="18"/>
    </row>
    <row r="550" spans="2:6" ht="13.5" customHeight="1" x14ac:dyDescent="0.2">
      <c r="B550" s="18"/>
      <c r="C550" s="82"/>
      <c r="D550" s="18"/>
      <c r="E550" s="18"/>
      <c r="F550" s="18"/>
    </row>
    <row r="551" spans="2:6" ht="13.5" customHeight="1" x14ac:dyDescent="0.2">
      <c r="B551" s="18"/>
      <c r="C551" s="82"/>
      <c r="D551" s="18"/>
      <c r="E551" s="18"/>
      <c r="F551" s="18"/>
    </row>
    <row r="552" spans="2:6" ht="13.5" customHeight="1" x14ac:dyDescent="0.2">
      <c r="B552" s="18"/>
      <c r="C552" s="82"/>
      <c r="D552" s="18"/>
      <c r="E552" s="18"/>
      <c r="F552" s="18"/>
    </row>
    <row r="553" spans="2:6" ht="13.5" customHeight="1" x14ac:dyDescent="0.2">
      <c r="B553" s="18"/>
      <c r="C553" s="82"/>
      <c r="D553" s="18"/>
      <c r="E553" s="18"/>
      <c r="F553" s="18"/>
    </row>
    <row r="554" spans="2:6" ht="13.5" customHeight="1" x14ac:dyDescent="0.2">
      <c r="B554" s="18"/>
      <c r="C554" s="82"/>
      <c r="D554" s="18"/>
      <c r="E554" s="18"/>
      <c r="F554" s="18"/>
    </row>
    <row r="555" spans="2:6" ht="13.5" customHeight="1" x14ac:dyDescent="0.2">
      <c r="B555" s="18"/>
      <c r="C555" s="82"/>
      <c r="D555" s="18"/>
      <c r="E555" s="18"/>
      <c r="F555" s="18"/>
    </row>
    <row r="556" spans="2:6" ht="13.5" customHeight="1" x14ac:dyDescent="0.2">
      <c r="B556" s="18"/>
      <c r="C556" s="82"/>
      <c r="D556" s="18"/>
      <c r="E556" s="18"/>
      <c r="F556" s="18"/>
    </row>
    <row r="557" spans="2:6" ht="13.5" customHeight="1" x14ac:dyDescent="0.2">
      <c r="B557" s="18"/>
      <c r="C557" s="82"/>
      <c r="D557" s="18"/>
      <c r="E557" s="18"/>
      <c r="F557" s="18"/>
    </row>
    <row r="558" spans="2:6" ht="13.5" customHeight="1" x14ac:dyDescent="0.2">
      <c r="B558" s="18"/>
      <c r="C558" s="82"/>
      <c r="D558" s="18"/>
      <c r="E558" s="18"/>
      <c r="F558" s="18"/>
    </row>
    <row r="559" spans="2:6" ht="13.5" customHeight="1" x14ac:dyDescent="0.2">
      <c r="B559" s="18"/>
      <c r="C559" s="82"/>
      <c r="D559" s="18"/>
      <c r="E559" s="18"/>
      <c r="F559" s="18"/>
    </row>
    <row r="560" spans="2:6" ht="13.5" customHeight="1" x14ac:dyDescent="0.2">
      <c r="B560" s="18"/>
      <c r="C560" s="82"/>
      <c r="D560" s="18"/>
      <c r="E560" s="18"/>
      <c r="F560" s="18"/>
    </row>
    <row r="561" spans="2:6" ht="13.5" customHeight="1" x14ac:dyDescent="0.2">
      <c r="B561" s="18"/>
      <c r="C561" s="82"/>
      <c r="D561" s="18"/>
      <c r="E561" s="18"/>
      <c r="F561" s="18"/>
    </row>
    <row r="562" spans="2:6" ht="13.5" customHeight="1" x14ac:dyDescent="0.2">
      <c r="B562" s="18"/>
      <c r="C562" s="82"/>
      <c r="D562" s="18"/>
      <c r="E562" s="18"/>
      <c r="F562" s="18"/>
    </row>
    <row r="563" spans="2:6" ht="13.5" customHeight="1" x14ac:dyDescent="0.2">
      <c r="B563" s="18"/>
      <c r="C563" s="82"/>
      <c r="D563" s="18"/>
      <c r="E563" s="18"/>
      <c r="F563" s="18"/>
    </row>
    <row r="564" spans="2:6" ht="13.5" customHeight="1" x14ac:dyDescent="0.2">
      <c r="B564" s="18"/>
      <c r="C564" s="82"/>
      <c r="D564" s="18"/>
      <c r="E564" s="18"/>
      <c r="F564" s="18"/>
    </row>
    <row r="565" spans="2:6" ht="13.5" customHeight="1" x14ac:dyDescent="0.2">
      <c r="B565" s="18"/>
      <c r="C565" s="82"/>
      <c r="D565" s="18"/>
      <c r="E565" s="18"/>
      <c r="F565" s="18"/>
    </row>
    <row r="566" spans="2:6" ht="13.5" customHeight="1" x14ac:dyDescent="0.2">
      <c r="B566" s="18"/>
      <c r="C566" s="82"/>
      <c r="D566" s="18"/>
      <c r="E566" s="18"/>
      <c r="F566" s="18"/>
    </row>
    <row r="567" spans="2:6" ht="13.5" customHeight="1" x14ac:dyDescent="0.2">
      <c r="B567" s="18"/>
      <c r="C567" s="82"/>
      <c r="D567" s="18"/>
      <c r="E567" s="18"/>
      <c r="F567" s="18"/>
    </row>
    <row r="568" spans="2:6" ht="13.5" customHeight="1" x14ac:dyDescent="0.2">
      <c r="B568" s="18"/>
      <c r="C568" s="82"/>
      <c r="D568" s="18"/>
      <c r="E568" s="18"/>
      <c r="F568" s="18"/>
    </row>
    <row r="569" spans="2:6" ht="13.5" customHeight="1" x14ac:dyDescent="0.2">
      <c r="B569" s="18"/>
      <c r="C569" s="82"/>
      <c r="D569" s="18"/>
      <c r="E569" s="18"/>
      <c r="F569" s="18"/>
    </row>
    <row r="570" spans="2:6" ht="13.5" customHeight="1" x14ac:dyDescent="0.2">
      <c r="B570" s="18"/>
      <c r="C570" s="82"/>
      <c r="D570" s="18"/>
      <c r="E570" s="18"/>
      <c r="F570" s="18"/>
    </row>
    <row r="571" spans="2:6" ht="13.5" customHeight="1" x14ac:dyDescent="0.2">
      <c r="B571" s="18"/>
      <c r="C571" s="82"/>
      <c r="D571" s="18"/>
      <c r="E571" s="18"/>
      <c r="F571" s="18"/>
    </row>
    <row r="572" spans="2:6" ht="13.5" customHeight="1" x14ac:dyDescent="0.2">
      <c r="B572" s="18"/>
      <c r="C572" s="82"/>
      <c r="D572" s="18"/>
      <c r="E572" s="18"/>
      <c r="F572" s="18"/>
    </row>
    <row r="573" spans="2:6" ht="13.5" customHeight="1" x14ac:dyDescent="0.2">
      <c r="B573" s="18"/>
      <c r="C573" s="82"/>
      <c r="D573" s="18"/>
      <c r="E573" s="18"/>
      <c r="F573" s="18"/>
    </row>
    <row r="574" spans="2:6" ht="13.5" customHeight="1" x14ac:dyDescent="0.2">
      <c r="B574" s="18"/>
      <c r="C574" s="82"/>
      <c r="D574" s="18"/>
      <c r="E574" s="18"/>
      <c r="F574" s="18"/>
    </row>
    <row r="575" spans="2:6" ht="13.5" customHeight="1" x14ac:dyDescent="0.2">
      <c r="B575" s="18"/>
      <c r="C575" s="82"/>
      <c r="D575" s="18"/>
      <c r="E575" s="18"/>
      <c r="F575" s="18"/>
    </row>
    <row r="576" spans="2:6" ht="13.5" customHeight="1" x14ac:dyDescent="0.2">
      <c r="B576" s="18"/>
      <c r="C576" s="82"/>
      <c r="D576" s="18"/>
      <c r="E576" s="18"/>
      <c r="F576" s="18"/>
    </row>
    <row r="577" spans="2:6" ht="13.5" customHeight="1" x14ac:dyDescent="0.2">
      <c r="B577" s="18"/>
      <c r="C577" s="82"/>
      <c r="D577" s="18"/>
      <c r="E577" s="18"/>
      <c r="F577" s="18"/>
    </row>
    <row r="578" spans="2:6" ht="13.5" customHeight="1" x14ac:dyDescent="0.2">
      <c r="B578" s="18"/>
      <c r="C578" s="82"/>
      <c r="D578" s="18"/>
      <c r="E578" s="18"/>
      <c r="F578" s="18"/>
    </row>
    <row r="579" spans="2:6" ht="13.5" customHeight="1" x14ac:dyDescent="0.2">
      <c r="B579" s="18"/>
      <c r="C579" s="82"/>
      <c r="D579" s="18"/>
      <c r="E579" s="18"/>
      <c r="F579" s="18"/>
    </row>
    <row r="580" spans="2:6" ht="13.5" customHeight="1" x14ac:dyDescent="0.2">
      <c r="B580" s="18"/>
      <c r="C580" s="82"/>
      <c r="D580" s="18"/>
      <c r="E580" s="18"/>
      <c r="F580" s="18"/>
    </row>
    <row r="581" spans="2:6" ht="13.5" customHeight="1" x14ac:dyDescent="0.2">
      <c r="B581" s="18"/>
      <c r="C581" s="82"/>
      <c r="D581" s="18"/>
      <c r="E581" s="18"/>
      <c r="F581" s="18"/>
    </row>
    <row r="582" spans="2:6" ht="13.5" customHeight="1" x14ac:dyDescent="0.2">
      <c r="B582" s="18"/>
      <c r="C582" s="82"/>
      <c r="D582" s="18"/>
      <c r="E582" s="18"/>
      <c r="F582" s="18"/>
    </row>
    <row r="583" spans="2:6" ht="13.5" customHeight="1" x14ac:dyDescent="0.2">
      <c r="B583" s="18"/>
      <c r="C583" s="82"/>
      <c r="D583" s="18"/>
      <c r="E583" s="18"/>
      <c r="F583" s="18"/>
    </row>
    <row r="584" spans="2:6" ht="13.5" customHeight="1" x14ac:dyDescent="0.2">
      <c r="B584" s="18"/>
      <c r="C584" s="82"/>
      <c r="D584" s="18"/>
      <c r="E584" s="18"/>
      <c r="F584" s="18"/>
    </row>
    <row r="585" spans="2:6" ht="13.5" customHeight="1" x14ac:dyDescent="0.2">
      <c r="B585" s="18"/>
      <c r="C585" s="82"/>
      <c r="D585" s="18"/>
      <c r="E585" s="18"/>
      <c r="F585" s="18"/>
    </row>
    <row r="586" spans="2:6" ht="13.5" customHeight="1" x14ac:dyDescent="0.2">
      <c r="B586" s="18"/>
      <c r="C586" s="82"/>
      <c r="D586" s="18"/>
      <c r="E586" s="18"/>
      <c r="F586" s="18"/>
    </row>
    <row r="587" spans="2:6" ht="13.5" customHeight="1" x14ac:dyDescent="0.2">
      <c r="B587" s="18"/>
      <c r="C587" s="82"/>
      <c r="D587" s="18"/>
      <c r="E587" s="18"/>
      <c r="F587" s="18"/>
    </row>
    <row r="588" spans="2:6" ht="13.5" customHeight="1" x14ac:dyDescent="0.2">
      <c r="B588" s="18"/>
      <c r="C588" s="82"/>
      <c r="D588" s="18"/>
      <c r="E588" s="18"/>
      <c r="F588" s="18"/>
    </row>
    <row r="589" spans="2:6" ht="13.5" customHeight="1" x14ac:dyDescent="0.2">
      <c r="B589" s="18"/>
      <c r="C589" s="82"/>
      <c r="D589" s="18"/>
      <c r="E589" s="18"/>
      <c r="F589" s="18"/>
    </row>
    <row r="590" spans="2:6" ht="13.5" customHeight="1" x14ac:dyDescent="0.2">
      <c r="B590" s="18"/>
      <c r="C590" s="82"/>
      <c r="D590" s="18"/>
      <c r="E590" s="18"/>
      <c r="F590" s="18"/>
    </row>
    <row r="591" spans="2:6" ht="13.5" customHeight="1" x14ac:dyDescent="0.2">
      <c r="B591" s="18"/>
      <c r="C591" s="82"/>
      <c r="D591" s="18"/>
      <c r="E591" s="18"/>
      <c r="F591" s="18"/>
    </row>
    <row r="592" spans="2:6" ht="13.5" customHeight="1" x14ac:dyDescent="0.2">
      <c r="B592" s="18"/>
      <c r="C592" s="82"/>
      <c r="D592" s="18"/>
      <c r="E592" s="18"/>
      <c r="F592" s="18"/>
    </row>
    <row r="593" spans="2:6" ht="13.5" customHeight="1" x14ac:dyDescent="0.2">
      <c r="B593" s="18"/>
      <c r="C593" s="82"/>
      <c r="D593" s="18"/>
      <c r="E593" s="18"/>
      <c r="F593" s="18"/>
    </row>
    <row r="594" spans="2:6" ht="13.5" customHeight="1" x14ac:dyDescent="0.2">
      <c r="B594" s="18"/>
      <c r="C594" s="82"/>
      <c r="D594" s="18"/>
      <c r="E594" s="18"/>
      <c r="F594" s="18"/>
    </row>
    <row r="595" spans="2:6" ht="13.5" customHeight="1" x14ac:dyDescent="0.2">
      <c r="B595" s="18"/>
      <c r="C595" s="82"/>
      <c r="D595" s="18"/>
      <c r="E595" s="18"/>
      <c r="F595" s="18"/>
    </row>
    <row r="596" spans="2:6" ht="13.5" customHeight="1" x14ac:dyDescent="0.2">
      <c r="B596" s="18"/>
      <c r="C596" s="82"/>
      <c r="D596" s="18"/>
      <c r="E596" s="18"/>
      <c r="F596" s="18"/>
    </row>
    <row r="597" spans="2:6" ht="13.5" customHeight="1" x14ac:dyDescent="0.2">
      <c r="B597" s="18"/>
      <c r="C597" s="82"/>
      <c r="D597" s="18"/>
      <c r="E597" s="18"/>
      <c r="F597" s="18"/>
    </row>
    <row r="598" spans="2:6" ht="13.5" customHeight="1" x14ac:dyDescent="0.2">
      <c r="B598" s="18"/>
      <c r="C598" s="82"/>
      <c r="D598" s="18"/>
      <c r="E598" s="18"/>
      <c r="F598" s="18"/>
    </row>
    <row r="599" spans="2:6" ht="13.5" customHeight="1" x14ac:dyDescent="0.2">
      <c r="B599" s="18"/>
      <c r="C599" s="82"/>
      <c r="D599" s="18"/>
      <c r="E599" s="18"/>
      <c r="F599" s="18"/>
    </row>
    <row r="600" spans="2:6" ht="13.5" customHeight="1" x14ac:dyDescent="0.2">
      <c r="B600" s="18"/>
      <c r="C600" s="82"/>
      <c r="D600" s="18"/>
      <c r="E600" s="18"/>
      <c r="F600" s="18"/>
    </row>
    <row r="601" spans="2:6" ht="13.5" customHeight="1" x14ac:dyDescent="0.2">
      <c r="B601" s="18"/>
      <c r="C601" s="82"/>
      <c r="D601" s="18"/>
      <c r="E601" s="18"/>
      <c r="F601" s="18"/>
    </row>
    <row r="602" spans="2:6" ht="13.5" customHeight="1" x14ac:dyDescent="0.2">
      <c r="B602" s="18"/>
      <c r="C602" s="82"/>
      <c r="D602" s="18"/>
      <c r="E602" s="18"/>
      <c r="F602" s="18"/>
    </row>
    <row r="603" spans="2:6" ht="13.5" customHeight="1" x14ac:dyDescent="0.2">
      <c r="B603" s="18"/>
      <c r="C603" s="82"/>
      <c r="D603" s="18"/>
      <c r="E603" s="18"/>
      <c r="F603" s="18"/>
    </row>
    <row r="604" spans="2:6" ht="13.5" customHeight="1" x14ac:dyDescent="0.2">
      <c r="B604" s="18"/>
      <c r="C604" s="82"/>
      <c r="D604" s="18"/>
      <c r="E604" s="18"/>
      <c r="F604" s="18"/>
    </row>
    <row r="605" spans="2:6" ht="13.5" customHeight="1" x14ac:dyDescent="0.2">
      <c r="B605" s="18"/>
      <c r="C605" s="82"/>
      <c r="D605" s="18"/>
      <c r="E605" s="18"/>
      <c r="F605" s="18"/>
    </row>
    <row r="606" spans="2:6" ht="13.5" customHeight="1" x14ac:dyDescent="0.2">
      <c r="B606" s="18"/>
      <c r="C606" s="82"/>
      <c r="D606" s="18"/>
      <c r="E606" s="18"/>
      <c r="F606" s="18"/>
    </row>
    <row r="607" spans="2:6" ht="13.5" customHeight="1" x14ac:dyDescent="0.2">
      <c r="B607" s="18"/>
      <c r="C607" s="82"/>
      <c r="D607" s="18"/>
      <c r="E607" s="18"/>
      <c r="F607" s="18"/>
    </row>
    <row r="608" spans="2:6" ht="13.5" customHeight="1" x14ac:dyDescent="0.2">
      <c r="B608" s="18"/>
      <c r="C608" s="82"/>
      <c r="D608" s="18"/>
      <c r="E608" s="18"/>
      <c r="F608" s="18"/>
    </row>
    <row r="609" spans="2:6" ht="13.5" customHeight="1" x14ac:dyDescent="0.2">
      <c r="B609" s="18"/>
      <c r="C609" s="82"/>
      <c r="D609" s="18"/>
      <c r="E609" s="18"/>
      <c r="F609" s="18"/>
    </row>
    <row r="610" spans="2:6" ht="13.5" customHeight="1" x14ac:dyDescent="0.2">
      <c r="B610" s="18"/>
      <c r="C610" s="82"/>
      <c r="D610" s="18"/>
      <c r="E610" s="18"/>
      <c r="F610" s="18"/>
    </row>
    <row r="611" spans="2:6" ht="13.5" customHeight="1" x14ac:dyDescent="0.2">
      <c r="B611" s="18"/>
      <c r="C611" s="82"/>
      <c r="D611" s="18"/>
      <c r="E611" s="18"/>
      <c r="F611" s="18"/>
    </row>
    <row r="612" spans="2:6" ht="13.5" customHeight="1" x14ac:dyDescent="0.2">
      <c r="B612" s="18"/>
      <c r="C612" s="82"/>
      <c r="D612" s="18"/>
      <c r="E612" s="18"/>
      <c r="F612" s="18"/>
    </row>
    <row r="613" spans="2:6" ht="13.5" customHeight="1" x14ac:dyDescent="0.2">
      <c r="B613" s="18"/>
      <c r="C613" s="82"/>
      <c r="D613" s="18"/>
      <c r="E613" s="18"/>
      <c r="F613" s="18"/>
    </row>
    <row r="614" spans="2:6" ht="13.5" customHeight="1" x14ac:dyDescent="0.2">
      <c r="B614" s="18"/>
      <c r="C614" s="82"/>
      <c r="D614" s="18"/>
      <c r="E614" s="18"/>
      <c r="F614" s="18"/>
    </row>
    <row r="615" spans="2:6" ht="13.5" customHeight="1" x14ac:dyDescent="0.2">
      <c r="B615" s="18"/>
      <c r="C615" s="82"/>
      <c r="D615" s="18"/>
      <c r="E615" s="18"/>
      <c r="F615" s="18"/>
    </row>
    <row r="616" spans="2:6" ht="13.5" customHeight="1" x14ac:dyDescent="0.2">
      <c r="B616" s="18"/>
      <c r="C616" s="82"/>
      <c r="D616" s="18"/>
      <c r="E616" s="18"/>
      <c r="F616" s="18"/>
    </row>
    <row r="617" spans="2:6" ht="13.5" customHeight="1" x14ac:dyDescent="0.2">
      <c r="B617" s="18"/>
      <c r="C617" s="82"/>
      <c r="D617" s="18"/>
      <c r="E617" s="18"/>
      <c r="F617" s="18"/>
    </row>
    <row r="618" spans="2:6" ht="13.5" customHeight="1" x14ac:dyDescent="0.2">
      <c r="B618" s="18"/>
      <c r="C618" s="82"/>
      <c r="D618" s="18"/>
      <c r="E618" s="18"/>
      <c r="F618" s="18"/>
    </row>
    <row r="619" spans="2:6" ht="13.5" customHeight="1" x14ac:dyDescent="0.2">
      <c r="B619" s="18"/>
      <c r="C619" s="82"/>
      <c r="D619" s="18"/>
      <c r="E619" s="18"/>
      <c r="F619" s="18"/>
    </row>
    <row r="620" spans="2:6" ht="13.5" customHeight="1" x14ac:dyDescent="0.2">
      <c r="B620" s="18"/>
      <c r="C620" s="82"/>
      <c r="D620" s="18"/>
      <c r="E620" s="18"/>
      <c r="F620" s="18"/>
    </row>
    <row r="621" spans="2:6" ht="13.5" customHeight="1" x14ac:dyDescent="0.2">
      <c r="B621" s="18"/>
      <c r="C621" s="82"/>
      <c r="D621" s="18"/>
      <c r="E621" s="18"/>
      <c r="F621" s="18"/>
    </row>
    <row r="622" spans="2:6" ht="13.5" customHeight="1" x14ac:dyDescent="0.2">
      <c r="B622" s="18"/>
      <c r="C622" s="82"/>
      <c r="D622" s="18"/>
      <c r="E622" s="18"/>
      <c r="F622" s="18"/>
    </row>
    <row r="623" spans="2:6" ht="13.5" customHeight="1" x14ac:dyDescent="0.2">
      <c r="B623" s="18"/>
      <c r="C623" s="82"/>
      <c r="D623" s="18"/>
      <c r="E623" s="18"/>
      <c r="F623" s="18"/>
    </row>
    <row r="624" spans="2:6" ht="13.5" customHeight="1" x14ac:dyDescent="0.2">
      <c r="B624" s="18"/>
      <c r="C624" s="82"/>
      <c r="D624" s="18"/>
      <c r="E624" s="18"/>
      <c r="F624" s="18"/>
    </row>
    <row r="625" spans="2:6" ht="13.5" customHeight="1" x14ac:dyDescent="0.2">
      <c r="B625" s="18"/>
      <c r="C625" s="82"/>
      <c r="D625" s="18"/>
      <c r="E625" s="18"/>
      <c r="F625" s="18"/>
    </row>
    <row r="626" spans="2:6" ht="13.5" customHeight="1" x14ac:dyDescent="0.2">
      <c r="B626" s="18"/>
      <c r="C626" s="82"/>
      <c r="D626" s="18"/>
      <c r="E626" s="18"/>
      <c r="F626" s="18"/>
    </row>
    <row r="627" spans="2:6" ht="13.5" customHeight="1" x14ac:dyDescent="0.2">
      <c r="B627" s="18"/>
      <c r="C627" s="82"/>
      <c r="D627" s="18"/>
      <c r="E627" s="18"/>
      <c r="F627" s="18"/>
    </row>
    <row r="628" spans="2:6" ht="13.5" customHeight="1" x14ac:dyDescent="0.2">
      <c r="B628" s="18"/>
      <c r="C628" s="82"/>
      <c r="D628" s="18"/>
      <c r="E628" s="18"/>
      <c r="F628" s="18"/>
    </row>
    <row r="629" spans="2:6" ht="13.5" customHeight="1" x14ac:dyDescent="0.2">
      <c r="B629" s="18"/>
      <c r="C629" s="82"/>
      <c r="D629" s="18"/>
      <c r="E629" s="18"/>
      <c r="F629" s="18"/>
    </row>
    <row r="630" spans="2:6" ht="13.5" customHeight="1" x14ac:dyDescent="0.2">
      <c r="B630" s="18"/>
      <c r="C630" s="82"/>
      <c r="D630" s="18"/>
      <c r="E630" s="18"/>
      <c r="F630" s="18"/>
    </row>
    <row r="631" spans="2:6" ht="13.5" customHeight="1" x14ac:dyDescent="0.2">
      <c r="B631" s="18"/>
      <c r="C631" s="82"/>
      <c r="D631" s="18"/>
      <c r="E631" s="18"/>
      <c r="F631" s="18"/>
    </row>
    <row r="632" spans="2:6" ht="13.5" customHeight="1" x14ac:dyDescent="0.2">
      <c r="B632" s="18"/>
      <c r="C632" s="82"/>
      <c r="D632" s="18"/>
      <c r="E632" s="18"/>
      <c r="F632" s="18"/>
    </row>
    <row r="633" spans="2:6" ht="13.5" customHeight="1" x14ac:dyDescent="0.2">
      <c r="B633" s="18"/>
      <c r="C633" s="82"/>
      <c r="D633" s="18"/>
      <c r="E633" s="18"/>
      <c r="F633" s="18"/>
    </row>
    <row r="634" spans="2:6" ht="13.5" customHeight="1" x14ac:dyDescent="0.2">
      <c r="B634" s="18"/>
      <c r="C634" s="82"/>
      <c r="D634" s="18"/>
      <c r="E634" s="18"/>
      <c r="F634" s="18"/>
    </row>
    <row r="635" spans="2:6" ht="13.5" customHeight="1" x14ac:dyDescent="0.2">
      <c r="B635" s="18"/>
      <c r="C635" s="82"/>
      <c r="D635" s="18"/>
      <c r="E635" s="18"/>
      <c r="F635" s="18"/>
    </row>
    <row r="636" spans="2:6" ht="13.5" customHeight="1" x14ac:dyDescent="0.2">
      <c r="B636" s="18"/>
      <c r="C636" s="82"/>
      <c r="D636" s="18"/>
      <c r="E636" s="18"/>
      <c r="F636" s="18"/>
    </row>
    <row r="637" spans="2:6" ht="13.5" customHeight="1" x14ac:dyDescent="0.2">
      <c r="B637" s="18"/>
      <c r="C637" s="82"/>
      <c r="D637" s="18"/>
      <c r="E637" s="18"/>
      <c r="F637" s="18"/>
    </row>
    <row r="638" spans="2:6" ht="13.5" customHeight="1" x14ac:dyDescent="0.2">
      <c r="B638" s="18"/>
      <c r="C638" s="82"/>
      <c r="D638" s="18"/>
      <c r="E638" s="18"/>
      <c r="F638" s="18"/>
    </row>
    <row r="639" spans="2:6" ht="13.5" customHeight="1" x14ac:dyDescent="0.2">
      <c r="B639" s="18"/>
      <c r="C639" s="82"/>
      <c r="D639" s="18"/>
      <c r="E639" s="18"/>
      <c r="F639" s="18"/>
    </row>
    <row r="640" spans="2:6" ht="13.5" customHeight="1" x14ac:dyDescent="0.2">
      <c r="B640" s="18"/>
      <c r="C640" s="82"/>
      <c r="D640" s="18"/>
      <c r="E640" s="18"/>
      <c r="F640" s="18"/>
    </row>
    <row r="641" spans="2:6" ht="13.5" customHeight="1" x14ac:dyDescent="0.2">
      <c r="B641" s="18"/>
      <c r="C641" s="82"/>
      <c r="D641" s="18"/>
      <c r="E641" s="18"/>
      <c r="F641" s="18"/>
    </row>
    <row r="642" spans="2:6" ht="13.5" customHeight="1" x14ac:dyDescent="0.2">
      <c r="B642" s="18"/>
      <c r="C642" s="82"/>
      <c r="D642" s="18"/>
      <c r="E642" s="18"/>
      <c r="F642" s="18"/>
    </row>
    <row r="643" spans="2:6" ht="13.5" customHeight="1" x14ac:dyDescent="0.2">
      <c r="B643" s="18"/>
      <c r="C643" s="82"/>
      <c r="D643" s="18"/>
      <c r="E643" s="18"/>
      <c r="F643" s="18"/>
    </row>
    <row r="644" spans="2:6" ht="13.5" customHeight="1" x14ac:dyDescent="0.2">
      <c r="B644" s="18"/>
      <c r="C644" s="82"/>
      <c r="D644" s="18"/>
      <c r="E644" s="18"/>
      <c r="F644" s="18"/>
    </row>
    <row r="645" spans="2:6" ht="13.5" customHeight="1" x14ac:dyDescent="0.2">
      <c r="B645" s="18"/>
      <c r="C645" s="82"/>
      <c r="D645" s="18"/>
      <c r="E645" s="18"/>
      <c r="F645" s="18"/>
    </row>
    <row r="646" spans="2:6" ht="13.5" customHeight="1" x14ac:dyDescent="0.2">
      <c r="B646" s="18"/>
      <c r="C646" s="82"/>
      <c r="D646" s="18"/>
      <c r="E646" s="18"/>
      <c r="F646" s="18"/>
    </row>
    <row r="647" spans="2:6" ht="13.5" customHeight="1" x14ac:dyDescent="0.2">
      <c r="B647" s="18"/>
      <c r="C647" s="82"/>
      <c r="D647" s="18"/>
      <c r="E647" s="18"/>
      <c r="F647" s="18"/>
    </row>
    <row r="648" spans="2:6" ht="13.5" customHeight="1" x14ac:dyDescent="0.2">
      <c r="B648" s="18"/>
      <c r="C648" s="82"/>
      <c r="D648" s="18"/>
      <c r="E648" s="18"/>
      <c r="F648" s="18"/>
    </row>
    <row r="649" spans="2:6" ht="13.5" customHeight="1" x14ac:dyDescent="0.2">
      <c r="B649" s="18"/>
      <c r="C649" s="82"/>
      <c r="D649" s="18"/>
      <c r="E649" s="18"/>
      <c r="F649" s="18"/>
    </row>
    <row r="650" spans="2:6" ht="13.5" customHeight="1" x14ac:dyDescent="0.2">
      <c r="B650" s="18"/>
      <c r="C650" s="82"/>
      <c r="D650" s="18"/>
      <c r="E650" s="18"/>
      <c r="F650" s="18"/>
    </row>
    <row r="651" spans="2:6" ht="13.5" customHeight="1" x14ac:dyDescent="0.2">
      <c r="B651" s="18"/>
      <c r="C651" s="82"/>
      <c r="D651" s="18"/>
      <c r="E651" s="18"/>
      <c r="F651" s="18"/>
    </row>
    <row r="652" spans="2:6" ht="13.5" customHeight="1" x14ac:dyDescent="0.2">
      <c r="B652" s="18"/>
      <c r="C652" s="82"/>
      <c r="D652" s="18"/>
      <c r="E652" s="18"/>
      <c r="F652" s="18"/>
    </row>
    <row r="653" spans="2:6" ht="13.5" customHeight="1" x14ac:dyDescent="0.2">
      <c r="B653" s="18"/>
      <c r="C653" s="82"/>
      <c r="D653" s="18"/>
      <c r="E653" s="18"/>
      <c r="F653" s="18"/>
    </row>
    <row r="654" spans="2:6" ht="13.5" customHeight="1" x14ac:dyDescent="0.2">
      <c r="B654" s="18"/>
      <c r="C654" s="82"/>
      <c r="D654" s="18"/>
      <c r="E654" s="18"/>
      <c r="F654" s="18"/>
    </row>
    <row r="655" spans="2:6" ht="13.5" customHeight="1" x14ac:dyDescent="0.2">
      <c r="B655" s="18"/>
      <c r="C655" s="82"/>
      <c r="D655" s="18"/>
      <c r="E655" s="18"/>
      <c r="F655" s="18"/>
    </row>
    <row r="656" spans="2:6" ht="13.5" customHeight="1" x14ac:dyDescent="0.2">
      <c r="B656" s="18"/>
      <c r="C656" s="82"/>
      <c r="D656" s="18"/>
      <c r="E656" s="18"/>
      <c r="F656" s="18"/>
    </row>
    <row r="657" spans="2:6" ht="13.5" customHeight="1" x14ac:dyDescent="0.2">
      <c r="B657" s="18"/>
      <c r="C657" s="82"/>
      <c r="D657" s="18"/>
      <c r="E657" s="18"/>
      <c r="F657" s="18"/>
    </row>
    <row r="658" spans="2:6" ht="13.5" customHeight="1" x14ac:dyDescent="0.2">
      <c r="B658" s="18"/>
      <c r="C658" s="82"/>
      <c r="D658" s="18"/>
      <c r="E658" s="18"/>
      <c r="F658" s="18"/>
    </row>
    <row r="659" spans="2:6" ht="13.5" customHeight="1" x14ac:dyDescent="0.2">
      <c r="B659" s="18"/>
      <c r="C659" s="82"/>
      <c r="D659" s="18"/>
      <c r="E659" s="18"/>
      <c r="F659" s="18"/>
    </row>
    <row r="660" spans="2:6" ht="13.5" customHeight="1" x14ac:dyDescent="0.2">
      <c r="B660" s="18"/>
      <c r="C660" s="82"/>
      <c r="D660" s="18"/>
      <c r="E660" s="18"/>
      <c r="F660" s="18"/>
    </row>
    <row r="661" spans="2:6" ht="13.5" customHeight="1" x14ac:dyDescent="0.2">
      <c r="B661" s="18"/>
      <c r="C661" s="82"/>
      <c r="D661" s="18"/>
      <c r="E661" s="18"/>
      <c r="F661" s="18"/>
    </row>
    <row r="662" spans="2:6" ht="13.5" customHeight="1" x14ac:dyDescent="0.2">
      <c r="B662" s="18"/>
      <c r="C662" s="82"/>
      <c r="D662" s="18"/>
      <c r="E662" s="18"/>
      <c r="F662" s="18"/>
    </row>
    <row r="663" spans="2:6" ht="13.5" customHeight="1" x14ac:dyDescent="0.2">
      <c r="B663" s="18"/>
      <c r="C663" s="82"/>
      <c r="D663" s="18"/>
      <c r="E663" s="18"/>
      <c r="F663" s="18"/>
    </row>
    <row r="664" spans="2:6" ht="13.5" customHeight="1" x14ac:dyDescent="0.2">
      <c r="B664" s="18"/>
      <c r="C664" s="82"/>
      <c r="D664" s="18"/>
      <c r="E664" s="18"/>
      <c r="F664" s="18"/>
    </row>
    <row r="665" spans="2:6" ht="13.5" customHeight="1" x14ac:dyDescent="0.2">
      <c r="B665" s="18"/>
      <c r="C665" s="82"/>
      <c r="D665" s="18"/>
      <c r="E665" s="18"/>
      <c r="F665" s="18"/>
    </row>
    <row r="666" spans="2:6" ht="13.5" customHeight="1" x14ac:dyDescent="0.2">
      <c r="B666" s="18"/>
      <c r="C666" s="82"/>
      <c r="D666" s="18"/>
      <c r="E666" s="18"/>
      <c r="F666" s="18"/>
    </row>
    <row r="667" spans="2:6" ht="13.5" customHeight="1" x14ac:dyDescent="0.2">
      <c r="B667" s="18"/>
      <c r="C667" s="82"/>
      <c r="D667" s="18"/>
      <c r="E667" s="18"/>
      <c r="F667" s="18"/>
    </row>
    <row r="668" spans="2:6" ht="13.5" customHeight="1" x14ac:dyDescent="0.2">
      <c r="B668" s="18"/>
      <c r="C668" s="82"/>
      <c r="D668" s="18"/>
      <c r="E668" s="18"/>
      <c r="F668" s="18"/>
    </row>
    <row r="669" spans="2:6" ht="13.5" customHeight="1" x14ac:dyDescent="0.2">
      <c r="B669" s="18"/>
      <c r="C669" s="82"/>
      <c r="D669" s="18"/>
      <c r="E669" s="18"/>
      <c r="F669" s="18"/>
    </row>
    <row r="670" spans="2:6" ht="13.5" customHeight="1" x14ac:dyDescent="0.2">
      <c r="B670" s="18"/>
      <c r="C670" s="82"/>
      <c r="D670" s="18"/>
      <c r="E670" s="18"/>
      <c r="F670" s="18"/>
    </row>
    <row r="671" spans="2:6" ht="13.5" customHeight="1" x14ac:dyDescent="0.2">
      <c r="B671" s="18"/>
      <c r="C671" s="82"/>
      <c r="D671" s="18"/>
      <c r="E671" s="18"/>
      <c r="F671" s="18"/>
    </row>
    <row r="672" spans="2:6" ht="13.5" customHeight="1" x14ac:dyDescent="0.2">
      <c r="B672" s="18"/>
      <c r="C672" s="82"/>
      <c r="D672" s="18"/>
      <c r="E672" s="18"/>
      <c r="F672" s="18"/>
    </row>
    <row r="673" spans="2:6" ht="13.5" customHeight="1" x14ac:dyDescent="0.2">
      <c r="B673" s="18"/>
      <c r="C673" s="82"/>
      <c r="D673" s="18"/>
      <c r="E673" s="18"/>
      <c r="F673" s="18"/>
    </row>
    <row r="674" spans="2:6" ht="13.5" customHeight="1" x14ac:dyDescent="0.2">
      <c r="B674" s="18"/>
      <c r="C674" s="82"/>
      <c r="D674" s="18"/>
      <c r="E674" s="18"/>
      <c r="F674" s="18"/>
    </row>
    <row r="675" spans="2:6" ht="13.5" customHeight="1" x14ac:dyDescent="0.2">
      <c r="B675" s="18"/>
      <c r="C675" s="82"/>
      <c r="D675" s="18"/>
      <c r="E675" s="18"/>
      <c r="F675" s="18"/>
    </row>
    <row r="676" spans="2:6" ht="13.5" customHeight="1" x14ac:dyDescent="0.2">
      <c r="B676" s="18"/>
      <c r="C676" s="82"/>
      <c r="D676" s="18"/>
      <c r="E676" s="18"/>
      <c r="F676" s="18"/>
    </row>
    <row r="677" spans="2:6" ht="13.5" customHeight="1" x14ac:dyDescent="0.2">
      <c r="B677" s="18"/>
      <c r="C677" s="82"/>
      <c r="D677" s="18"/>
      <c r="E677" s="18"/>
      <c r="F677" s="18"/>
    </row>
    <row r="678" spans="2:6" ht="13.5" customHeight="1" x14ac:dyDescent="0.2">
      <c r="B678" s="18"/>
      <c r="C678" s="82"/>
      <c r="D678" s="18"/>
      <c r="E678" s="18"/>
      <c r="F678" s="18"/>
    </row>
    <row r="679" spans="2:6" ht="13.5" customHeight="1" x14ac:dyDescent="0.2">
      <c r="B679" s="18"/>
      <c r="C679" s="82"/>
      <c r="D679" s="18"/>
      <c r="E679" s="18"/>
      <c r="F679" s="18"/>
    </row>
    <row r="680" spans="2:6" ht="13.5" customHeight="1" x14ac:dyDescent="0.2">
      <c r="B680" s="18"/>
      <c r="C680" s="82"/>
      <c r="D680" s="18"/>
      <c r="E680" s="18"/>
      <c r="F680" s="18"/>
    </row>
    <row r="681" spans="2:6" ht="13.5" customHeight="1" x14ac:dyDescent="0.2">
      <c r="B681" s="18"/>
      <c r="C681" s="82"/>
      <c r="D681" s="18"/>
      <c r="E681" s="18"/>
      <c r="F681" s="18"/>
    </row>
    <row r="682" spans="2:6" ht="13.5" customHeight="1" x14ac:dyDescent="0.2">
      <c r="B682" s="18"/>
      <c r="C682" s="82"/>
      <c r="D682" s="18"/>
      <c r="E682" s="18"/>
      <c r="F682" s="18"/>
    </row>
    <row r="683" spans="2:6" ht="13.5" customHeight="1" x14ac:dyDescent="0.2">
      <c r="B683" s="18"/>
      <c r="C683" s="82"/>
      <c r="D683" s="18"/>
      <c r="E683" s="18"/>
      <c r="F683" s="18"/>
    </row>
    <row r="684" spans="2:6" ht="13.5" customHeight="1" x14ac:dyDescent="0.2">
      <c r="B684" s="18"/>
      <c r="C684" s="82"/>
      <c r="D684" s="18"/>
      <c r="E684" s="18"/>
      <c r="F684" s="18"/>
    </row>
    <row r="685" spans="2:6" ht="13.5" customHeight="1" x14ac:dyDescent="0.2">
      <c r="B685" s="18"/>
      <c r="C685" s="82"/>
      <c r="D685" s="18"/>
      <c r="E685" s="18"/>
      <c r="F685" s="18"/>
    </row>
    <row r="686" spans="2:6" ht="13.5" customHeight="1" x14ac:dyDescent="0.2">
      <c r="B686" s="18"/>
      <c r="C686" s="82"/>
      <c r="D686" s="18"/>
      <c r="E686" s="18"/>
      <c r="F686" s="18"/>
    </row>
    <row r="687" spans="2:6" ht="13.5" customHeight="1" x14ac:dyDescent="0.2">
      <c r="B687" s="18"/>
      <c r="C687" s="82"/>
      <c r="D687" s="18"/>
      <c r="E687" s="18"/>
      <c r="F687" s="18"/>
    </row>
    <row r="688" spans="2:6" ht="13.5" customHeight="1" x14ac:dyDescent="0.2">
      <c r="B688" s="18"/>
      <c r="C688" s="82"/>
      <c r="D688" s="18"/>
      <c r="E688" s="18"/>
      <c r="F688" s="18"/>
    </row>
    <row r="689" spans="2:6" ht="13.5" customHeight="1" x14ac:dyDescent="0.2">
      <c r="B689" s="18"/>
      <c r="C689" s="82"/>
      <c r="D689" s="18"/>
      <c r="E689" s="18"/>
      <c r="F689" s="18"/>
    </row>
    <row r="690" spans="2:6" ht="13.5" customHeight="1" x14ac:dyDescent="0.2">
      <c r="B690" s="18"/>
      <c r="C690" s="82"/>
      <c r="D690" s="18"/>
      <c r="E690" s="18"/>
      <c r="F690" s="18"/>
    </row>
    <row r="691" spans="2:6" ht="13.5" customHeight="1" x14ac:dyDescent="0.2">
      <c r="B691" s="18"/>
      <c r="C691" s="82"/>
      <c r="D691" s="18"/>
      <c r="E691" s="18"/>
      <c r="F691" s="18"/>
    </row>
    <row r="692" spans="2:6" ht="13.5" customHeight="1" x14ac:dyDescent="0.2">
      <c r="B692" s="18"/>
      <c r="C692" s="82"/>
      <c r="D692" s="18"/>
      <c r="E692" s="18"/>
      <c r="F692" s="18"/>
    </row>
    <row r="693" spans="2:6" ht="13.5" customHeight="1" x14ac:dyDescent="0.2">
      <c r="B693" s="18"/>
      <c r="C693" s="82"/>
      <c r="D693" s="18"/>
      <c r="E693" s="18"/>
      <c r="F693" s="18"/>
    </row>
    <row r="694" spans="2:6" ht="13.5" customHeight="1" x14ac:dyDescent="0.2">
      <c r="B694" s="18"/>
      <c r="C694" s="82"/>
      <c r="D694" s="18"/>
      <c r="E694" s="18"/>
      <c r="F694" s="18"/>
    </row>
    <row r="695" spans="2:6" ht="13.5" customHeight="1" x14ac:dyDescent="0.2">
      <c r="B695" s="18"/>
      <c r="C695" s="82"/>
      <c r="D695" s="18"/>
      <c r="E695" s="18"/>
      <c r="F695" s="18"/>
    </row>
    <row r="696" spans="2:6" ht="13.5" customHeight="1" x14ac:dyDescent="0.2">
      <c r="B696" s="18"/>
      <c r="C696" s="82"/>
      <c r="D696" s="18"/>
      <c r="E696" s="18"/>
      <c r="F696" s="18"/>
    </row>
    <row r="697" spans="2:6" ht="13.5" customHeight="1" x14ac:dyDescent="0.2">
      <c r="B697" s="18"/>
      <c r="C697" s="82"/>
      <c r="D697" s="18"/>
      <c r="E697" s="18"/>
      <c r="F697" s="18"/>
    </row>
    <row r="698" spans="2:6" ht="13.5" customHeight="1" x14ac:dyDescent="0.2">
      <c r="B698" s="18"/>
      <c r="C698" s="82"/>
      <c r="D698" s="18"/>
      <c r="E698" s="18"/>
      <c r="F698" s="18"/>
    </row>
    <row r="699" spans="2:6" ht="13.5" customHeight="1" x14ac:dyDescent="0.2">
      <c r="B699" s="18"/>
      <c r="C699" s="82"/>
      <c r="D699" s="18"/>
      <c r="E699" s="18"/>
      <c r="F699" s="18"/>
    </row>
    <row r="700" spans="2:6" ht="13.5" customHeight="1" x14ac:dyDescent="0.2">
      <c r="B700" s="18"/>
      <c r="C700" s="82"/>
      <c r="D700" s="18"/>
      <c r="E700" s="18"/>
      <c r="F700" s="18"/>
    </row>
    <row r="701" spans="2:6" ht="13.5" customHeight="1" x14ac:dyDescent="0.2">
      <c r="B701" s="18"/>
      <c r="C701" s="82"/>
      <c r="D701" s="18"/>
      <c r="E701" s="18"/>
      <c r="F701" s="18"/>
    </row>
    <row r="702" spans="2:6" ht="13.5" customHeight="1" x14ac:dyDescent="0.2">
      <c r="B702" s="18"/>
      <c r="C702" s="82"/>
      <c r="D702" s="18"/>
      <c r="E702" s="18"/>
      <c r="F702" s="18"/>
    </row>
    <row r="703" spans="2:6" ht="13.5" customHeight="1" x14ac:dyDescent="0.2">
      <c r="B703" s="18"/>
      <c r="C703" s="82"/>
      <c r="D703" s="18"/>
      <c r="E703" s="18"/>
      <c r="F703" s="18"/>
    </row>
    <row r="704" spans="2:6" ht="13.5" customHeight="1" x14ac:dyDescent="0.2">
      <c r="B704" s="18"/>
      <c r="C704" s="82"/>
      <c r="D704" s="18"/>
      <c r="E704" s="18"/>
      <c r="F704" s="18"/>
    </row>
    <row r="705" spans="2:6" ht="13.5" customHeight="1" x14ac:dyDescent="0.2">
      <c r="B705" s="18"/>
      <c r="C705" s="82"/>
      <c r="D705" s="18"/>
      <c r="E705" s="18"/>
      <c r="F705" s="18"/>
    </row>
    <row r="706" spans="2:6" ht="13.5" customHeight="1" x14ac:dyDescent="0.2">
      <c r="B706" s="18"/>
      <c r="C706" s="82"/>
      <c r="D706" s="18"/>
      <c r="E706" s="18"/>
      <c r="F706" s="18"/>
    </row>
    <row r="707" spans="2:6" ht="13.5" customHeight="1" x14ac:dyDescent="0.2">
      <c r="B707" s="18"/>
      <c r="C707" s="82"/>
      <c r="D707" s="18"/>
      <c r="E707" s="18"/>
      <c r="F707" s="18"/>
    </row>
    <row r="708" spans="2:6" ht="13.5" customHeight="1" x14ac:dyDescent="0.2">
      <c r="B708" s="18"/>
      <c r="C708" s="82"/>
      <c r="D708" s="18"/>
      <c r="E708" s="18"/>
      <c r="F708" s="18"/>
    </row>
    <row r="709" spans="2:6" ht="13.5" customHeight="1" x14ac:dyDescent="0.2">
      <c r="B709" s="18"/>
      <c r="C709" s="82"/>
      <c r="D709" s="18"/>
      <c r="E709" s="18"/>
      <c r="F709" s="18"/>
    </row>
    <row r="710" spans="2:6" ht="13.5" customHeight="1" x14ac:dyDescent="0.2">
      <c r="B710" s="18"/>
      <c r="C710" s="82"/>
      <c r="D710" s="18"/>
      <c r="E710" s="18"/>
      <c r="F710" s="18"/>
    </row>
    <row r="711" spans="2:6" ht="13.5" customHeight="1" x14ac:dyDescent="0.2">
      <c r="B711" s="18"/>
      <c r="C711" s="82"/>
      <c r="D711" s="18"/>
      <c r="E711" s="18"/>
      <c r="F711" s="18"/>
    </row>
    <row r="712" spans="2:6" ht="13.5" customHeight="1" x14ac:dyDescent="0.2">
      <c r="B712" s="18"/>
      <c r="C712" s="82"/>
      <c r="D712" s="18"/>
      <c r="E712" s="18"/>
      <c r="F712" s="18"/>
    </row>
    <row r="713" spans="2:6" ht="13.5" customHeight="1" x14ac:dyDescent="0.2">
      <c r="B713" s="18"/>
      <c r="C713" s="82"/>
      <c r="D713" s="18"/>
      <c r="E713" s="18"/>
      <c r="F713" s="18"/>
    </row>
    <row r="714" spans="2:6" ht="13.5" customHeight="1" x14ac:dyDescent="0.2">
      <c r="B714" s="18"/>
      <c r="C714" s="82"/>
      <c r="D714" s="18"/>
      <c r="E714" s="18"/>
      <c r="F714" s="18"/>
    </row>
    <row r="715" spans="2:6" ht="13.5" customHeight="1" x14ac:dyDescent="0.2">
      <c r="B715" s="18"/>
      <c r="C715" s="82"/>
      <c r="D715" s="18"/>
      <c r="E715" s="18"/>
      <c r="F715" s="18"/>
    </row>
    <row r="716" spans="2:6" ht="13.5" customHeight="1" x14ac:dyDescent="0.2">
      <c r="B716" s="18"/>
      <c r="C716" s="82"/>
      <c r="D716" s="18"/>
      <c r="E716" s="18"/>
      <c r="F716" s="18"/>
    </row>
    <row r="717" spans="2:6" ht="13.5" customHeight="1" x14ac:dyDescent="0.2">
      <c r="B717" s="18"/>
      <c r="C717" s="82"/>
      <c r="D717" s="18"/>
      <c r="E717" s="18"/>
      <c r="F717" s="18"/>
    </row>
    <row r="718" spans="2:6" ht="13.5" customHeight="1" x14ac:dyDescent="0.2">
      <c r="B718" s="18"/>
      <c r="C718" s="82"/>
      <c r="D718" s="18"/>
      <c r="E718" s="18"/>
      <c r="F718" s="18"/>
    </row>
    <row r="719" spans="2:6" ht="13.5" customHeight="1" x14ac:dyDescent="0.2">
      <c r="B719" s="18"/>
      <c r="C719" s="82"/>
      <c r="D719" s="18"/>
      <c r="E719" s="18"/>
      <c r="F719" s="18"/>
    </row>
    <row r="720" spans="2:6" ht="13.5" customHeight="1" x14ac:dyDescent="0.2">
      <c r="B720" s="18"/>
      <c r="C720" s="82"/>
      <c r="D720" s="18"/>
      <c r="E720" s="18"/>
      <c r="F720" s="18"/>
    </row>
    <row r="721" spans="2:6" ht="13.5" customHeight="1" x14ac:dyDescent="0.2">
      <c r="B721" s="18"/>
      <c r="C721" s="82"/>
      <c r="D721" s="18"/>
      <c r="E721" s="18"/>
      <c r="F721" s="18"/>
    </row>
    <row r="722" spans="2:6" ht="13.5" customHeight="1" x14ac:dyDescent="0.2">
      <c r="B722" s="18"/>
      <c r="C722" s="82"/>
      <c r="D722" s="18"/>
      <c r="E722" s="18"/>
      <c r="F722" s="18"/>
    </row>
    <row r="723" spans="2:6" ht="13.5" customHeight="1" x14ac:dyDescent="0.2">
      <c r="B723" s="18"/>
      <c r="C723" s="82"/>
      <c r="D723" s="18"/>
      <c r="E723" s="18"/>
      <c r="F723" s="18"/>
    </row>
    <row r="724" spans="2:6" ht="13.5" customHeight="1" x14ac:dyDescent="0.2">
      <c r="B724" s="18"/>
      <c r="C724" s="82"/>
      <c r="D724" s="18"/>
      <c r="E724" s="18"/>
      <c r="F724" s="18"/>
    </row>
    <row r="725" spans="2:6" ht="13.5" customHeight="1" x14ac:dyDescent="0.2">
      <c r="B725" s="18"/>
      <c r="C725" s="82"/>
      <c r="D725" s="18"/>
      <c r="E725" s="18"/>
      <c r="F725" s="18"/>
    </row>
    <row r="726" spans="2:6" ht="13.5" customHeight="1" x14ac:dyDescent="0.2">
      <c r="B726" s="18"/>
      <c r="C726" s="82"/>
      <c r="D726" s="18"/>
      <c r="E726" s="18"/>
      <c r="F726" s="18"/>
    </row>
    <row r="727" spans="2:6" ht="13.5" customHeight="1" x14ac:dyDescent="0.2">
      <c r="B727" s="18"/>
      <c r="C727" s="82"/>
      <c r="D727" s="18"/>
      <c r="E727" s="18"/>
      <c r="F727" s="18"/>
    </row>
    <row r="728" spans="2:6" ht="13.5" customHeight="1" x14ac:dyDescent="0.2">
      <c r="B728" s="18"/>
      <c r="C728" s="82"/>
      <c r="D728" s="18"/>
      <c r="E728" s="18"/>
      <c r="F728" s="18"/>
    </row>
    <row r="729" spans="2:6" ht="13.5" customHeight="1" x14ac:dyDescent="0.2">
      <c r="B729" s="18"/>
      <c r="C729" s="82"/>
      <c r="D729" s="18"/>
      <c r="E729" s="18"/>
      <c r="F729" s="18"/>
    </row>
    <row r="730" spans="2:6" ht="13.5" customHeight="1" x14ac:dyDescent="0.2">
      <c r="B730" s="18"/>
      <c r="C730" s="82"/>
      <c r="D730" s="18"/>
      <c r="E730" s="18"/>
      <c r="F730" s="18"/>
    </row>
    <row r="731" spans="2:6" ht="13.5" customHeight="1" x14ac:dyDescent="0.2">
      <c r="B731" s="18"/>
      <c r="C731" s="82"/>
      <c r="D731" s="18"/>
      <c r="E731" s="18"/>
      <c r="F731" s="18"/>
    </row>
    <row r="732" spans="2:6" ht="13.5" customHeight="1" x14ac:dyDescent="0.2">
      <c r="B732" s="18"/>
      <c r="C732" s="82"/>
      <c r="D732" s="18"/>
      <c r="E732" s="18"/>
      <c r="F732" s="18"/>
    </row>
    <row r="733" spans="2:6" ht="13.5" customHeight="1" x14ac:dyDescent="0.2">
      <c r="B733" s="18"/>
      <c r="C733" s="82"/>
      <c r="D733" s="18"/>
      <c r="E733" s="18"/>
      <c r="F733" s="18"/>
    </row>
    <row r="734" spans="2:6" ht="13.5" customHeight="1" x14ac:dyDescent="0.2">
      <c r="B734" s="18"/>
      <c r="C734" s="82"/>
      <c r="D734" s="18"/>
      <c r="E734" s="18"/>
      <c r="F734" s="18"/>
    </row>
    <row r="735" spans="2:6" ht="13.5" customHeight="1" x14ac:dyDescent="0.2">
      <c r="B735" s="18"/>
      <c r="C735" s="82"/>
      <c r="D735" s="18"/>
      <c r="E735" s="18"/>
      <c r="F735" s="18"/>
    </row>
    <row r="736" spans="2:6" ht="13.5" customHeight="1" x14ac:dyDescent="0.2">
      <c r="B736" s="18"/>
      <c r="C736" s="82"/>
      <c r="D736" s="18"/>
      <c r="E736" s="18"/>
      <c r="F736" s="18"/>
    </row>
    <row r="737" spans="2:6" ht="13.5" customHeight="1" x14ac:dyDescent="0.2">
      <c r="B737" s="18"/>
      <c r="C737" s="82"/>
      <c r="D737" s="18"/>
      <c r="E737" s="18"/>
      <c r="F737" s="18"/>
    </row>
    <row r="738" spans="2:6" ht="13.5" customHeight="1" x14ac:dyDescent="0.2">
      <c r="B738" s="18"/>
      <c r="C738" s="82"/>
      <c r="D738" s="18"/>
      <c r="E738" s="18"/>
      <c r="F738" s="18"/>
    </row>
    <row r="739" spans="2:6" ht="13.5" customHeight="1" x14ac:dyDescent="0.2">
      <c r="B739" s="18"/>
      <c r="C739" s="82"/>
      <c r="D739" s="18"/>
      <c r="E739" s="18"/>
      <c r="F739" s="18"/>
    </row>
    <row r="740" spans="2:6" ht="13.5" customHeight="1" x14ac:dyDescent="0.2">
      <c r="B740" s="18"/>
      <c r="C740" s="82"/>
      <c r="D740" s="18"/>
      <c r="E740" s="18"/>
      <c r="F740" s="18"/>
    </row>
    <row r="741" spans="2:6" ht="13.5" customHeight="1" x14ac:dyDescent="0.2">
      <c r="B741" s="18"/>
      <c r="C741" s="82"/>
      <c r="D741" s="18"/>
      <c r="E741" s="18"/>
      <c r="F741" s="18"/>
    </row>
    <row r="742" spans="2:6" ht="13.5" customHeight="1" x14ac:dyDescent="0.2">
      <c r="B742" s="18"/>
      <c r="C742" s="82"/>
      <c r="D742" s="18"/>
      <c r="E742" s="18"/>
      <c r="F742" s="18"/>
    </row>
    <row r="743" spans="2:6" ht="13.5" customHeight="1" x14ac:dyDescent="0.2">
      <c r="B743" s="18"/>
      <c r="C743" s="82"/>
      <c r="D743" s="18"/>
      <c r="E743" s="18"/>
      <c r="F743" s="18"/>
    </row>
    <row r="744" spans="2:6" ht="13.5" customHeight="1" x14ac:dyDescent="0.2">
      <c r="B744" s="18"/>
      <c r="C744" s="82"/>
      <c r="D744" s="18"/>
      <c r="E744" s="18"/>
      <c r="F744" s="18"/>
    </row>
    <row r="745" spans="2:6" ht="13.5" customHeight="1" x14ac:dyDescent="0.2">
      <c r="B745" s="18"/>
      <c r="C745" s="82"/>
      <c r="D745" s="18"/>
      <c r="E745" s="18"/>
      <c r="F745" s="18"/>
    </row>
    <row r="746" spans="2:6" ht="13.5" customHeight="1" x14ac:dyDescent="0.2">
      <c r="B746" s="18"/>
      <c r="C746" s="82"/>
      <c r="D746" s="18"/>
      <c r="E746" s="18"/>
      <c r="F746" s="18"/>
    </row>
    <row r="747" spans="2:6" ht="13.5" customHeight="1" x14ac:dyDescent="0.2">
      <c r="B747" s="18"/>
      <c r="C747" s="82"/>
      <c r="D747" s="18"/>
      <c r="E747" s="18"/>
      <c r="F747" s="18"/>
    </row>
    <row r="748" spans="2:6" ht="13.5" customHeight="1" x14ac:dyDescent="0.2">
      <c r="B748" s="18"/>
      <c r="C748" s="82"/>
      <c r="D748" s="18"/>
      <c r="E748" s="18"/>
      <c r="F748" s="18"/>
    </row>
    <row r="749" spans="2:6" ht="13.5" customHeight="1" x14ac:dyDescent="0.2">
      <c r="B749" s="18"/>
      <c r="C749" s="82"/>
      <c r="D749" s="18"/>
      <c r="E749" s="18"/>
      <c r="F749" s="18"/>
    </row>
    <row r="750" spans="2:6" ht="13.5" customHeight="1" x14ac:dyDescent="0.2">
      <c r="B750" s="18"/>
      <c r="C750" s="82"/>
      <c r="D750" s="18"/>
      <c r="E750" s="18"/>
      <c r="F750" s="18"/>
    </row>
    <row r="751" spans="2:6" ht="13.5" customHeight="1" x14ac:dyDescent="0.2">
      <c r="B751" s="18"/>
      <c r="C751" s="82"/>
      <c r="D751" s="18"/>
      <c r="E751" s="18"/>
      <c r="F751" s="18"/>
    </row>
    <row r="752" spans="2:6" ht="13.5" customHeight="1" x14ac:dyDescent="0.2">
      <c r="B752" s="18"/>
      <c r="C752" s="82"/>
      <c r="D752" s="18"/>
      <c r="E752" s="18"/>
      <c r="F752" s="18"/>
    </row>
    <row r="753" spans="2:6" ht="13.5" customHeight="1" x14ac:dyDescent="0.2">
      <c r="B753" s="18"/>
      <c r="C753" s="82"/>
      <c r="D753" s="18"/>
      <c r="E753" s="18"/>
      <c r="F753" s="18"/>
    </row>
    <row r="754" spans="2:6" ht="13.5" customHeight="1" x14ac:dyDescent="0.2">
      <c r="B754" s="18"/>
      <c r="C754" s="82"/>
      <c r="D754" s="18"/>
      <c r="E754" s="18"/>
      <c r="F754" s="18"/>
    </row>
    <row r="755" spans="2:6" ht="13.5" customHeight="1" x14ac:dyDescent="0.2">
      <c r="B755" s="18"/>
      <c r="C755" s="82"/>
      <c r="D755" s="18"/>
      <c r="E755" s="18"/>
      <c r="F755" s="18"/>
    </row>
    <row r="756" spans="2:6" ht="13.5" customHeight="1" x14ac:dyDescent="0.2">
      <c r="B756" s="18"/>
      <c r="C756" s="82"/>
      <c r="D756" s="18"/>
      <c r="E756" s="18"/>
      <c r="F756" s="18"/>
    </row>
    <row r="757" spans="2:6" ht="13.5" customHeight="1" x14ac:dyDescent="0.2">
      <c r="B757" s="18"/>
      <c r="C757" s="82"/>
      <c r="D757" s="18"/>
      <c r="E757" s="18"/>
      <c r="F757" s="18"/>
    </row>
    <row r="758" spans="2:6" ht="13.5" customHeight="1" x14ac:dyDescent="0.2">
      <c r="B758" s="18"/>
      <c r="C758" s="82"/>
      <c r="D758" s="18"/>
      <c r="E758" s="18"/>
      <c r="F758" s="18"/>
    </row>
    <row r="759" spans="2:6" ht="13.5" customHeight="1" x14ac:dyDescent="0.2">
      <c r="B759" s="18"/>
      <c r="C759" s="82"/>
      <c r="D759" s="18"/>
      <c r="E759" s="18"/>
      <c r="F759" s="18"/>
    </row>
    <row r="760" spans="2:6" ht="13.5" customHeight="1" x14ac:dyDescent="0.2">
      <c r="B760" s="18"/>
      <c r="C760" s="82"/>
      <c r="D760" s="18"/>
      <c r="E760" s="18"/>
      <c r="F760" s="18"/>
    </row>
    <row r="761" spans="2:6" ht="13.5" customHeight="1" x14ac:dyDescent="0.2">
      <c r="B761" s="18"/>
      <c r="C761" s="82"/>
      <c r="D761" s="18"/>
      <c r="E761" s="18"/>
      <c r="F761" s="18"/>
    </row>
    <row r="762" spans="2:6" ht="13.5" customHeight="1" x14ac:dyDescent="0.2">
      <c r="B762" s="18"/>
      <c r="C762" s="82"/>
      <c r="D762" s="18"/>
      <c r="E762" s="18"/>
      <c r="F762" s="18"/>
    </row>
    <row r="763" spans="2:6" ht="13.5" customHeight="1" x14ac:dyDescent="0.2">
      <c r="B763" s="18"/>
      <c r="C763" s="82"/>
      <c r="D763" s="18"/>
      <c r="E763" s="18"/>
      <c r="F763" s="18"/>
    </row>
    <row r="764" spans="2:6" ht="13.5" customHeight="1" x14ac:dyDescent="0.2">
      <c r="B764" s="18"/>
      <c r="C764" s="82"/>
      <c r="D764" s="18"/>
      <c r="E764" s="18"/>
      <c r="F764" s="18"/>
    </row>
    <row r="765" spans="2:6" ht="13.5" customHeight="1" x14ac:dyDescent="0.2">
      <c r="B765" s="18"/>
      <c r="C765" s="82"/>
      <c r="D765" s="18"/>
      <c r="E765" s="18"/>
      <c r="F765" s="18"/>
    </row>
    <row r="766" spans="2:6" ht="13.5" customHeight="1" x14ac:dyDescent="0.2">
      <c r="B766" s="18"/>
      <c r="C766" s="82"/>
      <c r="D766" s="18"/>
      <c r="E766" s="18"/>
      <c r="F766" s="18"/>
    </row>
    <row r="767" spans="2:6" ht="13.5" customHeight="1" x14ac:dyDescent="0.2">
      <c r="B767" s="18"/>
      <c r="C767" s="82"/>
      <c r="D767" s="18"/>
      <c r="E767" s="18"/>
      <c r="F767" s="18"/>
    </row>
    <row r="768" spans="2:6" ht="13.5" customHeight="1" x14ac:dyDescent="0.2">
      <c r="B768" s="18"/>
      <c r="C768" s="82"/>
      <c r="D768" s="18"/>
      <c r="E768" s="18"/>
      <c r="F768" s="18"/>
    </row>
    <row r="769" spans="2:6" ht="13.5" customHeight="1" x14ac:dyDescent="0.2">
      <c r="B769" s="18"/>
      <c r="C769" s="82"/>
      <c r="D769" s="18"/>
      <c r="E769" s="18"/>
      <c r="F769" s="18"/>
    </row>
    <row r="770" spans="2:6" ht="13.5" customHeight="1" x14ac:dyDescent="0.2">
      <c r="B770" s="18"/>
      <c r="C770" s="82"/>
      <c r="D770" s="18"/>
      <c r="E770" s="18"/>
      <c r="F770" s="18"/>
    </row>
    <row r="771" spans="2:6" ht="13.5" customHeight="1" x14ac:dyDescent="0.2">
      <c r="B771" s="18"/>
      <c r="C771" s="82"/>
      <c r="D771" s="18"/>
      <c r="E771" s="18"/>
      <c r="F771" s="18"/>
    </row>
    <row r="772" spans="2:6" ht="13.5" customHeight="1" x14ac:dyDescent="0.2">
      <c r="B772" s="18"/>
      <c r="C772" s="82"/>
      <c r="D772" s="18"/>
      <c r="E772" s="18"/>
      <c r="F772" s="18"/>
    </row>
    <row r="773" spans="2:6" ht="13.5" customHeight="1" x14ac:dyDescent="0.2">
      <c r="B773" s="18"/>
      <c r="C773" s="82"/>
      <c r="D773" s="18"/>
      <c r="E773" s="18"/>
      <c r="F773" s="18"/>
    </row>
    <row r="774" spans="2:6" ht="13.5" customHeight="1" x14ac:dyDescent="0.2">
      <c r="B774" s="18"/>
      <c r="C774" s="82"/>
      <c r="D774" s="18"/>
      <c r="E774" s="18"/>
      <c r="F774" s="18"/>
    </row>
    <row r="775" spans="2:6" ht="13.5" customHeight="1" x14ac:dyDescent="0.2">
      <c r="B775" s="18"/>
      <c r="C775" s="82"/>
      <c r="D775" s="18"/>
      <c r="E775" s="18"/>
      <c r="F775" s="18"/>
    </row>
    <row r="776" spans="2:6" ht="13.5" customHeight="1" x14ac:dyDescent="0.2">
      <c r="B776" s="18"/>
      <c r="C776" s="82"/>
      <c r="D776" s="18"/>
      <c r="E776" s="18"/>
      <c r="F776" s="18"/>
    </row>
    <row r="777" spans="2:6" ht="13.5" customHeight="1" x14ac:dyDescent="0.2">
      <c r="B777" s="18"/>
      <c r="C777" s="82"/>
      <c r="D777" s="18"/>
      <c r="E777" s="18"/>
      <c r="F777" s="18"/>
    </row>
    <row r="778" spans="2:6" ht="13.5" customHeight="1" x14ac:dyDescent="0.2">
      <c r="B778" s="18"/>
      <c r="C778" s="82"/>
      <c r="D778" s="18"/>
      <c r="E778" s="18"/>
      <c r="F778" s="18"/>
    </row>
    <row r="779" spans="2:6" ht="13.5" customHeight="1" x14ac:dyDescent="0.2">
      <c r="B779" s="18"/>
      <c r="C779" s="82"/>
      <c r="D779" s="18"/>
      <c r="E779" s="18"/>
      <c r="F779" s="18"/>
    </row>
    <row r="780" spans="2:6" ht="13.5" customHeight="1" x14ac:dyDescent="0.2">
      <c r="B780" s="18"/>
      <c r="C780" s="82"/>
      <c r="D780" s="18"/>
      <c r="E780" s="18"/>
      <c r="F780" s="18"/>
    </row>
    <row r="781" spans="2:6" ht="13.5" customHeight="1" x14ac:dyDescent="0.2">
      <c r="B781" s="18"/>
      <c r="C781" s="82"/>
      <c r="D781" s="18"/>
      <c r="E781" s="18"/>
      <c r="F781" s="18"/>
    </row>
    <row r="782" spans="2:6" ht="13.5" customHeight="1" x14ac:dyDescent="0.2">
      <c r="B782" s="18"/>
      <c r="C782" s="82"/>
      <c r="D782" s="18"/>
      <c r="E782" s="18"/>
      <c r="F782" s="18"/>
    </row>
    <row r="783" spans="2:6" ht="13.5" customHeight="1" x14ac:dyDescent="0.2">
      <c r="B783" s="18"/>
      <c r="C783" s="82"/>
      <c r="D783" s="18"/>
      <c r="E783" s="18"/>
      <c r="F783" s="18"/>
    </row>
    <row r="784" spans="2:6" ht="13.5" customHeight="1" x14ac:dyDescent="0.2">
      <c r="B784" s="18"/>
      <c r="C784" s="82"/>
      <c r="D784" s="18"/>
      <c r="E784" s="18"/>
      <c r="F784" s="18"/>
    </row>
    <row r="785" spans="2:6" ht="13.5" customHeight="1" x14ac:dyDescent="0.2">
      <c r="B785" s="18"/>
      <c r="C785" s="82"/>
      <c r="D785" s="18"/>
      <c r="E785" s="18"/>
      <c r="F785" s="18"/>
    </row>
    <row r="786" spans="2:6" ht="13.5" customHeight="1" x14ac:dyDescent="0.2">
      <c r="B786" s="18"/>
      <c r="C786" s="82"/>
      <c r="D786" s="18"/>
      <c r="E786" s="18"/>
      <c r="F786" s="18"/>
    </row>
    <row r="787" spans="2:6" ht="13.5" customHeight="1" x14ac:dyDescent="0.2">
      <c r="B787" s="18"/>
      <c r="C787" s="82"/>
      <c r="D787" s="18"/>
      <c r="E787" s="18"/>
      <c r="F787" s="18"/>
    </row>
    <row r="788" spans="2:6" ht="13.5" customHeight="1" x14ac:dyDescent="0.2">
      <c r="B788" s="18"/>
      <c r="C788" s="82"/>
      <c r="D788" s="18"/>
      <c r="E788" s="18"/>
      <c r="F788" s="18"/>
    </row>
    <row r="789" spans="2:6" ht="13.5" customHeight="1" x14ac:dyDescent="0.2">
      <c r="B789" s="18"/>
      <c r="C789" s="82"/>
      <c r="D789" s="18"/>
      <c r="E789" s="18"/>
      <c r="F789" s="18"/>
    </row>
    <row r="790" spans="2:6" ht="13.5" customHeight="1" x14ac:dyDescent="0.2">
      <c r="B790" s="18"/>
      <c r="C790" s="82"/>
      <c r="D790" s="18"/>
      <c r="E790" s="18"/>
      <c r="F790" s="18"/>
    </row>
    <row r="791" spans="2:6" ht="13.5" customHeight="1" x14ac:dyDescent="0.2">
      <c r="B791" s="18"/>
      <c r="C791" s="82"/>
      <c r="D791" s="18"/>
      <c r="E791" s="18"/>
      <c r="F791" s="18"/>
    </row>
    <row r="792" spans="2:6" ht="13.5" customHeight="1" x14ac:dyDescent="0.2">
      <c r="B792" s="18"/>
      <c r="C792" s="82"/>
      <c r="D792" s="18"/>
      <c r="E792" s="18"/>
      <c r="F792" s="18"/>
    </row>
    <row r="793" spans="2:6" ht="13.5" customHeight="1" x14ac:dyDescent="0.2">
      <c r="B793" s="18"/>
      <c r="C793" s="82"/>
      <c r="D793" s="18"/>
      <c r="E793" s="18"/>
      <c r="F793" s="18"/>
    </row>
    <row r="794" spans="2:6" ht="13.5" customHeight="1" x14ac:dyDescent="0.2">
      <c r="B794" s="18"/>
      <c r="C794" s="82"/>
      <c r="D794" s="18"/>
      <c r="E794" s="18"/>
      <c r="F794" s="18"/>
    </row>
    <row r="795" spans="2:6" ht="13.5" customHeight="1" x14ac:dyDescent="0.2">
      <c r="B795" s="18"/>
      <c r="C795" s="82"/>
      <c r="D795" s="18"/>
      <c r="E795" s="18"/>
      <c r="F795" s="18"/>
    </row>
    <row r="796" spans="2:6" ht="13.5" customHeight="1" x14ac:dyDescent="0.2">
      <c r="B796" s="18"/>
      <c r="C796" s="82"/>
      <c r="D796" s="18"/>
      <c r="E796" s="18"/>
      <c r="F796" s="18"/>
    </row>
    <row r="797" spans="2:6" ht="13.5" customHeight="1" x14ac:dyDescent="0.2">
      <c r="B797" s="18"/>
      <c r="C797" s="82"/>
      <c r="D797" s="18"/>
      <c r="E797" s="18"/>
      <c r="F797" s="18"/>
    </row>
    <row r="798" spans="2:6" ht="13.5" customHeight="1" x14ac:dyDescent="0.2">
      <c r="B798" s="18"/>
      <c r="C798" s="82"/>
      <c r="D798" s="18"/>
      <c r="E798" s="18"/>
      <c r="F798" s="18"/>
    </row>
    <row r="799" spans="2:6" ht="13.5" customHeight="1" x14ac:dyDescent="0.2">
      <c r="B799" s="18"/>
      <c r="C799" s="82"/>
      <c r="D799" s="18"/>
      <c r="E799" s="18"/>
      <c r="F799" s="18"/>
    </row>
    <row r="800" spans="2:6" ht="13.5" customHeight="1" x14ac:dyDescent="0.2">
      <c r="B800" s="18"/>
      <c r="C800" s="82"/>
      <c r="D800" s="18"/>
      <c r="E800" s="18"/>
      <c r="F800" s="18"/>
    </row>
    <row r="801" spans="2:6" ht="13.5" customHeight="1" x14ac:dyDescent="0.2">
      <c r="B801" s="18"/>
      <c r="C801" s="82"/>
      <c r="D801" s="18"/>
      <c r="E801" s="18"/>
      <c r="F801" s="18"/>
    </row>
    <row r="802" spans="2:6" ht="13.5" customHeight="1" x14ac:dyDescent="0.2">
      <c r="B802" s="18"/>
      <c r="C802" s="82"/>
      <c r="D802" s="18"/>
      <c r="E802" s="18"/>
      <c r="F802" s="18"/>
    </row>
    <row r="803" spans="2:6" ht="13.5" customHeight="1" x14ac:dyDescent="0.2">
      <c r="B803" s="18"/>
      <c r="C803" s="82"/>
      <c r="D803" s="18"/>
      <c r="E803" s="18"/>
      <c r="F803" s="18"/>
    </row>
    <row r="804" spans="2:6" ht="13.5" customHeight="1" x14ac:dyDescent="0.2">
      <c r="B804" s="18"/>
      <c r="C804" s="82"/>
      <c r="D804" s="18"/>
      <c r="E804" s="18"/>
      <c r="F804" s="18"/>
    </row>
    <row r="805" spans="2:6" ht="13.5" customHeight="1" x14ac:dyDescent="0.2">
      <c r="B805" s="18"/>
      <c r="C805" s="82"/>
      <c r="D805" s="18"/>
      <c r="E805" s="18"/>
      <c r="F805" s="18"/>
    </row>
    <row r="806" spans="2:6" ht="13.5" customHeight="1" x14ac:dyDescent="0.2">
      <c r="B806" s="18"/>
      <c r="C806" s="82"/>
      <c r="D806" s="18"/>
      <c r="E806" s="18"/>
      <c r="F806" s="18"/>
    </row>
    <row r="807" spans="2:6" ht="13.5" customHeight="1" x14ac:dyDescent="0.2">
      <c r="B807" s="18"/>
      <c r="C807" s="82"/>
      <c r="D807" s="18"/>
      <c r="E807" s="18"/>
      <c r="F807" s="18"/>
    </row>
    <row r="808" spans="2:6" ht="13.5" customHeight="1" x14ac:dyDescent="0.2">
      <c r="B808" s="18"/>
      <c r="C808" s="82"/>
      <c r="D808" s="18"/>
      <c r="E808" s="18"/>
      <c r="F808" s="18"/>
    </row>
    <row r="809" spans="2:6" ht="13.5" customHeight="1" x14ac:dyDescent="0.2">
      <c r="B809" s="18"/>
      <c r="C809" s="82"/>
      <c r="D809" s="18"/>
      <c r="E809" s="18"/>
      <c r="F809" s="18"/>
    </row>
    <row r="810" spans="2:6" ht="13.5" customHeight="1" x14ac:dyDescent="0.2">
      <c r="B810" s="18"/>
      <c r="C810" s="82"/>
      <c r="D810" s="18"/>
      <c r="E810" s="18"/>
      <c r="F810" s="18"/>
    </row>
    <row r="811" spans="2:6" ht="13.5" customHeight="1" x14ac:dyDescent="0.2">
      <c r="B811" s="18"/>
      <c r="C811" s="82"/>
      <c r="D811" s="18"/>
      <c r="E811" s="18"/>
      <c r="F811" s="18"/>
    </row>
    <row r="812" spans="2:6" ht="13.5" customHeight="1" x14ac:dyDescent="0.2">
      <c r="B812" s="18"/>
      <c r="C812" s="82"/>
      <c r="D812" s="18"/>
      <c r="E812" s="18"/>
      <c r="F812" s="18"/>
    </row>
    <row r="813" spans="2:6" ht="13.5" customHeight="1" x14ac:dyDescent="0.2">
      <c r="B813" s="18"/>
      <c r="C813" s="82"/>
      <c r="D813" s="18"/>
      <c r="E813" s="18"/>
      <c r="F813" s="18"/>
    </row>
    <row r="814" spans="2:6" ht="13.5" customHeight="1" x14ac:dyDescent="0.2">
      <c r="B814" s="18"/>
      <c r="C814" s="82"/>
      <c r="D814" s="18"/>
      <c r="E814" s="18"/>
      <c r="F814" s="18"/>
    </row>
    <row r="815" spans="2:6" ht="13.5" customHeight="1" x14ac:dyDescent="0.2">
      <c r="B815" s="18"/>
      <c r="C815" s="82"/>
      <c r="D815" s="18"/>
      <c r="E815" s="18"/>
      <c r="F815" s="18"/>
    </row>
    <row r="816" spans="2:6" ht="13.5" customHeight="1" x14ac:dyDescent="0.2">
      <c r="B816" s="18"/>
      <c r="C816" s="82"/>
      <c r="D816" s="18"/>
      <c r="E816" s="18"/>
      <c r="F816" s="18"/>
    </row>
    <row r="817" spans="2:6" ht="13.5" customHeight="1" x14ac:dyDescent="0.2">
      <c r="B817" s="18"/>
      <c r="C817" s="82"/>
      <c r="D817" s="18"/>
      <c r="E817" s="18"/>
      <c r="F817" s="18"/>
    </row>
    <row r="818" spans="2:6" ht="13.5" customHeight="1" x14ac:dyDescent="0.2">
      <c r="B818" s="18"/>
      <c r="C818" s="82"/>
      <c r="D818" s="18"/>
      <c r="E818" s="18"/>
      <c r="F818" s="18"/>
    </row>
    <row r="819" spans="2:6" ht="13.5" customHeight="1" x14ac:dyDescent="0.2">
      <c r="B819" s="18"/>
      <c r="C819" s="82"/>
      <c r="D819" s="18"/>
      <c r="E819" s="18"/>
      <c r="F819" s="18"/>
    </row>
    <row r="820" spans="2:6" ht="13.5" customHeight="1" x14ac:dyDescent="0.2">
      <c r="B820" s="18"/>
      <c r="C820" s="82"/>
      <c r="D820" s="18"/>
      <c r="E820" s="18"/>
      <c r="F820" s="18"/>
    </row>
    <row r="821" spans="2:6" ht="13.5" customHeight="1" x14ac:dyDescent="0.2">
      <c r="B821" s="18"/>
      <c r="C821" s="82"/>
      <c r="D821" s="18"/>
      <c r="E821" s="18"/>
      <c r="F821" s="18"/>
    </row>
    <row r="822" spans="2:6" ht="13.5" customHeight="1" x14ac:dyDescent="0.2">
      <c r="B822" s="18"/>
      <c r="C822" s="82"/>
      <c r="D822" s="18"/>
      <c r="E822" s="18"/>
      <c r="F822" s="18"/>
    </row>
    <row r="823" spans="2:6" ht="13.5" customHeight="1" x14ac:dyDescent="0.2">
      <c r="B823" s="18"/>
      <c r="C823" s="82"/>
      <c r="D823" s="18"/>
      <c r="E823" s="18"/>
      <c r="F823" s="18"/>
    </row>
    <row r="824" spans="2:6" ht="13.5" customHeight="1" x14ac:dyDescent="0.2">
      <c r="B824" s="18"/>
      <c r="C824" s="82"/>
      <c r="D824" s="18"/>
      <c r="E824" s="18"/>
      <c r="F824" s="18"/>
    </row>
    <row r="825" spans="2:6" ht="13.5" customHeight="1" x14ac:dyDescent="0.2">
      <c r="B825" s="18"/>
      <c r="C825" s="82"/>
      <c r="D825" s="18"/>
      <c r="E825" s="18"/>
      <c r="F825" s="18"/>
    </row>
    <row r="826" spans="2:6" ht="13.5" customHeight="1" x14ac:dyDescent="0.2">
      <c r="B826" s="18"/>
      <c r="C826" s="82"/>
      <c r="D826" s="18"/>
      <c r="E826" s="18"/>
      <c r="F826" s="18"/>
    </row>
    <row r="827" spans="2:6" ht="13.5" customHeight="1" x14ac:dyDescent="0.2">
      <c r="B827" s="18"/>
      <c r="C827" s="82"/>
      <c r="D827" s="18"/>
      <c r="E827" s="18"/>
      <c r="F827" s="18"/>
    </row>
    <row r="828" spans="2:6" ht="13.5" customHeight="1" x14ac:dyDescent="0.2">
      <c r="B828" s="18"/>
      <c r="C828" s="82"/>
      <c r="D828" s="18"/>
      <c r="E828" s="18"/>
      <c r="F828" s="18"/>
    </row>
    <row r="829" spans="2:6" ht="13.5" customHeight="1" x14ac:dyDescent="0.2">
      <c r="B829" s="18"/>
      <c r="C829" s="82"/>
      <c r="D829" s="18"/>
      <c r="E829" s="18"/>
      <c r="F829" s="18"/>
    </row>
    <row r="830" spans="2:6" ht="13.5" customHeight="1" x14ac:dyDescent="0.2">
      <c r="B830" s="18"/>
      <c r="C830" s="82"/>
      <c r="D830" s="18"/>
      <c r="E830" s="18"/>
      <c r="F830" s="18"/>
    </row>
    <row r="831" spans="2:6" ht="13.5" customHeight="1" x14ac:dyDescent="0.2">
      <c r="B831" s="18"/>
      <c r="C831" s="82"/>
      <c r="D831" s="18"/>
      <c r="E831" s="18"/>
      <c r="F831" s="18"/>
    </row>
    <row r="832" spans="2:6" ht="13.5" customHeight="1" x14ac:dyDescent="0.2">
      <c r="B832" s="18"/>
      <c r="C832" s="82"/>
      <c r="D832" s="18"/>
      <c r="E832" s="18"/>
      <c r="F832" s="18"/>
    </row>
    <row r="833" spans="2:6" ht="13.5" customHeight="1" x14ac:dyDescent="0.2">
      <c r="B833" s="18"/>
      <c r="C833" s="82"/>
      <c r="D833" s="18"/>
      <c r="E833" s="18"/>
      <c r="F833" s="18"/>
    </row>
    <row r="834" spans="2:6" ht="13.5" customHeight="1" x14ac:dyDescent="0.2">
      <c r="B834" s="18"/>
      <c r="C834" s="82"/>
      <c r="D834" s="18"/>
      <c r="E834" s="18"/>
      <c r="F834" s="18"/>
    </row>
    <row r="835" spans="2:6" ht="13.5" customHeight="1" x14ac:dyDescent="0.2">
      <c r="B835" s="18"/>
      <c r="C835" s="82"/>
      <c r="D835" s="18"/>
      <c r="E835" s="18"/>
      <c r="F835" s="18"/>
    </row>
    <row r="836" spans="2:6" ht="13.5" customHeight="1" x14ac:dyDescent="0.2">
      <c r="B836" s="18"/>
      <c r="C836" s="82"/>
      <c r="D836" s="18"/>
      <c r="E836" s="18"/>
      <c r="F836" s="18"/>
    </row>
    <row r="837" spans="2:6" ht="13.5" customHeight="1" x14ac:dyDescent="0.2">
      <c r="B837" s="18"/>
      <c r="C837" s="82"/>
      <c r="D837" s="18"/>
      <c r="E837" s="18"/>
      <c r="F837" s="18"/>
    </row>
    <row r="838" spans="2:6" ht="13.5" customHeight="1" x14ac:dyDescent="0.2">
      <c r="B838" s="18"/>
      <c r="C838" s="82"/>
      <c r="D838" s="18"/>
      <c r="E838" s="18"/>
      <c r="F838" s="18"/>
    </row>
    <row r="839" spans="2:6" ht="13.5" customHeight="1" x14ac:dyDescent="0.2">
      <c r="B839" s="18"/>
      <c r="C839" s="82"/>
      <c r="D839" s="18"/>
      <c r="E839" s="18"/>
      <c r="F839" s="18"/>
    </row>
    <row r="840" spans="2:6" ht="13.5" customHeight="1" x14ac:dyDescent="0.2">
      <c r="B840" s="18"/>
      <c r="C840" s="82"/>
      <c r="D840" s="18"/>
      <c r="E840" s="18"/>
      <c r="F840" s="18"/>
    </row>
    <row r="841" spans="2:6" ht="13.5" customHeight="1" x14ac:dyDescent="0.2">
      <c r="B841" s="18"/>
      <c r="C841" s="82"/>
      <c r="D841" s="18"/>
      <c r="E841" s="18"/>
      <c r="F841" s="18"/>
    </row>
    <row r="842" spans="2:6" ht="13.5" customHeight="1" x14ac:dyDescent="0.2">
      <c r="B842" s="18"/>
      <c r="C842" s="82"/>
      <c r="D842" s="18"/>
      <c r="E842" s="18"/>
      <c r="F842" s="18"/>
    </row>
    <row r="843" spans="2:6" ht="13.5" customHeight="1" x14ac:dyDescent="0.2">
      <c r="B843" s="18"/>
      <c r="C843" s="82"/>
      <c r="D843" s="18"/>
      <c r="E843" s="18"/>
      <c r="F843" s="18"/>
    </row>
    <row r="844" spans="2:6" ht="13.5" customHeight="1" x14ac:dyDescent="0.2">
      <c r="B844" s="18"/>
      <c r="C844" s="82"/>
      <c r="D844" s="18"/>
      <c r="E844" s="18"/>
      <c r="F844" s="18"/>
    </row>
    <row r="845" spans="2:6" ht="13.5" customHeight="1" x14ac:dyDescent="0.2">
      <c r="B845" s="18"/>
      <c r="C845" s="82"/>
      <c r="D845" s="18"/>
      <c r="E845" s="18"/>
      <c r="F845" s="18"/>
    </row>
    <row r="846" spans="2:6" ht="13.5" customHeight="1" x14ac:dyDescent="0.2">
      <c r="B846" s="18"/>
      <c r="C846" s="82"/>
      <c r="D846" s="18"/>
      <c r="E846" s="18"/>
      <c r="F846" s="18"/>
    </row>
    <row r="847" spans="2:6" ht="13.5" customHeight="1" x14ac:dyDescent="0.2">
      <c r="B847" s="18"/>
      <c r="C847" s="82"/>
      <c r="D847" s="18"/>
      <c r="E847" s="18"/>
      <c r="F847" s="18"/>
    </row>
    <row r="848" spans="2:6" ht="13.5" customHeight="1" x14ac:dyDescent="0.2">
      <c r="B848" s="18"/>
      <c r="C848" s="82"/>
      <c r="D848" s="18"/>
      <c r="E848" s="18"/>
      <c r="F848" s="18"/>
    </row>
    <row r="849" spans="2:6" ht="13.5" customHeight="1" x14ac:dyDescent="0.2">
      <c r="B849" s="18"/>
      <c r="C849" s="82"/>
      <c r="D849" s="18"/>
      <c r="E849" s="18"/>
      <c r="F849" s="18"/>
    </row>
    <row r="850" spans="2:6" ht="13.5" customHeight="1" x14ac:dyDescent="0.2">
      <c r="B850" s="18"/>
      <c r="C850" s="82"/>
      <c r="D850" s="18"/>
      <c r="E850" s="18"/>
      <c r="F850" s="18"/>
    </row>
    <row r="851" spans="2:6" ht="13.5" customHeight="1" x14ac:dyDescent="0.2">
      <c r="B851" s="18"/>
      <c r="C851" s="82"/>
      <c r="D851" s="18"/>
      <c r="E851" s="18"/>
      <c r="F851" s="18"/>
    </row>
    <row r="852" spans="2:6" ht="13.5" customHeight="1" x14ac:dyDescent="0.2">
      <c r="B852" s="18"/>
      <c r="C852" s="82"/>
      <c r="D852" s="18"/>
      <c r="E852" s="18"/>
      <c r="F852" s="18"/>
    </row>
    <row r="853" spans="2:6" ht="13.5" customHeight="1" x14ac:dyDescent="0.2">
      <c r="B853" s="18"/>
      <c r="C853" s="82"/>
      <c r="D853" s="18"/>
      <c r="E853" s="18"/>
      <c r="F853" s="18"/>
    </row>
    <row r="854" spans="2:6" ht="13.5" customHeight="1" x14ac:dyDescent="0.2">
      <c r="B854" s="18"/>
      <c r="C854" s="82"/>
      <c r="D854" s="18"/>
      <c r="E854" s="18"/>
      <c r="F854" s="18"/>
    </row>
    <row r="855" spans="2:6" ht="13.5" customHeight="1" x14ac:dyDescent="0.2">
      <c r="B855" s="18"/>
      <c r="C855" s="82"/>
      <c r="D855" s="18"/>
      <c r="E855" s="18"/>
      <c r="F855" s="18"/>
    </row>
    <row r="856" spans="2:6" ht="13.5" customHeight="1" x14ac:dyDescent="0.2">
      <c r="B856" s="18"/>
      <c r="C856" s="82"/>
      <c r="D856" s="18"/>
      <c r="E856" s="18"/>
      <c r="F856" s="18"/>
    </row>
    <row r="857" spans="2:6" ht="13.5" customHeight="1" x14ac:dyDescent="0.2">
      <c r="B857" s="18"/>
      <c r="C857" s="82"/>
      <c r="D857" s="18"/>
      <c r="E857" s="18"/>
      <c r="F857" s="18"/>
    </row>
    <row r="858" spans="2:6" ht="13.5" customHeight="1" x14ac:dyDescent="0.2">
      <c r="B858" s="18"/>
      <c r="C858" s="82"/>
      <c r="D858" s="18"/>
      <c r="E858" s="18"/>
      <c r="F858" s="18"/>
    </row>
    <row r="859" spans="2:6" ht="13.5" customHeight="1" x14ac:dyDescent="0.2">
      <c r="B859" s="18"/>
      <c r="C859" s="82"/>
      <c r="D859" s="18"/>
      <c r="E859" s="18"/>
      <c r="F859" s="18"/>
    </row>
    <row r="860" spans="2:6" ht="13.5" customHeight="1" x14ac:dyDescent="0.2">
      <c r="B860" s="18"/>
      <c r="C860" s="82"/>
      <c r="D860" s="18"/>
      <c r="E860" s="18"/>
      <c r="F860" s="18"/>
    </row>
    <row r="861" spans="2:6" ht="13.5" customHeight="1" x14ac:dyDescent="0.2">
      <c r="B861" s="18"/>
      <c r="C861" s="82"/>
      <c r="D861" s="18"/>
      <c r="E861" s="18"/>
      <c r="F861" s="18"/>
    </row>
    <row r="862" spans="2:6" ht="13.5" customHeight="1" x14ac:dyDescent="0.2">
      <c r="B862" s="18"/>
      <c r="C862" s="82"/>
      <c r="D862" s="18"/>
      <c r="E862" s="18"/>
      <c r="F862" s="18"/>
    </row>
    <row r="863" spans="2:6" ht="13.5" customHeight="1" x14ac:dyDescent="0.2">
      <c r="B863" s="18"/>
      <c r="C863" s="82"/>
      <c r="D863" s="18"/>
      <c r="E863" s="18"/>
      <c r="F863" s="18"/>
    </row>
    <row r="864" spans="2:6" ht="13.5" customHeight="1" x14ac:dyDescent="0.2">
      <c r="B864" s="18"/>
      <c r="C864" s="82"/>
      <c r="D864" s="18"/>
      <c r="E864" s="18"/>
      <c r="F864" s="18"/>
    </row>
    <row r="865" spans="2:6" ht="13.5" customHeight="1" x14ac:dyDescent="0.2">
      <c r="B865" s="18"/>
      <c r="C865" s="82"/>
      <c r="D865" s="18"/>
      <c r="E865" s="18"/>
      <c r="F865" s="18"/>
    </row>
    <row r="866" spans="2:6" ht="13.5" customHeight="1" x14ac:dyDescent="0.2">
      <c r="B866" s="18"/>
      <c r="C866" s="82"/>
      <c r="D866" s="18"/>
      <c r="E866" s="18"/>
      <c r="F866" s="18"/>
    </row>
    <row r="867" spans="2:6" ht="13.5" customHeight="1" x14ac:dyDescent="0.2">
      <c r="B867" s="18"/>
      <c r="C867" s="82"/>
      <c r="D867" s="18"/>
      <c r="E867" s="18"/>
      <c r="F867" s="18"/>
    </row>
    <row r="868" spans="2:6" ht="13.5" customHeight="1" x14ac:dyDescent="0.2">
      <c r="B868" s="18"/>
      <c r="C868" s="82"/>
      <c r="D868" s="18"/>
      <c r="E868" s="18"/>
      <c r="F868" s="18"/>
    </row>
    <row r="869" spans="2:6" ht="13.5" customHeight="1" x14ac:dyDescent="0.2">
      <c r="B869" s="18"/>
      <c r="C869" s="82"/>
      <c r="D869" s="18"/>
      <c r="E869" s="18"/>
      <c r="F869" s="18"/>
    </row>
    <row r="870" spans="2:6" ht="13.5" customHeight="1" x14ac:dyDescent="0.2">
      <c r="B870" s="18"/>
      <c r="C870" s="82"/>
      <c r="D870" s="18"/>
      <c r="E870" s="18"/>
      <c r="F870" s="18"/>
    </row>
    <row r="871" spans="2:6" ht="13.5" customHeight="1" x14ac:dyDescent="0.2">
      <c r="B871" s="18"/>
      <c r="C871" s="82"/>
      <c r="D871" s="18"/>
      <c r="E871" s="18"/>
      <c r="F871" s="18"/>
    </row>
    <row r="872" spans="2:6" ht="13.5" customHeight="1" x14ac:dyDescent="0.2">
      <c r="B872" s="18"/>
      <c r="C872" s="82"/>
      <c r="D872" s="18"/>
      <c r="E872" s="18"/>
      <c r="F872" s="18"/>
    </row>
    <row r="873" spans="2:6" ht="13.5" customHeight="1" x14ac:dyDescent="0.2">
      <c r="B873" s="18"/>
      <c r="C873" s="82"/>
      <c r="D873" s="18"/>
      <c r="E873" s="18"/>
      <c r="F873" s="18"/>
    </row>
    <row r="874" spans="2:6" ht="13.5" customHeight="1" x14ac:dyDescent="0.2">
      <c r="B874" s="18"/>
      <c r="C874" s="82"/>
      <c r="D874" s="18"/>
      <c r="E874" s="18"/>
      <c r="F874" s="18"/>
    </row>
    <row r="875" spans="2:6" ht="13.5" customHeight="1" x14ac:dyDescent="0.2">
      <c r="B875" s="18"/>
      <c r="C875" s="82"/>
      <c r="D875" s="18"/>
      <c r="E875" s="18"/>
      <c r="F875" s="18"/>
    </row>
    <row r="876" spans="2:6" ht="13.5" customHeight="1" x14ac:dyDescent="0.2">
      <c r="B876" s="18"/>
      <c r="C876" s="82"/>
      <c r="D876" s="18"/>
      <c r="E876" s="18"/>
      <c r="F876" s="18"/>
    </row>
    <row r="877" spans="2:6" ht="13.5" customHeight="1" x14ac:dyDescent="0.2">
      <c r="B877" s="18"/>
      <c r="C877" s="82"/>
      <c r="D877" s="18"/>
      <c r="E877" s="18"/>
      <c r="F877" s="18"/>
    </row>
    <row r="878" spans="2:6" ht="13.5" customHeight="1" x14ac:dyDescent="0.2">
      <c r="B878" s="18"/>
      <c r="C878" s="82"/>
      <c r="D878" s="18"/>
      <c r="E878" s="18"/>
      <c r="F878" s="18"/>
    </row>
    <row r="879" spans="2:6" ht="13.5" customHeight="1" x14ac:dyDescent="0.2">
      <c r="B879" s="18"/>
      <c r="C879" s="82"/>
      <c r="D879" s="18"/>
      <c r="E879" s="18"/>
      <c r="F879" s="18"/>
    </row>
    <row r="880" spans="2:6" ht="13.5" customHeight="1" x14ac:dyDescent="0.2">
      <c r="B880" s="18"/>
      <c r="C880" s="82"/>
      <c r="D880" s="18"/>
      <c r="E880" s="18"/>
      <c r="F880" s="18"/>
    </row>
    <row r="881" spans="2:6" ht="13.5" customHeight="1" x14ac:dyDescent="0.2">
      <c r="B881" s="18"/>
      <c r="C881" s="82"/>
      <c r="D881" s="18"/>
      <c r="E881" s="18"/>
      <c r="F881" s="18"/>
    </row>
    <row r="882" spans="2:6" ht="13.5" customHeight="1" x14ac:dyDescent="0.2">
      <c r="B882" s="18"/>
      <c r="C882" s="82"/>
      <c r="D882" s="18"/>
      <c r="E882" s="18"/>
      <c r="F882" s="18"/>
    </row>
    <row r="883" spans="2:6" ht="13.5" customHeight="1" x14ac:dyDescent="0.2">
      <c r="B883" s="18"/>
      <c r="C883" s="82"/>
      <c r="D883" s="18"/>
      <c r="E883" s="18"/>
      <c r="F883" s="18"/>
    </row>
    <row r="884" spans="2:6" ht="13.5" customHeight="1" x14ac:dyDescent="0.2">
      <c r="B884" s="18"/>
      <c r="C884" s="82"/>
      <c r="D884" s="18"/>
      <c r="E884" s="18"/>
      <c r="F884" s="18"/>
    </row>
    <row r="885" spans="2:6" ht="13.5" customHeight="1" x14ac:dyDescent="0.2">
      <c r="B885" s="18"/>
      <c r="C885" s="82"/>
      <c r="D885" s="18"/>
      <c r="E885" s="18"/>
      <c r="F885" s="18"/>
    </row>
    <row r="886" spans="2:6" ht="13.5" customHeight="1" x14ac:dyDescent="0.2">
      <c r="B886" s="18"/>
      <c r="C886" s="82"/>
      <c r="D886" s="18"/>
      <c r="E886" s="18"/>
      <c r="F886" s="18"/>
    </row>
    <row r="887" spans="2:6" ht="13.5" customHeight="1" x14ac:dyDescent="0.2">
      <c r="B887" s="18"/>
      <c r="C887" s="82"/>
      <c r="D887" s="18"/>
      <c r="E887" s="18"/>
      <c r="F887" s="18"/>
    </row>
    <row r="888" spans="2:6" ht="13.5" customHeight="1" x14ac:dyDescent="0.2">
      <c r="B888" s="18"/>
      <c r="C888" s="82"/>
      <c r="D888" s="18"/>
      <c r="E888" s="18"/>
      <c r="F888" s="18"/>
    </row>
    <row r="889" spans="2:6" ht="13.5" customHeight="1" x14ac:dyDescent="0.2">
      <c r="B889" s="18"/>
      <c r="C889" s="82"/>
      <c r="D889" s="18"/>
      <c r="E889" s="18"/>
      <c r="F889" s="18"/>
    </row>
    <row r="890" spans="2:6" ht="13.5" customHeight="1" x14ac:dyDescent="0.2">
      <c r="B890" s="18"/>
      <c r="C890" s="82"/>
      <c r="D890" s="18"/>
      <c r="E890" s="18"/>
      <c r="F890" s="18"/>
    </row>
    <row r="891" spans="2:6" ht="13.5" customHeight="1" x14ac:dyDescent="0.2">
      <c r="B891" s="18"/>
      <c r="C891" s="82"/>
      <c r="D891" s="18"/>
      <c r="E891" s="18"/>
      <c r="F891" s="18"/>
    </row>
    <row r="892" spans="2:6" ht="13.5" customHeight="1" x14ac:dyDescent="0.2">
      <c r="B892" s="18"/>
      <c r="C892" s="82"/>
      <c r="D892" s="18"/>
      <c r="E892" s="18"/>
      <c r="F892" s="18"/>
    </row>
    <row r="893" spans="2:6" ht="13.5" customHeight="1" x14ac:dyDescent="0.2">
      <c r="B893" s="18"/>
      <c r="C893" s="82"/>
      <c r="D893" s="18"/>
      <c r="E893" s="18"/>
      <c r="F893" s="18"/>
    </row>
    <row r="894" spans="2:6" ht="13.5" customHeight="1" x14ac:dyDescent="0.2">
      <c r="B894" s="18"/>
      <c r="C894" s="82"/>
      <c r="D894" s="18"/>
      <c r="E894" s="18"/>
      <c r="F894" s="18"/>
    </row>
    <row r="895" spans="2:6" ht="13.5" customHeight="1" x14ac:dyDescent="0.2">
      <c r="B895" s="18"/>
      <c r="C895" s="82"/>
      <c r="D895" s="18"/>
      <c r="E895" s="18"/>
      <c r="F895" s="18"/>
    </row>
    <row r="896" spans="2:6" ht="13.5" customHeight="1" x14ac:dyDescent="0.2">
      <c r="B896" s="18"/>
      <c r="C896" s="82"/>
      <c r="D896" s="18"/>
      <c r="E896" s="18"/>
      <c r="F896" s="18"/>
    </row>
    <row r="897" spans="2:6" ht="13.5" customHeight="1" x14ac:dyDescent="0.2">
      <c r="B897" s="18"/>
      <c r="C897" s="82"/>
      <c r="D897" s="18"/>
      <c r="E897" s="18"/>
      <c r="F897" s="18"/>
    </row>
    <row r="898" spans="2:6" ht="13.5" customHeight="1" x14ac:dyDescent="0.2">
      <c r="B898" s="18"/>
      <c r="C898" s="82"/>
      <c r="D898" s="18"/>
      <c r="E898" s="18"/>
      <c r="F898" s="18"/>
    </row>
    <row r="899" spans="2:6" ht="13.5" customHeight="1" x14ac:dyDescent="0.2">
      <c r="B899" s="18"/>
      <c r="C899" s="82"/>
      <c r="D899" s="18"/>
      <c r="E899" s="18"/>
      <c r="F899" s="18"/>
    </row>
    <row r="900" spans="2:6" ht="13.5" customHeight="1" x14ac:dyDescent="0.2">
      <c r="B900" s="18"/>
      <c r="C900" s="82"/>
      <c r="D900" s="18"/>
      <c r="E900" s="18"/>
      <c r="F900" s="18"/>
    </row>
    <row r="901" spans="2:6" ht="13.5" customHeight="1" x14ac:dyDescent="0.2">
      <c r="B901" s="18"/>
      <c r="C901" s="82"/>
      <c r="D901" s="18"/>
      <c r="E901" s="18"/>
      <c r="F901" s="18"/>
    </row>
    <row r="902" spans="2:6" ht="13.5" customHeight="1" x14ac:dyDescent="0.2">
      <c r="B902" s="18"/>
      <c r="C902" s="82"/>
      <c r="D902" s="18"/>
      <c r="E902" s="18"/>
      <c r="F902" s="18"/>
    </row>
    <row r="903" spans="2:6" ht="13.5" customHeight="1" x14ac:dyDescent="0.2">
      <c r="B903" s="18"/>
      <c r="C903" s="82"/>
      <c r="D903" s="18"/>
      <c r="E903" s="18"/>
      <c r="F903" s="18"/>
    </row>
    <row r="904" spans="2:6" ht="13.5" customHeight="1" x14ac:dyDescent="0.2">
      <c r="B904" s="18"/>
      <c r="C904" s="82"/>
      <c r="D904" s="18"/>
      <c r="E904" s="18"/>
      <c r="F904" s="18"/>
    </row>
    <row r="905" spans="2:6" ht="13.5" customHeight="1" x14ac:dyDescent="0.2">
      <c r="B905" s="18"/>
      <c r="C905" s="82"/>
      <c r="D905" s="18"/>
      <c r="E905" s="18"/>
      <c r="F905" s="18"/>
    </row>
    <row r="906" spans="2:6" ht="13.5" customHeight="1" x14ac:dyDescent="0.2">
      <c r="B906" s="18"/>
      <c r="C906" s="82"/>
      <c r="D906" s="18"/>
      <c r="E906" s="18"/>
      <c r="F906" s="18"/>
    </row>
    <row r="907" spans="2:6" ht="13.5" customHeight="1" x14ac:dyDescent="0.2">
      <c r="B907" s="18"/>
      <c r="C907" s="82"/>
      <c r="D907" s="18"/>
      <c r="E907" s="18"/>
      <c r="F907" s="18"/>
    </row>
    <row r="908" spans="2:6" ht="13.5" customHeight="1" x14ac:dyDescent="0.2">
      <c r="B908" s="18"/>
      <c r="C908" s="82"/>
      <c r="D908" s="18"/>
      <c r="E908" s="18"/>
      <c r="F908" s="18"/>
    </row>
    <row r="909" spans="2:6" ht="13.5" customHeight="1" x14ac:dyDescent="0.2">
      <c r="B909" s="18"/>
      <c r="C909" s="82"/>
      <c r="D909" s="18"/>
      <c r="E909" s="18"/>
      <c r="F909" s="18"/>
    </row>
    <row r="910" spans="2:6" ht="13.5" customHeight="1" x14ac:dyDescent="0.2">
      <c r="B910" s="18"/>
      <c r="C910" s="82"/>
      <c r="D910" s="18"/>
      <c r="E910" s="18"/>
      <c r="F910" s="18"/>
    </row>
    <row r="911" spans="2:6" ht="13.5" customHeight="1" x14ac:dyDescent="0.2">
      <c r="B911" s="18"/>
      <c r="C911" s="82"/>
      <c r="D911" s="18"/>
      <c r="E911" s="18"/>
      <c r="F911" s="18"/>
    </row>
    <row r="912" spans="2:6" ht="13.5" customHeight="1" x14ac:dyDescent="0.2">
      <c r="B912" s="18"/>
      <c r="C912" s="82"/>
      <c r="D912" s="18"/>
      <c r="E912" s="18"/>
      <c r="F912" s="18"/>
    </row>
    <row r="913" spans="2:6" ht="13.5" customHeight="1" x14ac:dyDescent="0.2">
      <c r="B913" s="18"/>
      <c r="C913" s="82"/>
      <c r="D913" s="18"/>
      <c r="E913" s="18"/>
      <c r="F913" s="18"/>
    </row>
    <row r="914" spans="2:6" ht="13.5" customHeight="1" x14ac:dyDescent="0.2">
      <c r="B914" s="18"/>
      <c r="C914" s="82"/>
      <c r="D914" s="18"/>
      <c r="E914" s="18"/>
      <c r="F914" s="18"/>
    </row>
    <row r="915" spans="2:6" ht="13.5" customHeight="1" x14ac:dyDescent="0.2">
      <c r="B915" s="18"/>
      <c r="C915" s="82"/>
      <c r="D915" s="18"/>
      <c r="E915" s="18"/>
      <c r="F915" s="18"/>
    </row>
    <row r="916" spans="2:6" ht="13.5" customHeight="1" x14ac:dyDescent="0.2">
      <c r="B916" s="18"/>
      <c r="C916" s="82"/>
      <c r="D916" s="18"/>
      <c r="E916" s="18"/>
      <c r="F916" s="18"/>
    </row>
    <row r="917" spans="2:6" ht="13.5" customHeight="1" x14ac:dyDescent="0.2">
      <c r="B917" s="18"/>
      <c r="C917" s="82"/>
      <c r="D917" s="18"/>
      <c r="E917" s="18"/>
      <c r="F917" s="18"/>
    </row>
    <row r="918" spans="2:6" ht="13.5" customHeight="1" x14ac:dyDescent="0.2">
      <c r="B918" s="18"/>
      <c r="C918" s="82"/>
      <c r="D918" s="18"/>
      <c r="E918" s="18"/>
      <c r="F918" s="18"/>
    </row>
    <row r="919" spans="2:6" ht="13.5" customHeight="1" x14ac:dyDescent="0.2">
      <c r="B919" s="18"/>
      <c r="C919" s="82"/>
      <c r="D919" s="18"/>
      <c r="E919" s="18"/>
      <c r="F919" s="18"/>
    </row>
    <row r="920" spans="2:6" ht="13.5" customHeight="1" x14ac:dyDescent="0.2">
      <c r="B920" s="18"/>
      <c r="C920" s="82"/>
      <c r="D920" s="18"/>
      <c r="E920" s="18"/>
      <c r="F920" s="18"/>
    </row>
    <row r="921" spans="2:6" ht="13.5" customHeight="1" x14ac:dyDescent="0.2">
      <c r="B921" s="18"/>
      <c r="C921" s="82"/>
      <c r="D921" s="18"/>
      <c r="E921" s="18"/>
      <c r="F921" s="18"/>
    </row>
    <row r="922" spans="2:6" ht="13.5" customHeight="1" x14ac:dyDescent="0.2">
      <c r="B922" s="18"/>
      <c r="C922" s="82"/>
      <c r="D922" s="18"/>
      <c r="E922" s="18"/>
      <c r="F922" s="18"/>
    </row>
    <row r="923" spans="2:6" ht="13.5" customHeight="1" x14ac:dyDescent="0.2">
      <c r="B923" s="18"/>
      <c r="C923" s="82"/>
      <c r="D923" s="18"/>
      <c r="E923" s="18"/>
      <c r="F923" s="18"/>
    </row>
    <row r="924" spans="2:6" ht="13.5" customHeight="1" x14ac:dyDescent="0.2">
      <c r="B924" s="18"/>
      <c r="C924" s="82"/>
      <c r="D924" s="18"/>
      <c r="E924" s="18"/>
      <c r="F924" s="18"/>
    </row>
    <row r="925" spans="2:6" ht="13.5" customHeight="1" x14ac:dyDescent="0.2">
      <c r="B925" s="18"/>
      <c r="C925" s="82"/>
      <c r="D925" s="18"/>
      <c r="E925" s="18"/>
      <c r="F925" s="18"/>
    </row>
    <row r="926" spans="2:6" ht="13.5" customHeight="1" x14ac:dyDescent="0.2">
      <c r="B926" s="18"/>
      <c r="C926" s="82"/>
      <c r="D926" s="18"/>
      <c r="E926" s="18"/>
      <c r="F926" s="18"/>
    </row>
    <row r="927" spans="2:6" ht="13.5" customHeight="1" x14ac:dyDescent="0.2">
      <c r="B927" s="18"/>
      <c r="C927" s="82"/>
      <c r="D927" s="18"/>
      <c r="E927" s="18"/>
      <c r="F927" s="18"/>
    </row>
    <row r="928" spans="2:6" ht="13.5" customHeight="1" x14ac:dyDescent="0.2">
      <c r="B928" s="18"/>
      <c r="C928" s="82"/>
      <c r="D928" s="18"/>
      <c r="E928" s="18"/>
      <c r="F928" s="18"/>
    </row>
    <row r="929" spans="2:6" ht="13.5" customHeight="1" x14ac:dyDescent="0.2">
      <c r="B929" s="18"/>
      <c r="C929" s="82"/>
      <c r="D929" s="18"/>
      <c r="E929" s="18"/>
      <c r="F929" s="18"/>
    </row>
    <row r="930" spans="2:6" ht="13.5" customHeight="1" x14ac:dyDescent="0.2">
      <c r="B930" s="18"/>
      <c r="C930" s="82"/>
      <c r="D930" s="18"/>
      <c r="E930" s="18"/>
      <c r="F930" s="18"/>
    </row>
    <row r="931" spans="2:6" ht="13.5" customHeight="1" x14ac:dyDescent="0.2">
      <c r="B931" s="18"/>
      <c r="C931" s="82"/>
      <c r="D931" s="18"/>
      <c r="E931" s="18"/>
      <c r="F931" s="18"/>
    </row>
    <row r="932" spans="2:6" ht="13.5" customHeight="1" x14ac:dyDescent="0.2">
      <c r="B932" s="18"/>
      <c r="C932" s="82"/>
      <c r="D932" s="18"/>
      <c r="E932" s="18"/>
      <c r="F932" s="18"/>
    </row>
    <row r="933" spans="2:6" ht="13.5" customHeight="1" x14ac:dyDescent="0.2">
      <c r="B933" s="18"/>
      <c r="C933" s="82"/>
      <c r="D933" s="18"/>
      <c r="E933" s="18"/>
      <c r="F933" s="18"/>
    </row>
    <row r="934" spans="2:6" ht="13.5" customHeight="1" x14ac:dyDescent="0.2">
      <c r="B934" s="18"/>
      <c r="C934" s="82"/>
      <c r="D934" s="18"/>
      <c r="E934" s="18"/>
      <c r="F934" s="18"/>
    </row>
    <row r="935" spans="2:6" ht="13.5" customHeight="1" x14ac:dyDescent="0.2">
      <c r="B935" s="18"/>
      <c r="C935" s="82"/>
      <c r="D935" s="18"/>
      <c r="E935" s="18"/>
      <c r="F935" s="18"/>
    </row>
    <row r="936" spans="2:6" ht="13.5" customHeight="1" x14ac:dyDescent="0.2">
      <c r="B936" s="18"/>
      <c r="C936" s="82"/>
      <c r="D936" s="18"/>
      <c r="E936" s="18"/>
      <c r="F936" s="18"/>
    </row>
    <row r="937" spans="2:6" ht="13.5" customHeight="1" x14ac:dyDescent="0.2">
      <c r="B937" s="18"/>
      <c r="C937" s="82"/>
      <c r="D937" s="18"/>
      <c r="E937" s="18"/>
      <c r="F937" s="18"/>
    </row>
    <row r="938" spans="2:6" ht="13.5" customHeight="1" x14ac:dyDescent="0.2">
      <c r="B938" s="18"/>
      <c r="C938" s="82"/>
      <c r="D938" s="18"/>
      <c r="E938" s="18"/>
      <c r="F938" s="18"/>
    </row>
    <row r="939" spans="2:6" ht="13.5" customHeight="1" x14ac:dyDescent="0.2">
      <c r="B939" s="18"/>
      <c r="C939" s="82"/>
      <c r="D939" s="18"/>
      <c r="E939" s="18"/>
      <c r="F939" s="18"/>
    </row>
    <row r="940" spans="2:6" ht="13.5" customHeight="1" x14ac:dyDescent="0.2">
      <c r="B940" s="18"/>
      <c r="C940" s="82"/>
      <c r="D940" s="18"/>
      <c r="E940" s="18"/>
      <c r="F940" s="18"/>
    </row>
    <row r="941" spans="2:6" ht="13.5" customHeight="1" x14ac:dyDescent="0.2">
      <c r="B941" s="18"/>
      <c r="C941" s="82"/>
      <c r="D941" s="18"/>
      <c r="E941" s="18"/>
      <c r="F941" s="18"/>
    </row>
    <row r="942" spans="2:6" ht="13.5" customHeight="1" x14ac:dyDescent="0.2">
      <c r="B942" s="18"/>
      <c r="C942" s="82"/>
      <c r="D942" s="18"/>
      <c r="E942" s="18"/>
      <c r="F942" s="18"/>
    </row>
    <row r="943" spans="2:6" ht="13.5" customHeight="1" x14ac:dyDescent="0.2">
      <c r="B943" s="18"/>
      <c r="C943" s="82"/>
      <c r="D943" s="18"/>
      <c r="E943" s="18"/>
      <c r="F943" s="18"/>
    </row>
    <row r="944" spans="2:6" ht="13.5" customHeight="1" x14ac:dyDescent="0.2">
      <c r="B944" s="18"/>
      <c r="C944" s="82"/>
      <c r="D944" s="18"/>
      <c r="E944" s="18"/>
      <c r="F944" s="18"/>
    </row>
    <row r="945" spans="2:6" ht="13.5" customHeight="1" x14ac:dyDescent="0.2">
      <c r="B945" s="18"/>
      <c r="C945" s="82"/>
      <c r="D945" s="18"/>
      <c r="E945" s="18"/>
      <c r="F945" s="18"/>
    </row>
    <row r="946" spans="2:6" ht="13.5" customHeight="1" x14ac:dyDescent="0.2">
      <c r="B946" s="18"/>
      <c r="C946" s="82"/>
      <c r="D946" s="18"/>
      <c r="E946" s="18"/>
      <c r="F946" s="18"/>
    </row>
    <row r="947" spans="2:6" ht="13.5" customHeight="1" x14ac:dyDescent="0.2">
      <c r="B947" s="18"/>
      <c r="C947" s="82"/>
      <c r="D947" s="18"/>
      <c r="E947" s="18"/>
      <c r="F947" s="18"/>
    </row>
    <row r="948" spans="2:6" ht="13.5" customHeight="1" x14ac:dyDescent="0.2">
      <c r="B948" s="18"/>
      <c r="C948" s="82"/>
      <c r="D948" s="18"/>
      <c r="E948" s="18"/>
      <c r="F948" s="18"/>
    </row>
    <row r="949" spans="2:6" ht="13.5" customHeight="1" x14ac:dyDescent="0.2">
      <c r="B949" s="18"/>
      <c r="C949" s="82"/>
      <c r="D949" s="18"/>
      <c r="E949" s="18"/>
      <c r="F949" s="18"/>
    </row>
    <row r="950" spans="2:6" ht="13.5" customHeight="1" x14ac:dyDescent="0.2">
      <c r="B950" s="18"/>
      <c r="C950" s="82"/>
      <c r="D950" s="18"/>
      <c r="E950" s="18"/>
      <c r="F950" s="18"/>
    </row>
    <row r="951" spans="2:6" ht="13.5" customHeight="1" x14ac:dyDescent="0.2">
      <c r="B951" s="18"/>
      <c r="C951" s="82"/>
      <c r="D951" s="18"/>
      <c r="E951" s="18"/>
      <c r="F951" s="18"/>
    </row>
    <row r="952" spans="2:6" ht="13.5" customHeight="1" x14ac:dyDescent="0.2">
      <c r="B952" s="18"/>
      <c r="C952" s="82"/>
      <c r="D952" s="18"/>
      <c r="E952" s="18"/>
      <c r="F952" s="18"/>
    </row>
    <row r="953" spans="2:6" ht="13.5" customHeight="1" x14ac:dyDescent="0.2">
      <c r="B953" s="18"/>
      <c r="C953" s="82"/>
      <c r="D953" s="18"/>
      <c r="E953" s="18"/>
      <c r="F953" s="18"/>
    </row>
    <row r="954" spans="2:6" ht="13.5" customHeight="1" x14ac:dyDescent="0.2">
      <c r="B954" s="18"/>
      <c r="C954" s="82"/>
      <c r="D954" s="18"/>
      <c r="E954" s="18"/>
      <c r="F954" s="18"/>
    </row>
    <row r="955" spans="2:6" ht="13.5" customHeight="1" x14ac:dyDescent="0.2">
      <c r="B955" s="18"/>
      <c r="C955" s="82"/>
      <c r="D955" s="18"/>
      <c r="E955" s="18"/>
      <c r="F955" s="18"/>
    </row>
    <row r="956" spans="2:6" ht="13.5" customHeight="1" x14ac:dyDescent="0.2">
      <c r="B956" s="18"/>
      <c r="C956" s="82"/>
      <c r="D956" s="18"/>
      <c r="E956" s="18"/>
      <c r="F956" s="18"/>
    </row>
    <row r="957" spans="2:6" ht="13.5" customHeight="1" x14ac:dyDescent="0.2">
      <c r="B957" s="18"/>
      <c r="C957" s="82"/>
      <c r="D957" s="18"/>
      <c r="E957" s="18"/>
      <c r="F957" s="18"/>
    </row>
    <row r="958" spans="2:6" ht="13.5" customHeight="1" x14ac:dyDescent="0.2">
      <c r="B958" s="18"/>
      <c r="C958" s="82"/>
      <c r="D958" s="18"/>
      <c r="E958" s="18"/>
      <c r="F958" s="18"/>
    </row>
    <row r="959" spans="2:6" ht="13.5" customHeight="1" x14ac:dyDescent="0.2">
      <c r="B959" s="18"/>
      <c r="C959" s="82"/>
      <c r="D959" s="18"/>
      <c r="E959" s="18"/>
      <c r="F959" s="18"/>
    </row>
    <row r="960" spans="2:6" ht="13.5" customHeight="1" x14ac:dyDescent="0.2">
      <c r="B960" s="18"/>
      <c r="C960" s="82"/>
      <c r="D960" s="18"/>
      <c r="E960" s="18"/>
      <c r="F960" s="18"/>
    </row>
    <row r="961" spans="2:6" ht="13.5" customHeight="1" x14ac:dyDescent="0.2">
      <c r="B961" s="18"/>
      <c r="C961" s="82"/>
      <c r="D961" s="18"/>
      <c r="E961" s="18"/>
      <c r="F961" s="18"/>
    </row>
    <row r="962" spans="2:6" ht="13.5" customHeight="1" x14ac:dyDescent="0.2">
      <c r="B962" s="18"/>
      <c r="C962" s="82"/>
      <c r="D962" s="18"/>
      <c r="E962" s="18"/>
      <c r="F962" s="18"/>
    </row>
    <row r="963" spans="2:6" ht="13.5" customHeight="1" x14ac:dyDescent="0.2">
      <c r="B963" s="18"/>
      <c r="C963" s="82"/>
      <c r="D963" s="18"/>
      <c r="E963" s="18"/>
      <c r="F963" s="18"/>
    </row>
    <row r="964" spans="2:6" ht="13.5" customHeight="1" x14ac:dyDescent="0.2">
      <c r="B964" s="18"/>
      <c r="C964" s="82"/>
      <c r="D964" s="18"/>
      <c r="E964" s="18"/>
      <c r="F964" s="18"/>
    </row>
    <row r="965" spans="2:6" ht="13.5" customHeight="1" x14ac:dyDescent="0.2">
      <c r="B965" s="18"/>
      <c r="C965" s="82"/>
      <c r="D965" s="18"/>
      <c r="E965" s="18"/>
      <c r="F965" s="18"/>
    </row>
    <row r="966" spans="2:6" ht="13.5" customHeight="1" x14ac:dyDescent="0.2">
      <c r="B966" s="18"/>
      <c r="C966" s="82"/>
      <c r="D966" s="18"/>
      <c r="E966" s="18"/>
      <c r="F966" s="18"/>
    </row>
    <row r="967" spans="2:6" ht="13.5" customHeight="1" x14ac:dyDescent="0.2">
      <c r="B967" s="18"/>
      <c r="C967" s="82"/>
      <c r="D967" s="18"/>
      <c r="E967" s="18"/>
      <c r="F967" s="18"/>
    </row>
    <row r="968" spans="2:6" ht="13.5" customHeight="1" x14ac:dyDescent="0.2">
      <c r="B968" s="18"/>
      <c r="C968" s="82"/>
      <c r="D968" s="18"/>
      <c r="E968" s="18"/>
      <c r="F968" s="18"/>
    </row>
    <row r="969" spans="2:6" ht="13.5" customHeight="1" x14ac:dyDescent="0.2">
      <c r="B969" s="18"/>
      <c r="C969" s="82"/>
      <c r="D969" s="18"/>
      <c r="E969" s="18"/>
      <c r="F969" s="18"/>
    </row>
    <row r="970" spans="2:6" ht="13.5" customHeight="1" x14ac:dyDescent="0.2">
      <c r="B970" s="18"/>
      <c r="C970" s="82"/>
      <c r="D970" s="18"/>
      <c r="E970" s="18"/>
      <c r="F970" s="18"/>
    </row>
    <row r="971" spans="2:6" ht="13.5" customHeight="1" x14ac:dyDescent="0.2">
      <c r="B971" s="18"/>
      <c r="C971" s="82"/>
      <c r="D971" s="18"/>
      <c r="E971" s="18"/>
      <c r="F971" s="18"/>
    </row>
    <row r="972" spans="2:6" ht="13.5" customHeight="1" x14ac:dyDescent="0.2">
      <c r="B972" s="18"/>
      <c r="C972" s="82"/>
      <c r="D972" s="18"/>
      <c r="E972" s="18"/>
      <c r="F972" s="18"/>
    </row>
    <row r="973" spans="2:6" ht="13.5" customHeight="1" x14ac:dyDescent="0.2">
      <c r="B973" s="18"/>
      <c r="C973" s="82"/>
      <c r="D973" s="18"/>
      <c r="E973" s="18"/>
      <c r="F973" s="18"/>
    </row>
    <row r="974" spans="2:6" ht="13.5" customHeight="1" x14ac:dyDescent="0.2">
      <c r="B974" s="18"/>
      <c r="C974" s="82"/>
      <c r="D974" s="18"/>
      <c r="E974" s="18"/>
      <c r="F974" s="18"/>
    </row>
    <row r="975" spans="2:6" ht="13.5" customHeight="1" x14ac:dyDescent="0.2">
      <c r="B975" s="18"/>
      <c r="C975" s="82"/>
      <c r="D975" s="18"/>
      <c r="E975" s="18"/>
      <c r="F975" s="18"/>
    </row>
    <row r="976" spans="2:6" ht="13.5" customHeight="1" x14ac:dyDescent="0.2">
      <c r="B976" s="18"/>
      <c r="C976" s="82"/>
      <c r="D976" s="18"/>
      <c r="E976" s="18"/>
      <c r="F976" s="18"/>
    </row>
    <row r="977" spans="2:6" ht="13.5" customHeight="1" x14ac:dyDescent="0.2">
      <c r="B977" s="18"/>
      <c r="C977" s="82"/>
      <c r="D977" s="18"/>
      <c r="E977" s="18"/>
      <c r="F977" s="18"/>
    </row>
    <row r="978" spans="2:6" ht="13.5" customHeight="1" x14ac:dyDescent="0.2">
      <c r="B978" s="18"/>
      <c r="C978" s="82"/>
      <c r="D978" s="18"/>
      <c r="E978" s="18"/>
      <c r="F978" s="18"/>
    </row>
    <row r="979" spans="2:6" ht="13.5" customHeight="1" x14ac:dyDescent="0.2">
      <c r="B979" s="18"/>
      <c r="C979" s="82"/>
      <c r="D979" s="18"/>
      <c r="E979" s="18"/>
      <c r="F979" s="18"/>
    </row>
    <row r="980" spans="2:6" ht="13.5" customHeight="1" x14ac:dyDescent="0.2">
      <c r="B980" s="18"/>
      <c r="C980" s="82"/>
      <c r="D980" s="18"/>
      <c r="E980" s="18"/>
      <c r="F980" s="18"/>
    </row>
    <row r="981" spans="2:6" ht="13.5" customHeight="1" x14ac:dyDescent="0.2">
      <c r="B981" s="18"/>
      <c r="C981" s="82"/>
      <c r="D981" s="18"/>
      <c r="E981" s="18"/>
      <c r="F981" s="18"/>
    </row>
    <row r="982" spans="2:6" ht="13.5" customHeight="1" x14ac:dyDescent="0.2">
      <c r="B982" s="18"/>
      <c r="C982" s="82"/>
      <c r="D982" s="18"/>
      <c r="E982" s="18"/>
      <c r="F982" s="18"/>
    </row>
    <row r="983" spans="2:6" ht="13.5" customHeight="1" x14ac:dyDescent="0.2">
      <c r="B983" s="18"/>
      <c r="C983" s="82"/>
      <c r="D983" s="18"/>
      <c r="E983" s="18"/>
      <c r="F983" s="18"/>
    </row>
    <row r="984" spans="2:6" ht="13.5" customHeight="1" x14ac:dyDescent="0.2">
      <c r="B984" s="18"/>
      <c r="C984" s="82"/>
      <c r="D984" s="18"/>
      <c r="E984" s="18"/>
      <c r="F984" s="18"/>
    </row>
    <row r="985" spans="2:6" ht="13.5" customHeight="1" x14ac:dyDescent="0.2">
      <c r="B985" s="18"/>
      <c r="C985" s="82"/>
      <c r="D985" s="18"/>
      <c r="E985" s="18"/>
      <c r="F985" s="18"/>
    </row>
    <row r="986" spans="2:6" ht="13.5" customHeight="1" x14ac:dyDescent="0.2">
      <c r="B986" s="18"/>
      <c r="C986" s="82"/>
      <c r="D986" s="18"/>
      <c r="E986" s="18"/>
      <c r="F986" s="18"/>
    </row>
    <row r="987" spans="2:6" ht="13.5" customHeight="1" x14ac:dyDescent="0.2">
      <c r="B987" s="18"/>
      <c r="C987" s="82"/>
      <c r="D987" s="18"/>
      <c r="E987" s="18"/>
      <c r="F987" s="18"/>
    </row>
    <row r="988" spans="2:6" ht="13.5" customHeight="1" x14ac:dyDescent="0.2">
      <c r="B988" s="18"/>
      <c r="C988" s="82"/>
      <c r="D988" s="18"/>
      <c r="E988" s="18"/>
      <c r="F988" s="18"/>
    </row>
    <row r="989" spans="2:6" ht="13.5" customHeight="1" x14ac:dyDescent="0.2">
      <c r="B989" s="18"/>
      <c r="C989" s="82"/>
      <c r="D989" s="18"/>
      <c r="E989" s="18"/>
      <c r="F989" s="18"/>
    </row>
    <row r="990" spans="2:6" ht="13.5" customHeight="1" x14ac:dyDescent="0.2">
      <c r="B990" s="18"/>
      <c r="C990" s="82"/>
      <c r="D990" s="18"/>
      <c r="E990" s="18"/>
      <c r="F990" s="18"/>
    </row>
    <row r="991" spans="2:6" ht="13.5" customHeight="1" x14ac:dyDescent="0.2">
      <c r="B991" s="18"/>
      <c r="C991" s="82"/>
      <c r="D991" s="18"/>
      <c r="E991" s="18"/>
      <c r="F991" s="18"/>
    </row>
    <row r="992" spans="2:6" ht="13.5" customHeight="1" x14ac:dyDescent="0.2">
      <c r="B992" s="18"/>
      <c r="C992" s="82"/>
      <c r="D992" s="18"/>
      <c r="E992" s="18"/>
      <c r="F992" s="18"/>
    </row>
    <row r="993" spans="2:6" ht="13.5" customHeight="1" x14ac:dyDescent="0.2">
      <c r="B993" s="18"/>
      <c r="C993" s="82"/>
      <c r="D993" s="18"/>
      <c r="E993" s="18"/>
      <c r="F993" s="18"/>
    </row>
    <row r="994" spans="2:6" ht="13.5" customHeight="1" x14ac:dyDescent="0.2">
      <c r="B994" s="18"/>
      <c r="C994" s="82"/>
      <c r="D994" s="18"/>
      <c r="E994" s="18"/>
      <c r="F994" s="18"/>
    </row>
    <row r="995" spans="2:6" ht="13.5" customHeight="1" x14ac:dyDescent="0.2">
      <c r="B995" s="18"/>
      <c r="C995" s="82"/>
      <c r="D995" s="18"/>
      <c r="E995" s="18"/>
      <c r="F995" s="18"/>
    </row>
    <row r="996" spans="2:6" ht="13.5" customHeight="1" x14ac:dyDescent="0.2">
      <c r="B996" s="18"/>
      <c r="C996" s="82"/>
      <c r="D996" s="18"/>
      <c r="E996" s="18"/>
      <c r="F996" s="18"/>
    </row>
    <row r="997" spans="2:6" ht="13.5" customHeight="1" x14ac:dyDescent="0.2">
      <c r="B997" s="18"/>
      <c r="C997" s="82"/>
      <c r="D997" s="18"/>
      <c r="E997" s="18"/>
      <c r="F997" s="18"/>
    </row>
    <row r="998" spans="2:6" ht="13.5" customHeight="1" x14ac:dyDescent="0.2">
      <c r="B998" s="18"/>
      <c r="C998" s="82"/>
      <c r="D998" s="18"/>
      <c r="E998" s="18"/>
      <c r="F998" s="18"/>
    </row>
    <row r="999" spans="2:6" ht="13.5" customHeight="1" x14ac:dyDescent="0.2">
      <c r="B999" s="18"/>
      <c r="C999" s="82"/>
      <c r="D999" s="18"/>
      <c r="E999" s="18"/>
      <c r="F999" s="18"/>
    </row>
  </sheetData>
  <printOptions horizontalCentered="1"/>
  <pageMargins left="0.39370078740157483" right="0.39370078740157483" top="0.39370078740157483" bottom="0.39370078740157483" header="0" footer="0"/>
  <pageSetup paperSize="9" scale="65" orientation="landscape"/>
  <headerFooter>
    <oddFooter>&amp;R15</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C0D9"/>
  </sheetPr>
  <dimension ref="A1:Z999"/>
  <sheetViews>
    <sheetView showGridLines="0" zoomScale="70" zoomScaleNormal="70" workbookViewId="0">
      <pane xSplit="1" ySplit="7" topLeftCell="B10" activePane="bottomRight" state="frozen"/>
      <selection pane="topRight" activeCell="B1" sqref="B1"/>
      <selection pane="bottomLeft" activeCell="A9" sqref="A9"/>
      <selection pane="bottomRight" activeCell="B5" sqref="B5"/>
    </sheetView>
  </sheetViews>
  <sheetFormatPr defaultColWidth="12.5703125" defaultRowHeight="15" customHeight="1" x14ac:dyDescent="0.2"/>
  <cols>
    <col min="1" max="1" width="38" customWidth="1"/>
    <col min="2" max="2" width="60.7109375" customWidth="1"/>
    <col min="3" max="3" width="45.140625" customWidth="1"/>
    <col min="4" max="4" width="40" customWidth="1"/>
    <col min="5" max="5" width="31.140625" customWidth="1"/>
    <col min="6" max="6" width="32.42578125" customWidth="1"/>
    <col min="7" max="7" width="30" customWidth="1"/>
    <col min="8" max="8" width="31.5703125" customWidth="1"/>
    <col min="9" max="9" width="34.42578125" customWidth="1"/>
    <col min="10" max="10" width="31.5703125" customWidth="1"/>
    <col min="11" max="11" width="42.7109375" customWidth="1"/>
    <col min="12" max="12" width="37.42578125" customWidth="1"/>
    <col min="13" max="13" width="37" customWidth="1"/>
    <col min="14" max="26" width="9.140625" customWidth="1"/>
  </cols>
  <sheetData>
    <row r="1" spans="1:26" ht="12.75" customHeight="1" x14ac:dyDescent="0.2">
      <c r="A1" s="96"/>
      <c r="B1" s="96"/>
      <c r="C1" s="96"/>
      <c r="D1" s="96"/>
      <c r="E1" s="97"/>
      <c r="F1" s="97"/>
      <c r="G1" s="97"/>
      <c r="H1" s="97"/>
      <c r="I1" s="97"/>
      <c r="J1" s="97"/>
      <c r="K1" s="97"/>
      <c r="L1" s="97"/>
      <c r="M1" s="97"/>
      <c r="N1" s="97"/>
      <c r="O1" s="97"/>
      <c r="P1" s="97"/>
      <c r="Q1" s="97"/>
      <c r="R1" s="97"/>
      <c r="S1" s="97"/>
      <c r="T1" s="97"/>
      <c r="U1" s="97"/>
      <c r="V1" s="97"/>
    </row>
    <row r="2" spans="1:26" ht="12.75" customHeight="1" x14ac:dyDescent="0.2">
      <c r="A2" s="96"/>
      <c r="B2" s="96"/>
      <c r="C2" s="96"/>
      <c r="D2" s="96"/>
      <c r="E2" s="97"/>
      <c r="F2" s="97"/>
      <c r="G2" s="97"/>
      <c r="H2" s="97"/>
      <c r="I2" s="97"/>
      <c r="J2" s="97"/>
      <c r="K2" s="97"/>
      <c r="L2" s="97"/>
      <c r="M2" s="97"/>
      <c r="N2" s="97"/>
      <c r="O2" s="97"/>
      <c r="P2" s="97"/>
      <c r="Q2" s="97"/>
      <c r="R2" s="97"/>
      <c r="S2" s="97"/>
      <c r="T2" s="97"/>
      <c r="U2" s="97"/>
      <c r="V2" s="97"/>
    </row>
    <row r="3" spans="1:26" ht="12.75" customHeight="1" x14ac:dyDescent="0.2">
      <c r="A3" s="98"/>
      <c r="B3" s="96"/>
      <c r="C3" s="98"/>
      <c r="D3" s="96"/>
      <c r="E3" s="96"/>
      <c r="F3" s="96"/>
      <c r="G3" s="96"/>
      <c r="H3" s="96"/>
      <c r="I3" s="97"/>
      <c r="J3" s="97"/>
      <c r="K3" s="97"/>
      <c r="L3" s="97"/>
      <c r="M3" s="97"/>
      <c r="N3" s="97"/>
      <c r="O3" s="97"/>
      <c r="P3" s="97"/>
      <c r="Q3" s="97"/>
      <c r="R3" s="97"/>
      <c r="S3" s="97"/>
      <c r="T3" s="97"/>
      <c r="U3" s="97"/>
      <c r="V3" s="97"/>
      <c r="W3" s="97"/>
      <c r="X3" s="97"/>
      <c r="Y3" s="97"/>
      <c r="Z3" s="97"/>
    </row>
    <row r="4" spans="1:26" ht="12.75" customHeight="1" x14ac:dyDescent="0.2">
      <c r="A4" s="98"/>
      <c r="B4" s="96"/>
      <c r="C4" s="98"/>
      <c r="D4" s="98"/>
      <c r="E4" s="96"/>
      <c r="F4" s="96"/>
      <c r="G4" s="96"/>
      <c r="H4" s="96"/>
      <c r="I4" s="97"/>
      <c r="J4" s="97"/>
      <c r="K4" s="97"/>
      <c r="L4" s="97"/>
      <c r="M4" s="97"/>
      <c r="N4" s="97"/>
      <c r="O4" s="97"/>
      <c r="P4" s="97"/>
      <c r="Q4" s="97"/>
      <c r="R4" s="97"/>
      <c r="S4" s="97"/>
      <c r="T4" s="97"/>
      <c r="U4" s="97"/>
      <c r="V4" s="97"/>
      <c r="W4" s="97"/>
      <c r="X4" s="97"/>
      <c r="Y4" s="97"/>
      <c r="Z4" s="97"/>
    </row>
    <row r="5" spans="1:26" ht="12.75" customHeight="1" x14ac:dyDescent="0.2">
      <c r="A5" s="98"/>
      <c r="B5" s="96"/>
      <c r="C5" s="98"/>
      <c r="D5" s="96"/>
      <c r="E5" s="96"/>
      <c r="F5" s="96"/>
      <c r="G5" s="96"/>
      <c r="H5" s="96"/>
      <c r="I5" s="97"/>
      <c r="J5" s="97"/>
      <c r="K5" s="97"/>
      <c r="L5" s="97"/>
      <c r="M5" s="97"/>
      <c r="N5" s="97"/>
      <c r="O5" s="97"/>
      <c r="P5" s="97"/>
      <c r="Q5" s="97"/>
      <c r="R5" s="97"/>
      <c r="S5" s="97"/>
      <c r="T5" s="97"/>
      <c r="U5" s="97"/>
      <c r="V5" s="97"/>
      <c r="W5" s="97"/>
      <c r="X5" s="97"/>
      <c r="Y5" s="97"/>
      <c r="Z5" s="97"/>
    </row>
    <row r="6" spans="1:26" ht="12.75" customHeight="1" x14ac:dyDescent="0.2">
      <c r="A6" s="98"/>
      <c r="B6" s="96"/>
      <c r="C6" s="98"/>
      <c r="D6" s="96"/>
      <c r="E6" s="96"/>
      <c r="F6" s="96"/>
      <c r="G6" s="96"/>
      <c r="H6" s="96"/>
      <c r="I6" s="97"/>
      <c r="J6" s="97"/>
      <c r="K6" s="97"/>
      <c r="L6" s="97"/>
      <c r="M6" s="97"/>
      <c r="N6" s="97"/>
      <c r="O6" s="97"/>
      <c r="P6" s="97"/>
      <c r="Q6" s="97"/>
      <c r="R6" s="97"/>
      <c r="S6" s="97"/>
      <c r="T6" s="97"/>
      <c r="U6" s="97"/>
      <c r="V6" s="97"/>
      <c r="W6" s="97"/>
      <c r="X6" s="97"/>
      <c r="Y6" s="97"/>
      <c r="Z6" s="97"/>
    </row>
    <row r="7" spans="1:26" ht="12.75" customHeight="1" x14ac:dyDescent="0.2">
      <c r="A7" s="98"/>
      <c r="B7" s="96"/>
      <c r="C7" s="98"/>
      <c r="D7" s="99"/>
      <c r="E7" s="96"/>
      <c r="F7" s="96"/>
      <c r="G7" s="96"/>
      <c r="H7" s="96"/>
      <c r="I7" s="97"/>
      <c r="J7" s="97"/>
      <c r="K7" s="97"/>
      <c r="L7" s="97"/>
      <c r="M7" s="97"/>
      <c r="N7" s="97"/>
      <c r="O7" s="97"/>
      <c r="P7" s="97"/>
      <c r="Q7" s="97"/>
      <c r="R7" s="97"/>
      <c r="S7" s="97"/>
      <c r="T7" s="97"/>
      <c r="U7" s="97"/>
      <c r="V7" s="97"/>
      <c r="W7" s="97"/>
      <c r="X7" s="97"/>
      <c r="Y7" s="97"/>
      <c r="Z7" s="97"/>
    </row>
    <row r="8" spans="1:26" ht="12.75" customHeight="1" x14ac:dyDescent="0.2">
      <c r="A8" s="96"/>
      <c r="B8" s="96"/>
      <c r="C8" s="96"/>
      <c r="D8" s="96"/>
      <c r="E8" s="96"/>
      <c r="F8" s="96"/>
      <c r="G8" s="96"/>
      <c r="H8" s="97"/>
      <c r="I8" s="97"/>
      <c r="J8" s="97"/>
      <c r="K8" s="97"/>
      <c r="L8" s="97"/>
      <c r="M8" s="97"/>
      <c r="N8" s="97"/>
      <c r="O8" s="97"/>
      <c r="P8" s="97"/>
      <c r="Q8" s="97"/>
      <c r="R8" s="97"/>
      <c r="S8" s="97"/>
      <c r="T8" s="97"/>
      <c r="U8" s="97"/>
      <c r="V8" s="97"/>
      <c r="W8" s="97"/>
      <c r="X8" s="97"/>
      <c r="Y8" s="97"/>
      <c r="Z8" s="97"/>
    </row>
    <row r="9" spans="1:26" ht="12.75" customHeight="1" x14ac:dyDescent="0.2">
      <c r="A9" s="247" t="s">
        <v>282</v>
      </c>
      <c r="B9" s="248"/>
      <c r="C9" s="248"/>
      <c r="D9" s="248"/>
      <c r="E9" s="248"/>
      <c r="F9" s="248"/>
      <c r="G9" s="248"/>
      <c r="H9" s="249"/>
      <c r="I9" s="250" t="s">
        <v>283</v>
      </c>
      <c r="J9" s="248"/>
      <c r="K9" s="248"/>
      <c r="L9" s="248"/>
      <c r="M9" s="249"/>
      <c r="N9" s="97"/>
      <c r="O9" s="97"/>
      <c r="P9" s="97"/>
      <c r="Q9" s="97"/>
      <c r="R9" s="97"/>
      <c r="S9" s="97"/>
      <c r="T9" s="97"/>
      <c r="U9" s="97"/>
      <c r="V9" s="97"/>
      <c r="W9" s="97"/>
      <c r="X9" s="97"/>
      <c r="Y9" s="97"/>
      <c r="Z9" s="97"/>
    </row>
    <row r="10" spans="1:26" ht="16.5" thickBot="1" x14ac:dyDescent="0.25">
      <c r="A10" s="242" t="s">
        <v>284</v>
      </c>
      <c r="B10" s="242" t="s">
        <v>285</v>
      </c>
      <c r="C10" s="242" t="s">
        <v>286</v>
      </c>
      <c r="D10" s="242" t="s">
        <v>287</v>
      </c>
      <c r="E10" s="242" t="s">
        <v>288</v>
      </c>
      <c r="F10" s="242" t="s">
        <v>289</v>
      </c>
      <c r="G10" s="242" t="s">
        <v>290</v>
      </c>
      <c r="H10" s="242" t="s">
        <v>291</v>
      </c>
      <c r="I10" s="242" t="s">
        <v>292</v>
      </c>
      <c r="J10" s="242" t="s">
        <v>293</v>
      </c>
      <c r="K10" s="242" t="s">
        <v>294</v>
      </c>
      <c r="L10" s="242" t="s">
        <v>295</v>
      </c>
      <c r="M10" s="242" t="s">
        <v>296</v>
      </c>
      <c r="N10" s="97"/>
      <c r="O10" s="97"/>
      <c r="P10" s="97"/>
      <c r="Q10" s="97"/>
      <c r="R10" s="97"/>
      <c r="S10" s="97"/>
      <c r="T10" s="97"/>
      <c r="U10" s="97"/>
      <c r="V10" s="97"/>
      <c r="W10" s="97"/>
      <c r="X10" s="97"/>
      <c r="Y10" s="97"/>
      <c r="Z10" s="97"/>
    </row>
    <row r="11" spans="1:26" ht="45.75" thickBot="1" x14ac:dyDescent="0.25">
      <c r="A11" s="242" t="s">
        <v>297</v>
      </c>
      <c r="B11" s="100" t="s">
        <v>298</v>
      </c>
      <c r="C11" s="100" t="s">
        <v>299</v>
      </c>
      <c r="D11" s="100" t="s">
        <v>300</v>
      </c>
      <c r="E11" s="100" t="s">
        <v>301</v>
      </c>
      <c r="F11" s="100" t="s">
        <v>302</v>
      </c>
      <c r="G11" s="100" t="s">
        <v>303</v>
      </c>
      <c r="H11" s="100" t="s">
        <v>304</v>
      </c>
      <c r="I11" s="100" t="s">
        <v>305</v>
      </c>
      <c r="J11" s="100" t="s">
        <v>306</v>
      </c>
      <c r="K11" s="100" t="s">
        <v>307</v>
      </c>
      <c r="L11" s="100" t="s">
        <v>308</v>
      </c>
      <c r="M11" s="100" t="s">
        <v>309</v>
      </c>
      <c r="N11" s="97"/>
      <c r="O11" s="97"/>
      <c r="P11" s="97"/>
      <c r="Q11" s="97"/>
      <c r="R11" s="97"/>
      <c r="S11" s="97"/>
      <c r="T11" s="97"/>
      <c r="U11" s="97"/>
      <c r="V11" s="97"/>
      <c r="W11" s="97"/>
      <c r="X11" s="97"/>
      <c r="Y11" s="97"/>
      <c r="Z11" s="97"/>
    </row>
    <row r="12" spans="1:26" ht="45.75" thickBot="1" x14ac:dyDescent="0.25">
      <c r="A12" s="242" t="s">
        <v>310</v>
      </c>
      <c r="B12" s="100" t="s">
        <v>311</v>
      </c>
      <c r="C12" s="100" t="s">
        <v>312</v>
      </c>
      <c r="D12" s="100" t="s">
        <v>313</v>
      </c>
      <c r="E12" s="100" t="s">
        <v>314</v>
      </c>
      <c r="F12" s="100" t="s">
        <v>315</v>
      </c>
      <c r="G12" s="100" t="s">
        <v>316</v>
      </c>
      <c r="H12" s="100" t="s">
        <v>317</v>
      </c>
      <c r="I12" s="100" t="s">
        <v>318</v>
      </c>
      <c r="J12" s="100" t="s">
        <v>319</v>
      </c>
      <c r="K12" s="100" t="s">
        <v>320</v>
      </c>
      <c r="L12" s="100" t="s">
        <v>321</v>
      </c>
      <c r="M12" s="100" t="s">
        <v>322</v>
      </c>
      <c r="N12" s="97"/>
      <c r="O12" s="97"/>
      <c r="P12" s="97"/>
      <c r="Q12" s="97"/>
      <c r="R12" s="97"/>
      <c r="S12" s="97"/>
      <c r="T12" s="97"/>
      <c r="U12" s="97"/>
      <c r="V12" s="97"/>
      <c r="W12" s="97"/>
      <c r="X12" s="97"/>
      <c r="Y12" s="97"/>
      <c r="Z12" s="97"/>
    </row>
    <row r="13" spans="1:26" ht="60.75" thickBot="1" x14ac:dyDescent="0.25">
      <c r="A13" s="242" t="s">
        <v>323</v>
      </c>
      <c r="B13" s="100" t="s">
        <v>324</v>
      </c>
      <c r="C13" s="100" t="s">
        <v>325</v>
      </c>
      <c r="D13" s="100" t="s">
        <v>326</v>
      </c>
      <c r="E13" s="100" t="s">
        <v>327</v>
      </c>
      <c r="F13" s="100" t="s">
        <v>328</v>
      </c>
      <c r="G13" s="100" t="s">
        <v>329</v>
      </c>
      <c r="H13" s="100" t="s">
        <v>330</v>
      </c>
      <c r="I13" s="100" t="s">
        <v>331</v>
      </c>
      <c r="J13" s="100" t="s">
        <v>332</v>
      </c>
      <c r="K13" s="100" t="s">
        <v>333</v>
      </c>
      <c r="L13" s="100" t="s">
        <v>334</v>
      </c>
      <c r="M13" s="100" t="s">
        <v>335</v>
      </c>
      <c r="N13" s="97"/>
      <c r="O13" s="97"/>
      <c r="P13" s="97"/>
      <c r="Q13" s="97"/>
      <c r="R13" s="97"/>
      <c r="S13" s="97"/>
      <c r="T13" s="97"/>
      <c r="U13" s="97"/>
      <c r="V13" s="97"/>
      <c r="W13" s="97"/>
      <c r="X13" s="97"/>
      <c r="Y13" s="97"/>
      <c r="Z13" s="97"/>
    </row>
    <row r="14" spans="1:26" ht="45.75" thickBot="1" x14ac:dyDescent="0.25">
      <c r="A14" s="242" t="s">
        <v>336</v>
      </c>
      <c r="B14" s="100" t="s">
        <v>337</v>
      </c>
      <c r="C14" s="100" t="s">
        <v>338</v>
      </c>
      <c r="D14" s="100" t="s">
        <v>339</v>
      </c>
      <c r="E14" s="100" t="s">
        <v>340</v>
      </c>
      <c r="F14" s="100" t="s">
        <v>341</v>
      </c>
      <c r="G14" s="100" t="s">
        <v>342</v>
      </c>
      <c r="H14" s="100" t="s">
        <v>343</v>
      </c>
      <c r="I14" s="100" t="s">
        <v>344</v>
      </c>
      <c r="J14" s="100" t="s">
        <v>345</v>
      </c>
      <c r="K14" s="100" t="s">
        <v>346</v>
      </c>
      <c r="L14" s="100" t="s">
        <v>347</v>
      </c>
      <c r="M14" s="100" t="s">
        <v>348</v>
      </c>
      <c r="N14" s="97"/>
      <c r="O14" s="97"/>
      <c r="P14" s="97"/>
      <c r="Q14" s="97"/>
      <c r="R14" s="97"/>
      <c r="S14" s="97"/>
      <c r="T14" s="97"/>
      <c r="U14" s="97"/>
      <c r="V14" s="97"/>
      <c r="W14" s="97"/>
      <c r="X14" s="97"/>
      <c r="Y14" s="97"/>
      <c r="Z14" s="97"/>
    </row>
    <row r="15" spans="1:26" ht="45.75" thickBot="1" x14ac:dyDescent="0.25">
      <c r="A15" s="242" t="s">
        <v>240</v>
      </c>
      <c r="B15" s="100" t="s">
        <v>349</v>
      </c>
      <c r="C15" s="100" t="s">
        <v>350</v>
      </c>
      <c r="D15" s="100" t="s">
        <v>351</v>
      </c>
      <c r="E15" s="100" t="s">
        <v>352</v>
      </c>
      <c r="F15" s="100" t="s">
        <v>353</v>
      </c>
      <c r="G15" s="100" t="s">
        <v>354</v>
      </c>
      <c r="H15" s="100" t="s">
        <v>355</v>
      </c>
      <c r="I15" s="100" t="s">
        <v>356</v>
      </c>
      <c r="J15" s="100" t="s">
        <v>357</v>
      </c>
      <c r="K15" s="100" t="s">
        <v>358</v>
      </c>
      <c r="L15" s="100" t="s">
        <v>359</v>
      </c>
      <c r="M15" s="100" t="s">
        <v>360</v>
      </c>
      <c r="N15" s="97"/>
      <c r="O15" s="97"/>
      <c r="P15" s="97"/>
      <c r="Q15" s="97"/>
      <c r="R15" s="97"/>
      <c r="S15" s="97"/>
      <c r="T15" s="97"/>
      <c r="U15" s="97"/>
      <c r="V15" s="97"/>
      <c r="W15" s="97"/>
      <c r="X15" s="97"/>
      <c r="Y15" s="97"/>
      <c r="Z15" s="97"/>
    </row>
    <row r="16" spans="1:26" ht="45.75" thickBot="1" x14ac:dyDescent="0.25">
      <c r="A16" s="242" t="s">
        <v>361</v>
      </c>
      <c r="B16" s="100" t="s">
        <v>362</v>
      </c>
      <c r="C16" s="100" t="s">
        <v>363</v>
      </c>
      <c r="D16" s="100" t="s">
        <v>364</v>
      </c>
      <c r="E16" s="100" t="s">
        <v>365</v>
      </c>
      <c r="F16" s="100" t="s">
        <v>366</v>
      </c>
      <c r="G16" s="100" t="s">
        <v>367</v>
      </c>
      <c r="H16" s="100" t="s">
        <v>368</v>
      </c>
      <c r="I16" s="100" t="s">
        <v>369</v>
      </c>
      <c r="J16" s="100" t="s">
        <v>370</v>
      </c>
      <c r="K16" s="100" t="s">
        <v>371</v>
      </c>
      <c r="L16" s="100" t="s">
        <v>372</v>
      </c>
      <c r="M16" s="100" t="s">
        <v>373</v>
      </c>
      <c r="N16" s="97"/>
      <c r="O16" s="97"/>
      <c r="P16" s="97"/>
      <c r="Q16" s="97"/>
      <c r="R16" s="97"/>
      <c r="S16" s="97"/>
      <c r="T16" s="97"/>
      <c r="U16" s="97"/>
      <c r="V16" s="97"/>
      <c r="W16" s="97"/>
      <c r="X16" s="97"/>
      <c r="Y16" s="97"/>
      <c r="Z16" s="97"/>
    </row>
    <row r="17" spans="1:26" ht="45.75" thickBot="1" x14ac:dyDescent="0.25">
      <c r="A17" s="242" t="s">
        <v>374</v>
      </c>
      <c r="B17" s="243" t="s">
        <v>375</v>
      </c>
      <c r="C17" s="100" t="s">
        <v>376</v>
      </c>
      <c r="D17" s="100" t="s">
        <v>377</v>
      </c>
      <c r="E17" s="100" t="s">
        <v>378</v>
      </c>
      <c r="F17" s="100" t="s">
        <v>379</v>
      </c>
      <c r="G17" s="100" t="s">
        <v>380</v>
      </c>
      <c r="H17" s="100" t="s">
        <v>381</v>
      </c>
      <c r="I17" s="100" t="s">
        <v>382</v>
      </c>
      <c r="J17" s="100" t="s">
        <v>383</v>
      </c>
      <c r="K17" s="100" t="s">
        <v>384</v>
      </c>
      <c r="L17" s="100" t="s">
        <v>385</v>
      </c>
      <c r="M17" s="100" t="s">
        <v>386</v>
      </c>
      <c r="N17" s="97"/>
      <c r="O17" s="97"/>
      <c r="P17" s="97"/>
      <c r="Q17" s="97"/>
      <c r="R17" s="97"/>
      <c r="S17" s="97"/>
      <c r="T17" s="97"/>
      <c r="U17" s="97"/>
      <c r="V17" s="97"/>
      <c r="W17" s="97"/>
      <c r="X17" s="97"/>
      <c r="Y17" s="97"/>
      <c r="Z17" s="97"/>
    </row>
    <row r="18" spans="1:26" ht="60.75" thickBot="1" x14ac:dyDescent="0.25">
      <c r="A18" s="242" t="s">
        <v>387</v>
      </c>
      <c r="B18" s="100" t="s">
        <v>388</v>
      </c>
      <c r="C18" s="100" t="s">
        <v>389</v>
      </c>
      <c r="D18" s="100" t="s">
        <v>390</v>
      </c>
      <c r="E18" s="100" t="s">
        <v>391</v>
      </c>
      <c r="F18" s="100" t="s">
        <v>392</v>
      </c>
      <c r="G18" s="100" t="s">
        <v>393</v>
      </c>
      <c r="H18" s="100" t="s">
        <v>394</v>
      </c>
      <c r="I18" s="100" t="s">
        <v>395</v>
      </c>
      <c r="J18" s="100" t="s">
        <v>396</v>
      </c>
      <c r="K18" s="100" t="s">
        <v>397</v>
      </c>
      <c r="L18" s="100" t="s">
        <v>372</v>
      </c>
      <c r="M18" s="100" t="s">
        <v>398</v>
      </c>
      <c r="N18" s="97"/>
      <c r="O18" s="97"/>
      <c r="P18" s="97"/>
      <c r="Q18" s="97"/>
      <c r="R18" s="97"/>
      <c r="S18" s="97"/>
      <c r="T18" s="97"/>
      <c r="U18" s="97"/>
      <c r="V18" s="97"/>
      <c r="W18" s="97"/>
      <c r="X18" s="97"/>
      <c r="Y18" s="97"/>
      <c r="Z18" s="97"/>
    </row>
    <row r="19" spans="1:26" ht="12.75" customHeight="1" x14ac:dyDescent="0.2">
      <c r="A19" s="96"/>
      <c r="B19" s="96"/>
      <c r="C19" s="96"/>
      <c r="D19" s="96"/>
      <c r="E19" s="96"/>
      <c r="F19" s="96"/>
      <c r="G19" s="96"/>
      <c r="H19" s="96"/>
      <c r="I19" s="97"/>
      <c r="J19" s="97"/>
      <c r="K19" s="97"/>
      <c r="L19" s="97"/>
      <c r="M19" s="97"/>
      <c r="N19" s="97"/>
      <c r="O19" s="97"/>
      <c r="P19" s="97"/>
      <c r="Q19" s="97"/>
      <c r="R19" s="97"/>
      <c r="S19" s="97"/>
      <c r="T19" s="97"/>
      <c r="U19" s="97"/>
      <c r="V19" s="97"/>
      <c r="W19" s="97"/>
      <c r="X19" s="97"/>
      <c r="Y19" s="97"/>
      <c r="Z19" s="97"/>
    </row>
    <row r="20" spans="1:26" ht="12.75" customHeight="1" x14ac:dyDescent="0.2">
      <c r="A20" s="96"/>
      <c r="B20" s="96"/>
      <c r="C20" s="96"/>
      <c r="D20" s="96"/>
      <c r="E20" s="96"/>
      <c r="F20" s="96"/>
      <c r="G20" s="96"/>
      <c r="H20" s="96"/>
      <c r="I20" s="97"/>
      <c r="J20" s="97"/>
      <c r="K20" s="97"/>
      <c r="L20" s="97"/>
      <c r="M20" s="97"/>
      <c r="N20" s="97"/>
      <c r="O20" s="97"/>
      <c r="P20" s="97"/>
      <c r="Q20" s="97"/>
      <c r="R20" s="97"/>
      <c r="S20" s="97"/>
      <c r="T20" s="97"/>
      <c r="U20" s="97"/>
      <c r="V20" s="97"/>
      <c r="W20" s="97"/>
      <c r="X20" s="97"/>
      <c r="Y20" s="97"/>
      <c r="Z20" s="97"/>
    </row>
    <row r="21" spans="1:26" ht="12.75" customHeight="1" x14ac:dyDescent="0.2">
      <c r="A21" s="96"/>
      <c r="B21" s="96"/>
      <c r="C21" s="96"/>
      <c r="D21" s="96"/>
      <c r="E21" s="96"/>
      <c r="F21" s="96"/>
      <c r="G21" s="96"/>
      <c r="H21" s="96"/>
      <c r="I21" s="97"/>
      <c r="J21" s="97"/>
      <c r="K21" s="97"/>
      <c r="L21" s="97"/>
      <c r="M21" s="97"/>
      <c r="N21" s="97"/>
      <c r="O21" s="97"/>
      <c r="P21" s="97"/>
      <c r="Q21" s="97"/>
      <c r="R21" s="97"/>
      <c r="S21" s="97"/>
      <c r="T21" s="97"/>
      <c r="U21" s="97"/>
      <c r="V21" s="97"/>
      <c r="W21" s="97"/>
      <c r="X21" s="97"/>
      <c r="Y21" s="97"/>
      <c r="Z21" s="97"/>
    </row>
    <row r="22" spans="1:26" ht="12.75" customHeight="1" x14ac:dyDescent="0.2">
      <c r="A22" s="96"/>
      <c r="B22" s="96"/>
      <c r="C22" s="96"/>
      <c r="D22" s="96"/>
      <c r="E22" s="96"/>
      <c r="F22" s="96"/>
      <c r="G22" s="96"/>
      <c r="H22" s="96"/>
      <c r="I22" s="97"/>
      <c r="J22" s="97"/>
      <c r="K22" s="97"/>
      <c r="L22" s="97"/>
      <c r="M22" s="97"/>
      <c r="N22" s="97"/>
      <c r="O22" s="97"/>
      <c r="P22" s="97"/>
      <c r="Q22" s="97"/>
      <c r="R22" s="97"/>
      <c r="S22" s="97"/>
      <c r="T22" s="97"/>
      <c r="U22" s="97"/>
      <c r="V22" s="97"/>
      <c r="W22" s="97"/>
      <c r="X22" s="97"/>
      <c r="Y22" s="97"/>
      <c r="Z22" s="97"/>
    </row>
    <row r="23" spans="1:26" ht="12.75" customHeight="1" x14ac:dyDescent="0.2">
      <c r="A23" s="96"/>
      <c r="B23" s="96"/>
      <c r="C23" s="96"/>
      <c r="D23" s="96"/>
      <c r="E23" s="96"/>
      <c r="F23" s="96"/>
      <c r="G23" s="96"/>
      <c r="H23" s="96"/>
      <c r="I23" s="97"/>
      <c r="J23" s="97"/>
      <c r="K23" s="97"/>
      <c r="L23" s="97"/>
      <c r="M23" s="97"/>
      <c r="N23" s="97"/>
      <c r="O23" s="97"/>
      <c r="P23" s="97"/>
      <c r="Q23" s="97"/>
      <c r="R23" s="97"/>
      <c r="S23" s="97"/>
      <c r="T23" s="97"/>
      <c r="U23" s="97"/>
      <c r="V23" s="97"/>
      <c r="W23" s="97"/>
      <c r="X23" s="97"/>
      <c r="Y23" s="97"/>
      <c r="Z23" s="97"/>
    </row>
    <row r="24" spans="1:26" ht="12.75" customHeight="1" x14ac:dyDescent="0.2">
      <c r="A24" s="96"/>
      <c r="B24" s="96"/>
      <c r="C24" s="96"/>
      <c r="D24" s="96"/>
      <c r="E24" s="96"/>
      <c r="F24" s="96"/>
      <c r="G24" s="96"/>
      <c r="H24" s="96"/>
      <c r="I24" s="97"/>
      <c r="J24" s="97"/>
      <c r="K24" s="97"/>
      <c r="L24" s="97"/>
      <c r="M24" s="97"/>
      <c r="N24" s="97"/>
      <c r="O24" s="97"/>
      <c r="P24" s="97"/>
      <c r="Q24" s="97"/>
      <c r="R24" s="97"/>
      <c r="S24" s="97"/>
      <c r="T24" s="97"/>
      <c r="U24" s="97"/>
      <c r="V24" s="97"/>
      <c r="W24" s="97"/>
      <c r="X24" s="97"/>
      <c r="Y24" s="97"/>
      <c r="Z24" s="97"/>
    </row>
    <row r="25" spans="1:26" ht="12.75" customHeight="1" x14ac:dyDescent="0.2">
      <c r="A25" s="96"/>
      <c r="B25" s="96"/>
      <c r="C25" s="96"/>
      <c r="D25" s="96"/>
      <c r="E25" s="96"/>
      <c r="F25" s="96"/>
      <c r="G25" s="96"/>
      <c r="H25" s="96"/>
      <c r="I25" s="97"/>
      <c r="J25" s="97"/>
      <c r="K25" s="97"/>
      <c r="L25" s="97"/>
      <c r="M25" s="97"/>
      <c r="N25" s="97"/>
      <c r="O25" s="97"/>
      <c r="P25" s="97"/>
      <c r="Q25" s="97"/>
      <c r="R25" s="97"/>
      <c r="S25" s="97"/>
      <c r="T25" s="97"/>
      <c r="U25" s="97"/>
      <c r="V25" s="97"/>
      <c r="W25" s="97"/>
      <c r="X25" s="97"/>
      <c r="Y25" s="97"/>
      <c r="Z25" s="97"/>
    </row>
    <row r="26" spans="1:26" ht="12.75" customHeight="1" x14ac:dyDescent="0.2">
      <c r="A26" s="96"/>
      <c r="B26" s="96"/>
      <c r="C26" s="96"/>
      <c r="D26" s="96"/>
      <c r="E26" s="96"/>
      <c r="F26" s="96"/>
      <c r="G26" s="96"/>
      <c r="H26" s="96"/>
      <c r="I26" s="97"/>
      <c r="J26" s="97"/>
      <c r="K26" s="97"/>
      <c r="L26" s="97"/>
      <c r="M26" s="97"/>
      <c r="N26" s="97"/>
      <c r="O26" s="97"/>
      <c r="P26" s="97"/>
      <c r="Q26" s="97"/>
      <c r="R26" s="97"/>
      <c r="S26" s="97"/>
      <c r="T26" s="97"/>
      <c r="U26" s="97"/>
      <c r="V26" s="97"/>
      <c r="W26" s="97"/>
      <c r="X26" s="97"/>
      <c r="Y26" s="97"/>
      <c r="Z26" s="97"/>
    </row>
    <row r="27" spans="1:26" ht="12.75" customHeight="1" x14ac:dyDescent="0.2">
      <c r="A27" s="96"/>
      <c r="B27" s="96"/>
      <c r="C27" s="96"/>
      <c r="D27" s="96"/>
      <c r="E27" s="96"/>
      <c r="F27" s="96"/>
      <c r="G27" s="96"/>
      <c r="H27" s="96"/>
      <c r="I27" s="97"/>
      <c r="J27" s="97"/>
      <c r="K27" s="97"/>
      <c r="L27" s="97"/>
      <c r="M27" s="97"/>
      <c r="N27" s="97"/>
      <c r="O27" s="97"/>
      <c r="P27" s="97"/>
      <c r="Q27" s="97"/>
      <c r="R27" s="97"/>
      <c r="S27" s="97"/>
      <c r="T27" s="97"/>
      <c r="U27" s="97"/>
      <c r="V27" s="97"/>
      <c r="W27" s="97"/>
      <c r="X27" s="97"/>
      <c r="Y27" s="97"/>
      <c r="Z27" s="97"/>
    </row>
    <row r="28" spans="1:26" ht="12.75" customHeight="1" x14ac:dyDescent="0.2">
      <c r="A28" s="96"/>
      <c r="B28" s="96"/>
      <c r="C28" s="96"/>
      <c r="D28" s="96"/>
      <c r="E28" s="96"/>
      <c r="F28" s="96"/>
      <c r="G28" s="96"/>
      <c r="H28" s="96"/>
      <c r="I28" s="97"/>
      <c r="J28" s="97"/>
      <c r="K28" s="97"/>
      <c r="L28" s="97"/>
      <c r="M28" s="97"/>
      <c r="N28" s="97"/>
      <c r="O28" s="97"/>
      <c r="P28" s="97"/>
      <c r="Q28" s="97"/>
      <c r="R28" s="97"/>
      <c r="S28" s="97"/>
      <c r="T28" s="97"/>
      <c r="U28" s="97"/>
      <c r="V28" s="97"/>
      <c r="W28" s="97"/>
      <c r="X28" s="97"/>
      <c r="Y28" s="97"/>
      <c r="Z28" s="97"/>
    </row>
    <row r="29" spans="1:26" ht="12.75" customHeight="1" x14ac:dyDescent="0.2">
      <c r="A29" s="96"/>
      <c r="B29" s="96"/>
      <c r="C29" s="96"/>
      <c r="D29" s="96"/>
      <c r="E29" s="96"/>
      <c r="F29" s="96"/>
      <c r="G29" s="96"/>
      <c r="H29" s="96"/>
      <c r="I29" s="97"/>
      <c r="J29" s="97"/>
      <c r="K29" s="97"/>
      <c r="L29" s="97"/>
      <c r="M29" s="97"/>
      <c r="N29" s="97"/>
      <c r="O29" s="97"/>
      <c r="P29" s="97"/>
      <c r="Q29" s="97"/>
      <c r="R29" s="97"/>
      <c r="S29" s="97"/>
      <c r="T29" s="97"/>
      <c r="U29" s="97"/>
      <c r="V29" s="97"/>
      <c r="W29" s="97"/>
      <c r="X29" s="97"/>
      <c r="Y29" s="97"/>
      <c r="Z29" s="97"/>
    </row>
    <row r="30" spans="1:26" ht="12.75" customHeight="1" x14ac:dyDescent="0.2">
      <c r="A30" s="96"/>
      <c r="B30" s="96"/>
      <c r="C30" s="96"/>
      <c r="D30" s="96"/>
      <c r="E30" s="96"/>
      <c r="F30" s="96"/>
      <c r="G30" s="96"/>
      <c r="H30" s="96"/>
      <c r="I30" s="97"/>
      <c r="J30" s="97"/>
      <c r="K30" s="97"/>
      <c r="L30" s="97"/>
      <c r="M30" s="97"/>
      <c r="N30" s="97"/>
      <c r="O30" s="97"/>
      <c r="P30" s="97"/>
      <c r="Q30" s="97"/>
      <c r="R30" s="97"/>
      <c r="S30" s="97"/>
      <c r="T30" s="97"/>
      <c r="U30" s="97"/>
      <c r="V30" s="97"/>
      <c r="W30" s="97"/>
      <c r="X30" s="97"/>
      <c r="Y30" s="97"/>
      <c r="Z30" s="97"/>
    </row>
    <row r="31" spans="1:26" ht="12.75" customHeight="1" x14ac:dyDescent="0.2">
      <c r="A31" s="96"/>
      <c r="B31" s="96"/>
      <c r="C31" s="96"/>
      <c r="D31" s="96"/>
      <c r="E31" s="96"/>
      <c r="F31" s="96"/>
      <c r="G31" s="96"/>
      <c r="H31" s="96"/>
      <c r="I31" s="97"/>
      <c r="J31" s="97"/>
      <c r="K31" s="97"/>
      <c r="L31" s="97"/>
      <c r="M31" s="97"/>
      <c r="N31" s="97"/>
      <c r="O31" s="97"/>
      <c r="P31" s="97"/>
      <c r="Q31" s="97"/>
      <c r="R31" s="97"/>
      <c r="S31" s="97"/>
      <c r="T31" s="97"/>
      <c r="U31" s="97"/>
      <c r="V31" s="97"/>
      <c r="W31" s="97"/>
      <c r="X31" s="97"/>
      <c r="Y31" s="97"/>
      <c r="Z31" s="97"/>
    </row>
    <row r="32" spans="1:26" ht="12.75" customHeight="1" x14ac:dyDescent="0.2">
      <c r="A32" s="96"/>
      <c r="B32" s="96"/>
      <c r="C32" s="96"/>
      <c r="D32" s="96"/>
      <c r="E32" s="96"/>
      <c r="F32" s="96"/>
      <c r="G32" s="96"/>
      <c r="H32" s="96"/>
      <c r="I32" s="97"/>
      <c r="J32" s="97"/>
      <c r="K32" s="97"/>
      <c r="L32" s="97"/>
      <c r="M32" s="97"/>
      <c r="N32" s="97"/>
      <c r="O32" s="97"/>
      <c r="P32" s="97"/>
      <c r="Q32" s="97"/>
      <c r="R32" s="97"/>
      <c r="S32" s="97"/>
      <c r="T32" s="97"/>
      <c r="U32" s="97"/>
      <c r="V32" s="97"/>
      <c r="W32" s="97"/>
      <c r="X32" s="97"/>
      <c r="Y32" s="97"/>
      <c r="Z32" s="97"/>
    </row>
    <row r="33" spans="1:26" ht="12.75" customHeight="1" x14ac:dyDescent="0.2">
      <c r="A33" s="97"/>
      <c r="B33" s="97"/>
      <c r="C33" s="97"/>
      <c r="D33" s="97"/>
      <c r="E33" s="97"/>
      <c r="F33" s="97"/>
      <c r="G33" s="97"/>
      <c r="H33" s="97"/>
      <c r="I33" s="97"/>
      <c r="J33" s="97"/>
      <c r="K33" s="97"/>
      <c r="L33" s="97"/>
      <c r="M33" s="97"/>
      <c r="N33" s="97"/>
      <c r="O33" s="97"/>
      <c r="P33" s="97"/>
      <c r="Q33" s="97"/>
      <c r="R33" s="97"/>
      <c r="S33" s="97"/>
      <c r="T33" s="97"/>
      <c r="U33" s="97"/>
      <c r="V33" s="97"/>
      <c r="W33" s="97"/>
      <c r="X33" s="97"/>
      <c r="Y33" s="97"/>
      <c r="Z33" s="97"/>
    </row>
    <row r="34" spans="1:26" ht="12.75" customHeight="1" x14ac:dyDescent="0.2">
      <c r="A34" s="97"/>
      <c r="B34" s="97"/>
      <c r="C34" s="97"/>
      <c r="D34" s="97"/>
      <c r="E34" s="97"/>
      <c r="F34" s="97"/>
      <c r="G34" s="97"/>
      <c r="H34" s="97"/>
      <c r="I34" s="97"/>
      <c r="J34" s="97"/>
      <c r="K34" s="97"/>
      <c r="L34" s="97"/>
      <c r="M34" s="97"/>
      <c r="N34" s="97"/>
      <c r="O34" s="97"/>
      <c r="P34" s="97"/>
      <c r="Q34" s="97"/>
      <c r="R34" s="97"/>
      <c r="S34" s="97"/>
      <c r="T34" s="97"/>
      <c r="U34" s="97"/>
      <c r="V34" s="97"/>
      <c r="W34" s="97"/>
      <c r="X34" s="97"/>
      <c r="Y34" s="97"/>
      <c r="Z34" s="97"/>
    </row>
    <row r="35" spans="1:26" ht="12.75" customHeight="1" x14ac:dyDescent="0.2">
      <c r="A35" s="97"/>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2.75" customHeight="1" x14ac:dyDescent="0.2">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2.75" customHeight="1" x14ac:dyDescent="0.2">
      <c r="A37" s="97"/>
      <c r="B37" s="97"/>
      <c r="C37" s="97"/>
      <c r="D37" s="97"/>
      <c r="E37" s="97"/>
      <c r="F37" s="97"/>
      <c r="G37" s="97"/>
      <c r="H37" s="97"/>
      <c r="I37" s="97"/>
      <c r="J37" s="97"/>
      <c r="K37" s="97"/>
      <c r="L37" s="97"/>
      <c r="M37" s="97"/>
      <c r="N37" s="97"/>
      <c r="O37" s="97"/>
      <c r="P37" s="97"/>
      <c r="Q37" s="97"/>
      <c r="R37" s="97"/>
      <c r="S37" s="97"/>
      <c r="T37" s="97"/>
      <c r="U37" s="97"/>
      <c r="V37" s="97"/>
      <c r="W37" s="97"/>
      <c r="X37" s="97"/>
      <c r="Y37" s="97"/>
      <c r="Z37" s="97"/>
    </row>
    <row r="38" spans="1:26" ht="12.75" customHeight="1" x14ac:dyDescent="0.2">
      <c r="A38" s="97"/>
      <c r="B38" s="97"/>
      <c r="C38" s="97"/>
      <c r="D38" s="97"/>
      <c r="E38" s="97"/>
      <c r="F38" s="97"/>
      <c r="G38" s="97"/>
      <c r="H38" s="97"/>
      <c r="I38" s="97"/>
      <c r="J38" s="97"/>
      <c r="K38" s="97"/>
      <c r="L38" s="97"/>
      <c r="M38" s="97"/>
      <c r="N38" s="97"/>
      <c r="O38" s="97"/>
      <c r="P38" s="97"/>
      <c r="Q38" s="97"/>
      <c r="R38" s="97"/>
      <c r="S38" s="97"/>
      <c r="T38" s="97"/>
      <c r="U38" s="97"/>
      <c r="V38" s="97"/>
      <c r="W38" s="97"/>
      <c r="X38" s="97"/>
      <c r="Y38" s="97"/>
      <c r="Z38" s="97"/>
    </row>
    <row r="39" spans="1:26" ht="12.75" customHeight="1" x14ac:dyDescent="0.2">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row>
    <row r="40" spans="1:26" ht="12.75" customHeight="1" x14ac:dyDescent="0.2">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row>
    <row r="41" spans="1:26" ht="12.75" customHeight="1" x14ac:dyDescent="0.2">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row>
    <row r="42" spans="1:26" ht="12.75" customHeight="1" x14ac:dyDescent="0.2">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row>
    <row r="43" spans="1:26" ht="12.75" customHeight="1" x14ac:dyDescent="0.2">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row>
    <row r="44" spans="1:26" ht="12.75" customHeight="1" x14ac:dyDescent="0.2">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row>
    <row r="45" spans="1:26" ht="12.75" customHeight="1" x14ac:dyDescent="0.2">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row>
    <row r="46" spans="1:26" ht="12.75" customHeight="1" x14ac:dyDescent="0.2">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row>
    <row r="47" spans="1:26" ht="12.75" customHeight="1" x14ac:dyDescent="0.2">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row>
    <row r="48" spans="1:26" ht="12.75" customHeight="1" x14ac:dyDescent="0.2">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row>
    <row r="49" spans="1:26" ht="12.75" customHeight="1" x14ac:dyDescent="0.2">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row>
    <row r="50" spans="1:26" ht="12.75" customHeight="1" x14ac:dyDescent="0.2">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row>
    <row r="51" spans="1:26" ht="12.75" customHeight="1" x14ac:dyDescent="0.2">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row>
    <row r="52" spans="1:26" ht="12.75" customHeight="1" x14ac:dyDescent="0.2">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row>
    <row r="53" spans="1:26" ht="12.75" customHeight="1" x14ac:dyDescent="0.2">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row>
    <row r="54" spans="1:26" ht="12.75" customHeight="1" x14ac:dyDescent="0.2">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spans="1:26" ht="12.75" customHeight="1" x14ac:dyDescent="0.2">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row>
    <row r="56" spans="1:26" ht="12.75" customHeight="1" x14ac:dyDescent="0.2">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row>
    <row r="57" spans="1:26" ht="12.75" customHeight="1" x14ac:dyDescent="0.2">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spans="1:26" ht="12.75" customHeight="1" x14ac:dyDescent="0.2">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spans="1:26" ht="12.75" customHeight="1" x14ac:dyDescent="0.2">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spans="1:26" ht="12.75" customHeight="1" x14ac:dyDescent="0.2">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row>
    <row r="61" spans="1:26" ht="12.75" customHeight="1" x14ac:dyDescent="0.2">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row>
    <row r="62" spans="1:26" ht="12.75" customHeight="1" x14ac:dyDescent="0.2">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row>
    <row r="63" spans="1:26" ht="12.75" customHeight="1" x14ac:dyDescent="0.2">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row>
    <row r="64" spans="1:26" ht="12.75" customHeight="1" x14ac:dyDescent="0.2">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row>
    <row r="65" spans="1:26" ht="12.75" customHeight="1" x14ac:dyDescent="0.2">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row>
    <row r="66" spans="1:26" ht="12.75" customHeight="1" x14ac:dyDescent="0.2">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row>
    <row r="67" spans="1:26" ht="12.75" customHeight="1" x14ac:dyDescent="0.2">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row>
    <row r="68" spans="1:26" ht="12.75" customHeight="1" x14ac:dyDescent="0.2">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row>
    <row r="69" spans="1:26" ht="12.75" customHeight="1" x14ac:dyDescent="0.2">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row>
    <row r="70" spans="1:26" ht="12.75" customHeight="1" x14ac:dyDescent="0.2">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row>
    <row r="71" spans="1:26" ht="12.75" customHeight="1" x14ac:dyDescent="0.2">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row>
    <row r="72" spans="1:26" ht="12.75" customHeight="1" x14ac:dyDescent="0.2">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row>
    <row r="73" spans="1:26" ht="12.75" customHeight="1" x14ac:dyDescent="0.2">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row>
    <row r="74" spans="1:26" ht="12.75" customHeight="1" x14ac:dyDescent="0.2">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row>
    <row r="75" spans="1:26" ht="12.75" customHeight="1" x14ac:dyDescent="0.2">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row>
    <row r="76" spans="1:26" ht="12.75" customHeight="1" x14ac:dyDescent="0.2">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row>
    <row r="77" spans="1:26" ht="12.75" customHeight="1" x14ac:dyDescent="0.2">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row>
    <row r="78" spans="1:26" ht="12.75" customHeight="1" x14ac:dyDescent="0.2">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row>
    <row r="79" spans="1:26" ht="12.75" customHeight="1" x14ac:dyDescent="0.2">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row>
    <row r="80" spans="1:26" ht="12.75" customHeight="1" x14ac:dyDescent="0.2">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row>
    <row r="81" spans="1:26" ht="12.75" customHeight="1" x14ac:dyDescent="0.2">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row>
    <row r="82" spans="1:26" ht="12.75" customHeight="1" x14ac:dyDescent="0.2">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row>
    <row r="83" spans="1:26" ht="12.75" customHeight="1" x14ac:dyDescent="0.2">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spans="1:26" ht="12.75" customHeight="1" x14ac:dyDescent="0.2">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spans="1:26" ht="12.75" customHeight="1" x14ac:dyDescent="0.2">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spans="1:26" ht="12.75" customHeight="1" x14ac:dyDescent="0.2">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spans="1:26" ht="12.75" customHeight="1" x14ac:dyDescent="0.2">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spans="1:26" ht="12.75" customHeight="1" x14ac:dyDescent="0.2">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spans="1:26" ht="12.75" customHeight="1" x14ac:dyDescent="0.2">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spans="1:26" ht="12.75" customHeight="1" x14ac:dyDescent="0.2">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spans="1:26" ht="12.75" customHeight="1" x14ac:dyDescent="0.2">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spans="1:26" ht="12.75" customHeight="1" x14ac:dyDescent="0.2">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spans="1:26" ht="12.75" customHeight="1" x14ac:dyDescent="0.2">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spans="1:26" ht="12.75" customHeight="1" x14ac:dyDescent="0.2">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spans="1:26" ht="12.75" customHeight="1" x14ac:dyDescent="0.2">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row>
    <row r="96" spans="1:26" ht="12.75" customHeight="1" x14ac:dyDescent="0.2">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row>
    <row r="97" spans="1:26" ht="12.75" customHeight="1" x14ac:dyDescent="0.2">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spans="1:26" ht="12.75" customHeight="1" x14ac:dyDescent="0.2">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spans="1:26" ht="12.75" customHeight="1" x14ac:dyDescent="0.2">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spans="1:26" ht="12.75" customHeight="1" x14ac:dyDescent="0.2">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spans="1:26" ht="12.75" customHeight="1" x14ac:dyDescent="0.2">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spans="1:26" ht="12.75" customHeight="1" x14ac:dyDescent="0.2">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spans="1:26" ht="12.75" customHeight="1" x14ac:dyDescent="0.2">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spans="1:26" ht="12.75" customHeight="1" x14ac:dyDescent="0.2">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spans="1:26" ht="12.75" customHeight="1" x14ac:dyDescent="0.2">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spans="1:26" ht="12.75" customHeight="1" x14ac:dyDescent="0.2">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spans="1:26" ht="12.75" customHeight="1" x14ac:dyDescent="0.2">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spans="1:26" ht="12.75" customHeight="1" x14ac:dyDescent="0.2">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spans="1:26" ht="12.75" customHeight="1" x14ac:dyDescent="0.2">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spans="1:26" ht="12.75" customHeight="1" x14ac:dyDescent="0.2">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spans="1:26" ht="12.75" customHeight="1" x14ac:dyDescent="0.2">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spans="1:26" ht="12.75" customHeight="1" x14ac:dyDescent="0.2">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spans="1:26" ht="12.75" customHeight="1" x14ac:dyDescent="0.2">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spans="1:26" ht="12.75" customHeight="1" x14ac:dyDescent="0.2">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spans="1:26" ht="12.75" customHeight="1" x14ac:dyDescent="0.2">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spans="1:26" ht="12.75" customHeight="1" x14ac:dyDescent="0.2">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spans="1:26" ht="12.75" customHeight="1" x14ac:dyDescent="0.2">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spans="1:26" ht="12.75" customHeight="1" x14ac:dyDescent="0.2">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spans="1:26" ht="12.75" customHeight="1" x14ac:dyDescent="0.2">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spans="1:26" ht="12.75" customHeight="1" x14ac:dyDescent="0.2">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spans="1:26" ht="12.75" customHeight="1" x14ac:dyDescent="0.2">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spans="1:26" ht="12.75" customHeight="1" x14ac:dyDescent="0.2">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spans="1:26" ht="12.75" customHeight="1" x14ac:dyDescent="0.2">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spans="1:26" ht="12.75" customHeight="1" x14ac:dyDescent="0.2">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spans="1:26" ht="12.75" customHeight="1" x14ac:dyDescent="0.2">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spans="1:26" ht="12.75" customHeight="1" x14ac:dyDescent="0.2">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spans="1:26" ht="12.75" customHeight="1" x14ac:dyDescent="0.2">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spans="1:26" ht="12.75" customHeight="1" x14ac:dyDescent="0.2">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spans="1:26" ht="12.75" customHeight="1" x14ac:dyDescent="0.2">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spans="1:26" ht="12.75" customHeight="1" x14ac:dyDescent="0.2">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spans="1:26" ht="12.75" customHeight="1" x14ac:dyDescent="0.2">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spans="1:26" ht="12.75" customHeight="1" x14ac:dyDescent="0.2">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spans="1:26" ht="12.75" customHeight="1" x14ac:dyDescent="0.2">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spans="1:26" ht="12.75" customHeight="1" x14ac:dyDescent="0.2">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spans="1:26" ht="12.75" customHeight="1" x14ac:dyDescent="0.2">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spans="1:26" ht="12.75" customHeight="1" x14ac:dyDescent="0.2">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spans="1:26" ht="12.75" customHeight="1" x14ac:dyDescent="0.2">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spans="1:26" ht="12.75" customHeight="1" x14ac:dyDescent="0.2">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spans="1:26" ht="12.75" customHeight="1" x14ac:dyDescent="0.2">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spans="1:26" ht="12.75" customHeight="1" x14ac:dyDescent="0.2">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spans="1:26" ht="12.75" customHeight="1" x14ac:dyDescent="0.2">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spans="1:26" ht="12.75" customHeight="1" x14ac:dyDescent="0.2">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spans="1:26" ht="12.75" customHeight="1" x14ac:dyDescent="0.2">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spans="1:26" ht="12.75" customHeight="1" x14ac:dyDescent="0.2">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spans="1:26" ht="12.75" customHeight="1" x14ac:dyDescent="0.2">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spans="1:26" ht="12.75" customHeight="1" x14ac:dyDescent="0.2">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spans="1:26" ht="12.75" customHeight="1" x14ac:dyDescent="0.2">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spans="1:26" ht="12.75" customHeight="1" x14ac:dyDescent="0.2">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spans="1:26" ht="12.75" customHeight="1" x14ac:dyDescent="0.2">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spans="1:26" ht="12.75" customHeight="1" x14ac:dyDescent="0.2">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spans="1:26" ht="12.75" customHeight="1" x14ac:dyDescent="0.2">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spans="1:26" ht="12.75" customHeight="1" x14ac:dyDescent="0.2">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spans="1:26" ht="12.75" customHeight="1" x14ac:dyDescent="0.2">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spans="1:26" ht="12.75" customHeight="1" x14ac:dyDescent="0.2">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spans="1:26" ht="12.75" customHeight="1" x14ac:dyDescent="0.2">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spans="1:26" ht="12.75" customHeight="1" x14ac:dyDescent="0.2">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spans="1:26" ht="12.75" customHeight="1" x14ac:dyDescent="0.2">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spans="1:26" ht="12.75" customHeight="1" x14ac:dyDescent="0.2">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spans="1:26" ht="12.75" customHeight="1" x14ac:dyDescent="0.2">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spans="1:26" ht="12.75" customHeight="1" x14ac:dyDescent="0.2">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spans="1:26" ht="12.75" customHeight="1" x14ac:dyDescent="0.2">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spans="1:26" ht="12.75" customHeight="1" x14ac:dyDescent="0.2">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spans="1:26" ht="12.75" customHeight="1" x14ac:dyDescent="0.2">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spans="1:26" ht="12.75" customHeight="1" x14ac:dyDescent="0.2">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spans="1:26" ht="12.75" customHeight="1" x14ac:dyDescent="0.2">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spans="1:26" ht="12.75" customHeight="1" x14ac:dyDescent="0.2">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spans="1:26" ht="12.75" customHeight="1" x14ac:dyDescent="0.2">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spans="1:26" ht="12.75" customHeight="1" x14ac:dyDescent="0.2">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spans="1:26" ht="12.75" customHeight="1" x14ac:dyDescent="0.2">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spans="1:26" ht="12.75" customHeight="1" x14ac:dyDescent="0.2">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spans="1:26" ht="12.75" customHeight="1" x14ac:dyDescent="0.2">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spans="1:26" ht="12.75" customHeight="1" x14ac:dyDescent="0.2">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spans="1:26" ht="12.75" customHeight="1" x14ac:dyDescent="0.2">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spans="1:26" ht="12.75" customHeight="1" x14ac:dyDescent="0.2">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spans="1:26" ht="12.75" customHeight="1" x14ac:dyDescent="0.2">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spans="1:26" ht="12.75" customHeight="1" x14ac:dyDescent="0.2">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spans="1:26" ht="12.75" customHeight="1" x14ac:dyDescent="0.2">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spans="1:26" ht="12.75" customHeight="1" x14ac:dyDescent="0.2">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spans="1:26" ht="12.75" customHeight="1" x14ac:dyDescent="0.2">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spans="1:26" ht="12.75" customHeight="1" x14ac:dyDescent="0.2">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spans="1:26" ht="12.75" customHeight="1" x14ac:dyDescent="0.2">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spans="1:26" ht="12.75" customHeight="1" x14ac:dyDescent="0.2">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spans="1:26" ht="12.75" customHeight="1" x14ac:dyDescent="0.2">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spans="1:26" ht="12.75" customHeight="1" x14ac:dyDescent="0.2">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spans="1:26" ht="12.75" customHeight="1" x14ac:dyDescent="0.2">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spans="1:26" ht="12.75" customHeight="1" x14ac:dyDescent="0.2">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spans="1:26" ht="12.75" customHeight="1" x14ac:dyDescent="0.2">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spans="1:26" ht="12.75" customHeight="1" x14ac:dyDescent="0.2">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spans="1:26" ht="12.75" customHeight="1" x14ac:dyDescent="0.2">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spans="1:26" ht="12.75" customHeight="1" x14ac:dyDescent="0.2">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spans="1:26" ht="12.75" customHeight="1" x14ac:dyDescent="0.2">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spans="1:26" ht="12.75" customHeight="1" x14ac:dyDescent="0.2">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spans="1:26" ht="12.75" customHeight="1" x14ac:dyDescent="0.2">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spans="1:26" ht="12.75" customHeight="1" x14ac:dyDescent="0.2">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spans="1:26" ht="12.75" customHeight="1" x14ac:dyDescent="0.2">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spans="1:26" ht="12.75" customHeight="1" x14ac:dyDescent="0.2">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spans="1:26" ht="12.75" customHeight="1" x14ac:dyDescent="0.2">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spans="1:26" ht="12.75" customHeight="1" x14ac:dyDescent="0.2">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spans="1:26" ht="12.75" customHeight="1" x14ac:dyDescent="0.2">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spans="1:26" ht="12.75" customHeight="1" x14ac:dyDescent="0.2">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spans="1:26" ht="12.75" customHeight="1" x14ac:dyDescent="0.2">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spans="1:26" ht="12.75" customHeight="1" x14ac:dyDescent="0.2">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spans="1:26" ht="12.75" customHeight="1" x14ac:dyDescent="0.2">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spans="1:26" ht="12.75" customHeight="1" x14ac:dyDescent="0.2">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spans="1:26" ht="12.75" customHeight="1" x14ac:dyDescent="0.2">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spans="1:26" ht="12.75" customHeight="1" x14ac:dyDescent="0.2">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spans="1:26" ht="12.75" customHeight="1" x14ac:dyDescent="0.2">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spans="1:26" ht="12.75" customHeight="1" x14ac:dyDescent="0.2">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spans="1:26" ht="12.75" customHeight="1" x14ac:dyDescent="0.2">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spans="1:26" ht="12.75" customHeight="1" x14ac:dyDescent="0.2">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spans="1:26" ht="12.75" customHeight="1" x14ac:dyDescent="0.2">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spans="1:26" ht="12.75" customHeight="1" x14ac:dyDescent="0.2">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spans="1:26" ht="12.75" customHeight="1" x14ac:dyDescent="0.2">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spans="1:26" ht="12.75" customHeight="1" x14ac:dyDescent="0.2">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spans="1:26" ht="12.75" customHeight="1" x14ac:dyDescent="0.2">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spans="1:26" ht="12.75" customHeight="1" x14ac:dyDescent="0.2">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spans="1:26" ht="12.75" customHeight="1" x14ac:dyDescent="0.2">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spans="1:26" ht="12.75" customHeight="1" x14ac:dyDescent="0.2">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spans="1:26" ht="12.75" customHeight="1" x14ac:dyDescent="0.2">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spans="1:26" ht="12.75" customHeight="1" x14ac:dyDescent="0.2">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spans="1:26" ht="12.75" customHeight="1" x14ac:dyDescent="0.2">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spans="1:26" ht="12.75" customHeight="1" x14ac:dyDescent="0.2">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spans="1:26" ht="12.75" customHeight="1" x14ac:dyDescent="0.2">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spans="1:26" ht="12.75" customHeight="1" x14ac:dyDescent="0.2">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spans="1:26" ht="12.75" customHeight="1" x14ac:dyDescent="0.2">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spans="1:26" ht="12.75" customHeight="1" x14ac:dyDescent="0.2">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spans="1:26" ht="12.75" customHeight="1" x14ac:dyDescent="0.2">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spans="1:26" ht="12.75" customHeight="1" x14ac:dyDescent="0.2">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spans="1:26" ht="12.75" customHeight="1" x14ac:dyDescent="0.2">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spans="1:26" ht="12.75" customHeight="1" x14ac:dyDescent="0.2">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spans="1:26" ht="12.75" customHeight="1" x14ac:dyDescent="0.2">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spans="1:26" ht="12.75" customHeight="1" x14ac:dyDescent="0.2">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spans="1:26" ht="12.75" customHeight="1" x14ac:dyDescent="0.2">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spans="1:26" ht="12.75" customHeight="1" x14ac:dyDescent="0.2">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spans="1:26" ht="12.75" customHeight="1" x14ac:dyDescent="0.2">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spans="1:26" ht="12.75" customHeight="1" x14ac:dyDescent="0.2">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spans="1:26" ht="12.75" customHeight="1" x14ac:dyDescent="0.2">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spans="1:26" ht="12.75" customHeight="1" x14ac:dyDescent="0.2">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spans="1:26" ht="12.75" customHeight="1" x14ac:dyDescent="0.2">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spans="1:26" ht="12.75" customHeight="1" x14ac:dyDescent="0.2">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spans="1:26" ht="12.75" customHeight="1" x14ac:dyDescent="0.2">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spans="1:26" ht="12.75" customHeight="1" x14ac:dyDescent="0.2">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spans="1:26" ht="12.75" customHeight="1" x14ac:dyDescent="0.2">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spans="1:26" ht="12.75" customHeight="1" x14ac:dyDescent="0.2">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spans="1:26" ht="12.75" customHeight="1" x14ac:dyDescent="0.2">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spans="1:26" ht="12.75" customHeight="1" x14ac:dyDescent="0.2">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spans="1:26" ht="12.75" customHeight="1" x14ac:dyDescent="0.2">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spans="1:26" ht="12.75" customHeight="1" x14ac:dyDescent="0.2">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spans="1:26" ht="12.75" customHeight="1" x14ac:dyDescent="0.2">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spans="1:26" ht="12.75" customHeight="1" x14ac:dyDescent="0.2">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spans="1:26" ht="12.75" customHeight="1" x14ac:dyDescent="0.2">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spans="1:26" ht="12.75" customHeight="1" x14ac:dyDescent="0.2">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spans="1:26" ht="12.75" customHeight="1" x14ac:dyDescent="0.2">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spans="1:26" ht="12.75" customHeight="1" x14ac:dyDescent="0.2">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spans="1:26" ht="12.75" customHeight="1" x14ac:dyDescent="0.2">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spans="1:26" ht="12.75" customHeight="1" x14ac:dyDescent="0.2">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spans="1:26" ht="12.75" customHeight="1" x14ac:dyDescent="0.2">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spans="1:26" ht="12.75" customHeight="1" x14ac:dyDescent="0.2">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spans="1:26" ht="12.75" customHeight="1" x14ac:dyDescent="0.2">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spans="1:26" ht="12.75" customHeight="1" x14ac:dyDescent="0.2">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spans="1:26" ht="12.75" customHeight="1" x14ac:dyDescent="0.2">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spans="1:26" ht="12.75" customHeight="1" x14ac:dyDescent="0.2">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spans="1:26" ht="12.75" customHeight="1" x14ac:dyDescent="0.2">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spans="1:26" ht="12.75" customHeight="1" x14ac:dyDescent="0.2">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spans="1:26" ht="12.75" customHeight="1" x14ac:dyDescent="0.2">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spans="1:26" ht="12.75" customHeight="1" x14ac:dyDescent="0.2">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spans="1:26" ht="12.75" customHeight="1" x14ac:dyDescent="0.2">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spans="1:26" ht="12.75" customHeight="1" x14ac:dyDescent="0.2">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spans="1:26" ht="12.75" customHeight="1" x14ac:dyDescent="0.2">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spans="1:26" ht="12.75" customHeight="1" x14ac:dyDescent="0.2">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spans="1:26" ht="12.75" customHeight="1" x14ac:dyDescent="0.2">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spans="1:26" ht="12.75" customHeight="1" x14ac:dyDescent="0.2">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spans="1:26" ht="12.75" customHeight="1" x14ac:dyDescent="0.2">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spans="1:26" ht="12.75" customHeight="1" x14ac:dyDescent="0.2">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spans="1:26" ht="12.75" customHeight="1" x14ac:dyDescent="0.2">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spans="1:26" ht="12.75" customHeight="1" x14ac:dyDescent="0.2">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spans="1:26" ht="12.75" customHeight="1" x14ac:dyDescent="0.2">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spans="1:26" ht="12.75" customHeight="1" x14ac:dyDescent="0.2">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spans="1:26" ht="12.75" customHeight="1" x14ac:dyDescent="0.2">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spans="1:26" ht="12.75" customHeight="1" x14ac:dyDescent="0.2">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spans="1:26" ht="12.75" customHeight="1" x14ac:dyDescent="0.2">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spans="1:26" ht="12.75" customHeight="1" x14ac:dyDescent="0.2">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spans="1:26" ht="12.75" customHeight="1" x14ac:dyDescent="0.2">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spans="1:26" ht="12.75" customHeight="1" x14ac:dyDescent="0.2">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spans="1:26" ht="12.75" customHeight="1" x14ac:dyDescent="0.2">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spans="1:26" ht="12.75" customHeight="1" x14ac:dyDescent="0.2">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spans="1:26" ht="12.75" customHeight="1" x14ac:dyDescent="0.2">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spans="1:26" ht="12.75" customHeight="1" x14ac:dyDescent="0.2">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spans="1:26" ht="12.75" customHeight="1" x14ac:dyDescent="0.2">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spans="1:26" ht="12.75" customHeight="1" x14ac:dyDescent="0.2">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spans="1:26" ht="12.75" customHeight="1" x14ac:dyDescent="0.2">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spans="1:26" ht="12.75" customHeight="1" x14ac:dyDescent="0.2">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spans="1:26" ht="12.75" customHeight="1" x14ac:dyDescent="0.2">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spans="1:26" ht="12.75" customHeight="1" x14ac:dyDescent="0.2">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spans="1:26" ht="12.75" customHeight="1" x14ac:dyDescent="0.2">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spans="1:26" ht="12.75" customHeight="1" x14ac:dyDescent="0.2">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spans="1:26" ht="12.75" customHeight="1" x14ac:dyDescent="0.2">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spans="1:26" ht="12.75" customHeight="1" x14ac:dyDescent="0.2">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spans="1:26" ht="12.75" customHeight="1" x14ac:dyDescent="0.2">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spans="1:26" ht="12.75" customHeight="1" x14ac:dyDescent="0.2">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spans="1:26" ht="12.75" customHeight="1" x14ac:dyDescent="0.2">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spans="1:26" ht="12.75" customHeight="1" x14ac:dyDescent="0.2">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spans="1:26" ht="12.75" customHeight="1" x14ac:dyDescent="0.2">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spans="1:26" ht="12.75" customHeight="1" x14ac:dyDescent="0.2">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spans="1:26" ht="12.75" customHeight="1" x14ac:dyDescent="0.2">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spans="1:26" ht="12.75" customHeight="1" x14ac:dyDescent="0.2">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spans="1:26" ht="12.75" customHeight="1" x14ac:dyDescent="0.2">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spans="1:26" ht="12.75" customHeight="1" x14ac:dyDescent="0.2">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spans="1:26" ht="12.75" customHeight="1" x14ac:dyDescent="0.2">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spans="1:26" ht="12.75" customHeight="1" x14ac:dyDescent="0.2">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spans="1:26" ht="12.75" customHeight="1" x14ac:dyDescent="0.2">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spans="1:26" ht="12.75" customHeight="1" x14ac:dyDescent="0.2">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spans="1:26" ht="12.75" customHeight="1" x14ac:dyDescent="0.2">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spans="1:26" ht="12.75" customHeight="1" x14ac:dyDescent="0.2">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spans="1:26" ht="12.75" customHeight="1" x14ac:dyDescent="0.2">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spans="1:26" ht="12.75" customHeight="1" x14ac:dyDescent="0.2">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spans="1:26" ht="12.75" customHeight="1" x14ac:dyDescent="0.2">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spans="1:26" ht="12.75" customHeight="1" x14ac:dyDescent="0.2">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spans="1:26" ht="12.75" customHeight="1" x14ac:dyDescent="0.2">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spans="1:26" ht="12.75" customHeight="1" x14ac:dyDescent="0.2">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spans="1:26" ht="12.75" customHeight="1" x14ac:dyDescent="0.2">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spans="1:26" ht="12.75" customHeight="1" x14ac:dyDescent="0.2">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spans="1:26" ht="12.75" customHeight="1" x14ac:dyDescent="0.2">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spans="1:26" ht="12.75" customHeight="1" x14ac:dyDescent="0.2">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spans="1:26" ht="12.75" customHeight="1" x14ac:dyDescent="0.2">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spans="1:26" ht="12.75" customHeight="1" x14ac:dyDescent="0.2">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spans="1:26" ht="12.75" customHeight="1" x14ac:dyDescent="0.2">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spans="1:26" ht="12.75" customHeight="1" x14ac:dyDescent="0.2">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spans="1:26" ht="12.75" customHeight="1" x14ac:dyDescent="0.2">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spans="1:26" ht="12.75" customHeight="1" x14ac:dyDescent="0.2">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spans="1:26" ht="12.75" customHeight="1" x14ac:dyDescent="0.2">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spans="1:26" ht="12.75" customHeight="1" x14ac:dyDescent="0.2">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spans="1:26" ht="12.75" customHeight="1" x14ac:dyDescent="0.2">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spans="1:26" ht="12.75" customHeight="1" x14ac:dyDescent="0.2">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spans="1:26" ht="12.75" customHeight="1" x14ac:dyDescent="0.2">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spans="1:26" ht="12.75" customHeight="1" x14ac:dyDescent="0.2">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spans="1:26" ht="12.75" customHeight="1" x14ac:dyDescent="0.2">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spans="1:26" ht="12.75" customHeight="1" x14ac:dyDescent="0.2">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spans="1:26" ht="12.75" customHeight="1" x14ac:dyDescent="0.2">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spans="1:26" ht="12.75" customHeight="1" x14ac:dyDescent="0.2">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spans="1:26" ht="12.75" customHeight="1" x14ac:dyDescent="0.2">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spans="1:26" ht="12.75" customHeight="1" x14ac:dyDescent="0.2">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spans="1:26" ht="12.75" customHeight="1" x14ac:dyDescent="0.2">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spans="1:26" ht="12.75" customHeight="1" x14ac:dyDescent="0.2">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spans="1:26" ht="12.75" customHeight="1" x14ac:dyDescent="0.2">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spans="1:26" ht="12.75" customHeight="1" x14ac:dyDescent="0.2">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spans="1:26" ht="12.75" customHeight="1" x14ac:dyDescent="0.2">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spans="1:26" ht="12.75" customHeight="1" x14ac:dyDescent="0.2">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spans="1:26" ht="12.75" customHeight="1" x14ac:dyDescent="0.2">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spans="1:26" ht="12.75" customHeight="1" x14ac:dyDescent="0.2">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spans="1:26" ht="12.75" customHeight="1" x14ac:dyDescent="0.2">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spans="1:26" ht="12.75" customHeight="1" x14ac:dyDescent="0.2">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spans="1:26" ht="12.75" customHeight="1" x14ac:dyDescent="0.2">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spans="1:26" ht="12.75" customHeight="1" x14ac:dyDescent="0.2">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spans="1:26" ht="12.75" customHeight="1" x14ac:dyDescent="0.2">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spans="1:26" ht="12.75" customHeight="1" x14ac:dyDescent="0.2">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spans="1:26" ht="12.75" customHeight="1" x14ac:dyDescent="0.2">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spans="1:26" ht="12.75" customHeight="1" x14ac:dyDescent="0.2">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spans="1:26" ht="12.75" customHeight="1" x14ac:dyDescent="0.2">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spans="1:26" ht="12.75" customHeight="1" x14ac:dyDescent="0.2">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spans="1:26" ht="12.75" customHeight="1" x14ac:dyDescent="0.2">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spans="1:26" ht="12.75" customHeight="1" x14ac:dyDescent="0.2">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spans="1:26" ht="12.75" customHeight="1" x14ac:dyDescent="0.2">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spans="1:26" ht="12.75" customHeight="1" x14ac:dyDescent="0.2">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spans="1:26" ht="12.75" customHeight="1" x14ac:dyDescent="0.2">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spans="1:26" ht="12.75" customHeight="1" x14ac:dyDescent="0.2">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spans="1:26" ht="12.75" customHeight="1" x14ac:dyDescent="0.2">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spans="1:26" ht="12.75" customHeight="1" x14ac:dyDescent="0.2">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spans="1:26" ht="12.75" customHeight="1" x14ac:dyDescent="0.2">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spans="1:26" ht="12.75" customHeight="1" x14ac:dyDescent="0.2">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spans="1:26" ht="12.75" customHeight="1" x14ac:dyDescent="0.2">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spans="1:26" ht="12.75" customHeight="1" x14ac:dyDescent="0.2">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spans="1:26" ht="12.75" customHeight="1" x14ac:dyDescent="0.2">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spans="1:26" ht="12.75" customHeight="1" x14ac:dyDescent="0.2">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spans="1:26" ht="12.75" customHeight="1" x14ac:dyDescent="0.2">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spans="1:26" ht="12.75" customHeight="1" x14ac:dyDescent="0.2">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spans="1:26" ht="12.75" customHeight="1" x14ac:dyDescent="0.2">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spans="1:26" ht="12.75" customHeight="1" x14ac:dyDescent="0.2">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spans="1:26" ht="12.75" customHeight="1" x14ac:dyDescent="0.2">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spans="1:26" ht="12.75" customHeight="1" x14ac:dyDescent="0.2">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spans="1:26" ht="12.75" customHeight="1" x14ac:dyDescent="0.2">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spans="1:26" ht="12.75" customHeight="1" x14ac:dyDescent="0.2">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spans="1:26" ht="12.75" customHeight="1" x14ac:dyDescent="0.2">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spans="1:26" ht="12.75" customHeight="1" x14ac:dyDescent="0.2">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spans="1:26" ht="12.75" customHeight="1" x14ac:dyDescent="0.2">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spans="1:26" ht="12.75" customHeight="1" x14ac:dyDescent="0.2">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spans="1:26" ht="12.75" customHeight="1" x14ac:dyDescent="0.2">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spans="1:26" ht="12.75" customHeight="1" x14ac:dyDescent="0.2">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spans="1:26" ht="12.75" customHeight="1" x14ac:dyDescent="0.2">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spans="1:26" ht="12.75" customHeight="1" x14ac:dyDescent="0.2">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spans="1:26" ht="12.75" customHeight="1" x14ac:dyDescent="0.2">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spans="1:26" ht="12.75" customHeight="1" x14ac:dyDescent="0.2">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spans="1:26" ht="12.75" customHeight="1" x14ac:dyDescent="0.2">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spans="1:26" ht="12.75" customHeight="1" x14ac:dyDescent="0.2">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spans="1:26" ht="12.75" customHeight="1" x14ac:dyDescent="0.2">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spans="1:26" ht="12.75" customHeight="1" x14ac:dyDescent="0.2">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spans="1:26" ht="12.75" customHeight="1" x14ac:dyDescent="0.2">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spans="1:26" ht="12.75" customHeight="1" x14ac:dyDescent="0.2">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spans="1:26" ht="12.75" customHeight="1" x14ac:dyDescent="0.2">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spans="1:26" ht="12.75" customHeight="1" x14ac:dyDescent="0.2">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spans="1:26" ht="12.75" customHeight="1" x14ac:dyDescent="0.2">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spans="1:26" ht="12.75" customHeight="1" x14ac:dyDescent="0.2">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spans="1:26" ht="12.75" customHeight="1" x14ac:dyDescent="0.2">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spans="1:26" ht="12.75" customHeight="1" x14ac:dyDescent="0.2">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spans="1:26" ht="12.75" customHeight="1" x14ac:dyDescent="0.2">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spans="1:26" ht="12.75" customHeight="1" x14ac:dyDescent="0.2">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spans="1:26" ht="12.75" customHeight="1" x14ac:dyDescent="0.2">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spans="1:26" ht="12.75" customHeight="1" x14ac:dyDescent="0.2">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spans="1:26" ht="12.75" customHeight="1" x14ac:dyDescent="0.2">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spans="1:26" ht="12.75" customHeight="1" x14ac:dyDescent="0.2">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spans="1:26" ht="12.75" customHeight="1" x14ac:dyDescent="0.2">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spans="1:26" ht="12.75" customHeight="1" x14ac:dyDescent="0.2">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spans="1:26" ht="12.75" customHeight="1" x14ac:dyDescent="0.2">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spans="1:26" ht="12.75" customHeight="1" x14ac:dyDescent="0.2">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spans="1:26" ht="12.75" customHeight="1" x14ac:dyDescent="0.2">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spans="1:26" ht="12.75" customHeight="1" x14ac:dyDescent="0.2">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spans="1:26" ht="12.75" customHeight="1" x14ac:dyDescent="0.2">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spans="1:26" ht="12.75" customHeight="1" x14ac:dyDescent="0.2">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spans="1:26" ht="12.75" customHeight="1" x14ac:dyDescent="0.2">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spans="1:26" ht="12.75" customHeight="1" x14ac:dyDescent="0.2">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spans="1:26" ht="12.75" customHeight="1" x14ac:dyDescent="0.2">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spans="1:26" ht="12.75" customHeight="1" x14ac:dyDescent="0.2">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spans="1:26" ht="12.75" customHeight="1" x14ac:dyDescent="0.2">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spans="1:26" ht="12.75" customHeight="1" x14ac:dyDescent="0.2">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spans="1:26" ht="12.75" customHeight="1" x14ac:dyDescent="0.2">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spans="1:26" ht="12.75" customHeight="1" x14ac:dyDescent="0.2">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spans="1:26" ht="12.75" customHeight="1" x14ac:dyDescent="0.2">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spans="1:26" ht="12.75" customHeight="1" x14ac:dyDescent="0.2">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spans="1:26" ht="12.75" customHeight="1" x14ac:dyDescent="0.2">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spans="1:26" ht="12.75" customHeight="1" x14ac:dyDescent="0.2">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spans="1:26" ht="12.75" customHeight="1" x14ac:dyDescent="0.2">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spans="1:26" ht="12.75" customHeight="1" x14ac:dyDescent="0.2">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spans="1:26" ht="12.75" customHeight="1" x14ac:dyDescent="0.2">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spans="1:26" ht="12.75" customHeight="1" x14ac:dyDescent="0.2">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spans="1:26" ht="12.75" customHeight="1" x14ac:dyDescent="0.2">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spans="1:26" ht="12.75" customHeight="1" x14ac:dyDescent="0.2">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spans="1:26" ht="12.75" customHeight="1" x14ac:dyDescent="0.2">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spans="1:26" ht="12.75" customHeight="1" x14ac:dyDescent="0.2">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spans="1:26" ht="12.75" customHeight="1" x14ac:dyDescent="0.2">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spans="1:26" ht="12.75" customHeight="1" x14ac:dyDescent="0.2">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spans="1:26" ht="12.75" customHeight="1" x14ac:dyDescent="0.2">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spans="1:26" ht="12.75" customHeight="1" x14ac:dyDescent="0.2">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spans="1:26" ht="12.75" customHeight="1" x14ac:dyDescent="0.2">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spans="1:26" ht="12.75" customHeight="1" x14ac:dyDescent="0.2">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spans="1:26" ht="12.75" customHeight="1" x14ac:dyDescent="0.2">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spans="1:26" ht="12.75" customHeight="1" x14ac:dyDescent="0.2">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spans="1:26" ht="12.75" customHeight="1" x14ac:dyDescent="0.2">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spans="1:26" ht="12.75" customHeight="1" x14ac:dyDescent="0.2">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spans="1:26" ht="12.75" customHeight="1" x14ac:dyDescent="0.2">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spans="1:26" ht="12.75" customHeight="1" x14ac:dyDescent="0.2">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spans="1:26" ht="12.75" customHeight="1" x14ac:dyDescent="0.2">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spans="1:26" ht="12.75" customHeight="1" x14ac:dyDescent="0.2">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spans="1:26" ht="12.75" customHeight="1" x14ac:dyDescent="0.2">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spans="1:26" ht="12.75" customHeight="1" x14ac:dyDescent="0.2">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spans="1:26" ht="12.75" customHeight="1" x14ac:dyDescent="0.2">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spans="1:26" ht="12.75" customHeight="1" x14ac:dyDescent="0.2">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spans="1:26" ht="12.75" customHeight="1" x14ac:dyDescent="0.2">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spans="1:26" ht="12.75" customHeight="1" x14ac:dyDescent="0.2">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spans="1:26" ht="12.75" customHeight="1" x14ac:dyDescent="0.2">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spans="1:26" ht="12.75" customHeight="1" x14ac:dyDescent="0.2">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spans="1:26" ht="12.75" customHeight="1" x14ac:dyDescent="0.2">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spans="1:26" ht="12.75" customHeight="1" x14ac:dyDescent="0.2">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spans="1:26" ht="12.75" customHeight="1" x14ac:dyDescent="0.2">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spans="1:26" ht="12.75" customHeight="1" x14ac:dyDescent="0.2">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spans="1:26" ht="12.75" customHeight="1" x14ac:dyDescent="0.2">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spans="1:26" ht="12.75" customHeight="1" x14ac:dyDescent="0.2">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spans="1:26" ht="12.75" customHeight="1" x14ac:dyDescent="0.2">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spans="1:26" ht="12.75" customHeight="1" x14ac:dyDescent="0.2">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spans="1:26" ht="12.75" customHeight="1" x14ac:dyDescent="0.2">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spans="1:26" ht="12.75" customHeight="1" x14ac:dyDescent="0.2">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spans="1:26" ht="12.75" customHeight="1" x14ac:dyDescent="0.2">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spans="1:26" ht="12.75" customHeight="1" x14ac:dyDescent="0.2">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spans="1:26" ht="12.75" customHeight="1" x14ac:dyDescent="0.2">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spans="1:26" ht="12.75" customHeight="1" x14ac:dyDescent="0.2">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spans="1:26" ht="12.75" customHeight="1" x14ac:dyDescent="0.2">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spans="1:26" ht="12.75" customHeight="1" x14ac:dyDescent="0.2">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spans="1:26" ht="12.75" customHeight="1" x14ac:dyDescent="0.2">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spans="1:26" ht="12.75" customHeight="1" x14ac:dyDescent="0.2">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spans="1:26" ht="12.75" customHeight="1" x14ac:dyDescent="0.2">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spans="1:26" ht="12.75" customHeight="1" x14ac:dyDescent="0.2">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spans="1:26" ht="12.75" customHeight="1" x14ac:dyDescent="0.2">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spans="1:26" ht="12.75" customHeight="1" x14ac:dyDescent="0.2">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spans="1:26" ht="12.75" customHeight="1" x14ac:dyDescent="0.2">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spans="1:26" ht="12.75" customHeight="1" x14ac:dyDescent="0.2">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spans="1:26" ht="12.75" customHeight="1" x14ac:dyDescent="0.2">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spans="1:26" ht="12.75" customHeight="1" x14ac:dyDescent="0.2">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spans="1:26" ht="12.75" customHeight="1" x14ac:dyDescent="0.2">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spans="1:26" ht="12.75" customHeight="1" x14ac:dyDescent="0.2">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spans="1:26" ht="12.75" customHeight="1" x14ac:dyDescent="0.2">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spans="1:26" ht="12.75" customHeight="1" x14ac:dyDescent="0.2">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spans="1:26" ht="12.75" customHeight="1" x14ac:dyDescent="0.2">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spans="1:26" ht="12.75" customHeight="1" x14ac:dyDescent="0.2">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spans="1:26" ht="12.75" customHeight="1" x14ac:dyDescent="0.2">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spans="1:26" ht="12.75" customHeight="1" x14ac:dyDescent="0.2">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spans="1:26" ht="12.75" customHeight="1" x14ac:dyDescent="0.2">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spans="1:26" ht="12.75" customHeight="1" x14ac:dyDescent="0.2">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spans="1:26" ht="12.75" customHeight="1" x14ac:dyDescent="0.2">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spans="1:26" ht="12.75" customHeight="1" x14ac:dyDescent="0.2">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spans="1:26" ht="12.75" customHeight="1" x14ac:dyDescent="0.2">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spans="1:26" ht="12.75" customHeight="1" x14ac:dyDescent="0.2">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spans="1:26" ht="12.75" customHeight="1" x14ac:dyDescent="0.2">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spans="1:26" ht="12.75" customHeight="1" x14ac:dyDescent="0.2">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spans="1:26" ht="12.75" customHeight="1" x14ac:dyDescent="0.2">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spans="1:26" ht="12.75" customHeight="1" x14ac:dyDescent="0.2">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spans="1:26" ht="12.75" customHeight="1" x14ac:dyDescent="0.2">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spans="1:26" ht="12.75" customHeight="1" x14ac:dyDescent="0.2">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spans="1:26" ht="12.75" customHeight="1" x14ac:dyDescent="0.2">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spans="1:26" ht="12.75" customHeight="1" x14ac:dyDescent="0.2">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spans="1:26" ht="12.75" customHeight="1" x14ac:dyDescent="0.2">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spans="1:26" ht="12.75" customHeight="1" x14ac:dyDescent="0.2">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spans="1:26" ht="12.75" customHeight="1" x14ac:dyDescent="0.2">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spans="1:26" ht="12.75" customHeight="1" x14ac:dyDescent="0.2">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spans="1:26" ht="12.75" customHeight="1" x14ac:dyDescent="0.2">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spans="1:26" ht="12.75" customHeight="1" x14ac:dyDescent="0.2">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spans="1:26" ht="12.75" customHeight="1" x14ac:dyDescent="0.2">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spans="1:26" ht="12.75" customHeight="1" x14ac:dyDescent="0.2">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spans="1:26" ht="12.75" customHeight="1" x14ac:dyDescent="0.2">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spans="1:26" ht="12.75" customHeight="1" x14ac:dyDescent="0.2">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spans="1:26" ht="12.75" customHeight="1" x14ac:dyDescent="0.2">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spans="1:26" ht="12.75" customHeight="1" x14ac:dyDescent="0.2">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spans="1:26" ht="12.75" customHeight="1" x14ac:dyDescent="0.2">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spans="1:26" ht="12.75" customHeight="1" x14ac:dyDescent="0.2">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spans="1:26" ht="12.75" customHeight="1" x14ac:dyDescent="0.2">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spans="1:26" ht="12.75" customHeight="1" x14ac:dyDescent="0.2">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spans="1:26" ht="12.75" customHeight="1" x14ac:dyDescent="0.2">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spans="1:26" ht="12.75" customHeight="1" x14ac:dyDescent="0.2">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spans="1:26" ht="12.75" customHeight="1" x14ac:dyDescent="0.2">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spans="1:26" ht="12.75" customHeight="1" x14ac:dyDescent="0.2">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spans="1:26" ht="12.75" customHeight="1" x14ac:dyDescent="0.2">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spans="1:26" ht="12.75" customHeight="1" x14ac:dyDescent="0.2">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spans="1:26" ht="12.75" customHeight="1" x14ac:dyDescent="0.2">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spans="1:26" ht="12.75" customHeight="1" x14ac:dyDescent="0.2">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spans="1:26" ht="12.75" customHeight="1" x14ac:dyDescent="0.2">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spans="1:26" ht="12.75" customHeight="1" x14ac:dyDescent="0.2">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spans="1:26" ht="12.75" customHeight="1" x14ac:dyDescent="0.2">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spans="1:26" ht="12.75" customHeight="1" x14ac:dyDescent="0.2">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spans="1:26" ht="12.75" customHeight="1" x14ac:dyDescent="0.2">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spans="1:26" ht="12.75" customHeight="1" x14ac:dyDescent="0.2">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spans="1:26" ht="12.75" customHeight="1" x14ac:dyDescent="0.2">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spans="1:26" ht="12.75" customHeight="1" x14ac:dyDescent="0.2">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spans="1:26" ht="12.75" customHeight="1" x14ac:dyDescent="0.2">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spans="1:26" ht="12.75" customHeight="1" x14ac:dyDescent="0.2">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spans="1:26" ht="12.75" customHeight="1" x14ac:dyDescent="0.2">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spans="1:26" ht="12.75" customHeight="1" x14ac:dyDescent="0.2">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spans="1:26" ht="12.75" customHeight="1" x14ac:dyDescent="0.2">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spans="1:26" ht="12.75" customHeight="1" x14ac:dyDescent="0.2">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spans="1:26" ht="12.75" customHeight="1" x14ac:dyDescent="0.2">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spans="1:26" ht="12.75" customHeight="1" x14ac:dyDescent="0.2">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spans="1:26" ht="12.75" customHeight="1" x14ac:dyDescent="0.2">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spans="1:26" ht="12.75" customHeight="1" x14ac:dyDescent="0.2">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spans="1:26" ht="12.75" customHeight="1" x14ac:dyDescent="0.2">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spans="1:26" ht="12.75" customHeight="1" x14ac:dyDescent="0.2">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spans="1:26" ht="12.75" customHeight="1" x14ac:dyDescent="0.2">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spans="1:26" ht="12.75" customHeight="1" x14ac:dyDescent="0.2">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spans="1:26" ht="12.75" customHeight="1" x14ac:dyDescent="0.2">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spans="1:26" ht="12.75" customHeight="1" x14ac:dyDescent="0.2">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spans="1:26" ht="12.75" customHeight="1" x14ac:dyDescent="0.2">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spans="1:26" ht="12.75" customHeight="1" x14ac:dyDescent="0.2">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spans="1:26" ht="12.75" customHeight="1" x14ac:dyDescent="0.2">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spans="1:26" ht="12.75" customHeight="1" x14ac:dyDescent="0.2">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spans="1:26" ht="12.75" customHeight="1" x14ac:dyDescent="0.2">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spans="1:26" ht="12.75" customHeight="1" x14ac:dyDescent="0.2">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spans="1:26" ht="12.75" customHeight="1" x14ac:dyDescent="0.2">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spans="1:26" ht="12.75" customHeight="1" x14ac:dyDescent="0.2">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spans="1:26" ht="12.75" customHeight="1" x14ac:dyDescent="0.2">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spans="1:26" ht="12.75" customHeight="1" x14ac:dyDescent="0.2">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spans="1:26" ht="12.75" customHeight="1" x14ac:dyDescent="0.2">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spans="1:26" ht="12.75" customHeight="1" x14ac:dyDescent="0.2">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spans="1:26" ht="12.75" customHeight="1" x14ac:dyDescent="0.2">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spans="1:26" ht="12.75" customHeight="1" x14ac:dyDescent="0.2">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spans="1:26" ht="12.75" customHeight="1" x14ac:dyDescent="0.2">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spans="1:26" ht="12.75" customHeight="1" x14ac:dyDescent="0.2">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spans="1:26" ht="12.75" customHeight="1" x14ac:dyDescent="0.2">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spans="1:26" ht="12.75" customHeight="1" x14ac:dyDescent="0.2">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spans="1:26" ht="12.75" customHeight="1" x14ac:dyDescent="0.2">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spans="1:26" ht="12.75" customHeight="1" x14ac:dyDescent="0.2">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spans="1:26" ht="12.75" customHeight="1" x14ac:dyDescent="0.2">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spans="1:26" ht="12.75" customHeight="1" x14ac:dyDescent="0.2">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spans="1:26" ht="12.75" customHeight="1" x14ac:dyDescent="0.2">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spans="1:26" ht="12.75" customHeight="1" x14ac:dyDescent="0.2">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spans="1:26" ht="12.75" customHeight="1" x14ac:dyDescent="0.2">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spans="1:26" ht="12.75" customHeight="1" x14ac:dyDescent="0.2">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spans="1:26" ht="12.75" customHeight="1" x14ac:dyDescent="0.2">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spans="1:26" ht="12.75" customHeight="1" x14ac:dyDescent="0.2">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spans="1:26" ht="12.75" customHeight="1" x14ac:dyDescent="0.2">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spans="1:26" ht="12.75" customHeight="1" x14ac:dyDescent="0.2">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spans="1:26" ht="12.75" customHeight="1" x14ac:dyDescent="0.2">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spans="1:26" ht="12.75" customHeight="1" x14ac:dyDescent="0.2">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spans="1:26" ht="12.75" customHeight="1" x14ac:dyDescent="0.2">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spans="1:26" ht="12.75" customHeight="1" x14ac:dyDescent="0.2">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spans="1:26" ht="12.75" customHeight="1" x14ac:dyDescent="0.2">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spans="1:26" ht="12.75" customHeight="1" x14ac:dyDescent="0.2">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spans="1:26" ht="12.75" customHeight="1" x14ac:dyDescent="0.2">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spans="1:26" ht="12.75" customHeight="1" x14ac:dyDescent="0.2">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spans="1:26" ht="12.75" customHeight="1" x14ac:dyDescent="0.2">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spans="1:26" ht="12.75" customHeight="1" x14ac:dyDescent="0.2">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spans="1:26" ht="12.75" customHeight="1" x14ac:dyDescent="0.2">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spans="1:26" ht="12.75" customHeight="1" x14ac:dyDescent="0.2">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spans="1:26" ht="12.75" customHeight="1" x14ac:dyDescent="0.2">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spans="1:26" ht="12.75" customHeight="1" x14ac:dyDescent="0.2">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spans="1:26" ht="12.75" customHeight="1" x14ac:dyDescent="0.2">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spans="1:26" ht="12.75" customHeight="1" x14ac:dyDescent="0.2">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spans="1:26" ht="12.75" customHeight="1" x14ac:dyDescent="0.2">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spans="1:26" ht="12.75" customHeight="1" x14ac:dyDescent="0.2">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spans="1:26" ht="12.75" customHeight="1" x14ac:dyDescent="0.2">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spans="1:26" ht="12.75" customHeight="1" x14ac:dyDescent="0.2">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spans="1:26" ht="12.75" customHeight="1" x14ac:dyDescent="0.2">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spans="1:26" ht="12.75" customHeight="1" x14ac:dyDescent="0.2">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spans="1:26" ht="12.75" customHeight="1" x14ac:dyDescent="0.2">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spans="1:26" ht="12.75" customHeight="1" x14ac:dyDescent="0.2">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spans="1:26" ht="12.75" customHeight="1" x14ac:dyDescent="0.2">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spans="1:26" ht="12.75" customHeight="1" x14ac:dyDescent="0.2">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spans="1:26" ht="12.75" customHeight="1" x14ac:dyDescent="0.2">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spans="1:26" ht="12.75" customHeight="1" x14ac:dyDescent="0.2">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spans="1:26" ht="12.75" customHeight="1" x14ac:dyDescent="0.2">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spans="1:26" ht="12.75" customHeight="1" x14ac:dyDescent="0.2">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spans="1:26" ht="12.75" customHeight="1" x14ac:dyDescent="0.2">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spans="1:26" ht="12.75" customHeight="1" x14ac:dyDescent="0.2">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spans="1:26" ht="12.75" customHeight="1" x14ac:dyDescent="0.2">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spans="1:26" ht="12.75" customHeight="1" x14ac:dyDescent="0.2">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spans="1:26" ht="12.75" customHeight="1" x14ac:dyDescent="0.2">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spans="1:26" ht="12.75" customHeight="1" x14ac:dyDescent="0.2">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spans="1:26" ht="12.75" customHeight="1" x14ac:dyDescent="0.2">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spans="1:26" ht="12.75" customHeight="1" x14ac:dyDescent="0.2">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spans="1:26" ht="12.75" customHeight="1" x14ac:dyDescent="0.2">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spans="1:26" ht="12.75" customHeight="1" x14ac:dyDescent="0.2">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spans="1:26" ht="12.75" customHeight="1" x14ac:dyDescent="0.2">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spans="1:26" ht="12.75" customHeight="1" x14ac:dyDescent="0.2">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spans="1:26" ht="12.75" customHeight="1" x14ac:dyDescent="0.2">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spans="1:26" ht="12.75" customHeight="1" x14ac:dyDescent="0.2">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spans="1:26" ht="12.75" customHeight="1" x14ac:dyDescent="0.2">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spans="1:26" ht="12.75" customHeight="1" x14ac:dyDescent="0.2">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spans="1:26" ht="12.75" customHeight="1" x14ac:dyDescent="0.2">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spans="1:26" ht="12.75" customHeight="1" x14ac:dyDescent="0.2">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spans="1:26" ht="12.75" customHeight="1" x14ac:dyDescent="0.2">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spans="1:26" ht="12.75" customHeight="1" x14ac:dyDescent="0.2">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spans="1:26" ht="12.75" customHeight="1" x14ac:dyDescent="0.2">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spans="1:26" ht="12.75" customHeight="1" x14ac:dyDescent="0.2">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spans="1:26" ht="12.75" customHeight="1" x14ac:dyDescent="0.2">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spans="1:26" ht="12.75" customHeight="1" x14ac:dyDescent="0.2">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spans="1:26" ht="12.75" customHeight="1" x14ac:dyDescent="0.2">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spans="1:26" ht="12.75" customHeight="1" x14ac:dyDescent="0.2">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spans="1:26" ht="12.75" customHeight="1" x14ac:dyDescent="0.2">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spans="1:26" ht="12.75" customHeight="1" x14ac:dyDescent="0.2">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spans="1:26" ht="12.75" customHeight="1" x14ac:dyDescent="0.2">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spans="1:26" ht="12.75" customHeight="1" x14ac:dyDescent="0.2">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spans="1:26" ht="12.75" customHeight="1" x14ac:dyDescent="0.2">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spans="1:26" ht="12.75" customHeight="1" x14ac:dyDescent="0.2">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spans="1:26" ht="12.75" customHeight="1" x14ac:dyDescent="0.2">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spans="1:26" ht="12.75" customHeight="1" x14ac:dyDescent="0.2">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spans="1:26" ht="12.75" customHeight="1" x14ac:dyDescent="0.2">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spans="1:26" ht="12.75" customHeight="1" x14ac:dyDescent="0.2">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spans="1:26" ht="12.75" customHeight="1" x14ac:dyDescent="0.2">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spans="1:26" ht="12.75" customHeight="1" x14ac:dyDescent="0.2">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spans="1:26" ht="12.75" customHeight="1" x14ac:dyDescent="0.2">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spans="1:26" ht="12.75" customHeight="1" x14ac:dyDescent="0.2">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spans="1:26" ht="12.75" customHeight="1" x14ac:dyDescent="0.2">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spans="1:26" ht="12.75" customHeight="1" x14ac:dyDescent="0.2">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spans="1:26" ht="12.75" customHeight="1" x14ac:dyDescent="0.2">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spans="1:26" ht="12.75" customHeight="1" x14ac:dyDescent="0.2">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spans="1:26" ht="12.75" customHeight="1" x14ac:dyDescent="0.2">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spans="1:26" ht="12.75" customHeight="1" x14ac:dyDescent="0.2">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spans="1:26" ht="12.75" customHeight="1" x14ac:dyDescent="0.2">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spans="1:26" ht="12.75" customHeight="1" x14ac:dyDescent="0.2">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spans="1:26" ht="12.75" customHeight="1" x14ac:dyDescent="0.2">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spans="1:26" ht="12.75" customHeight="1" x14ac:dyDescent="0.2">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spans="1:26" ht="12.75" customHeight="1" x14ac:dyDescent="0.2">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spans="1:26" ht="12.75" customHeight="1" x14ac:dyDescent="0.2">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spans="1:26" ht="12.75" customHeight="1" x14ac:dyDescent="0.2">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spans="1:26" ht="12.75" customHeight="1" x14ac:dyDescent="0.2">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spans="1:26" ht="12.75" customHeight="1" x14ac:dyDescent="0.2">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spans="1:26" ht="12.75" customHeight="1" x14ac:dyDescent="0.2">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spans="1:26" ht="12.75" customHeight="1" x14ac:dyDescent="0.2">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spans="1:26" ht="12.75" customHeight="1" x14ac:dyDescent="0.2">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spans="1:26" ht="12.75" customHeight="1" x14ac:dyDescent="0.2">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spans="1:26" ht="12.75" customHeight="1" x14ac:dyDescent="0.2">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spans="1:26" ht="12.75" customHeight="1" x14ac:dyDescent="0.2">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spans="1:26" ht="12.75" customHeight="1" x14ac:dyDescent="0.2">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spans="1:26" ht="12.75" customHeight="1" x14ac:dyDescent="0.2">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spans="1:26" ht="12.75" customHeight="1" x14ac:dyDescent="0.2">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spans="1:26" ht="12.75" customHeight="1" x14ac:dyDescent="0.2">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spans="1:26" ht="12.75" customHeight="1" x14ac:dyDescent="0.2">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spans="1:26" ht="12.75" customHeight="1" x14ac:dyDescent="0.2">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spans="1:26" ht="12.75" customHeight="1" x14ac:dyDescent="0.2">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spans="1:26" ht="12.75" customHeight="1" x14ac:dyDescent="0.2">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spans="1:26" ht="12.75" customHeight="1" x14ac:dyDescent="0.2">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spans="1:26" ht="12.75" customHeight="1" x14ac:dyDescent="0.2">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spans="1:26" ht="12.75" customHeight="1" x14ac:dyDescent="0.2">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spans="1:26" ht="12.75" customHeight="1" x14ac:dyDescent="0.2">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spans="1:26" ht="12.75" customHeight="1" x14ac:dyDescent="0.2">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spans="1:26" ht="12.75" customHeight="1" x14ac:dyDescent="0.2">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spans="1:26" ht="12.75" customHeight="1" x14ac:dyDescent="0.2">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spans="1:26" ht="12.75" customHeight="1" x14ac:dyDescent="0.2">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spans="1:26" ht="12.75" customHeight="1" x14ac:dyDescent="0.2">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spans="1:26" ht="12.75" customHeight="1" x14ac:dyDescent="0.2">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spans="1:26" ht="12.75" customHeight="1" x14ac:dyDescent="0.2">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spans="1:26" ht="12.75" customHeight="1" x14ac:dyDescent="0.2">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spans="1:26" ht="12.75" customHeight="1" x14ac:dyDescent="0.2">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spans="1:26" ht="12.75" customHeight="1" x14ac:dyDescent="0.2">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spans="1:26" ht="12.75" customHeight="1" x14ac:dyDescent="0.2">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spans="1:26" ht="12.75" customHeight="1" x14ac:dyDescent="0.2">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spans="1:26" ht="12.75" customHeight="1" x14ac:dyDescent="0.2">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spans="1:26" ht="12.75" customHeight="1" x14ac:dyDescent="0.2">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spans="1:26" ht="12.75" customHeight="1" x14ac:dyDescent="0.2">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spans="1:26" ht="12.75" customHeight="1" x14ac:dyDescent="0.2">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spans="1:26" ht="12.75" customHeight="1" x14ac:dyDescent="0.2">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spans="1:26" ht="12.75" customHeight="1" x14ac:dyDescent="0.2">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spans="1:26" ht="12.75" customHeight="1" x14ac:dyDescent="0.2">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spans="1:26" ht="12.75" customHeight="1" x14ac:dyDescent="0.2">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spans="1:26" ht="12.75" customHeight="1" x14ac:dyDescent="0.2">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spans="1:26" ht="12.75" customHeight="1" x14ac:dyDescent="0.2">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spans="1:26" ht="12.75" customHeight="1" x14ac:dyDescent="0.2">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spans="1:26" ht="12.75" customHeight="1" x14ac:dyDescent="0.2">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spans="1:26" ht="12.75" customHeight="1" x14ac:dyDescent="0.2">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spans="1:26" ht="12.75" customHeight="1" x14ac:dyDescent="0.2">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spans="1:26" ht="12.75" customHeight="1" x14ac:dyDescent="0.2">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spans="1:26" ht="12.75" customHeight="1" x14ac:dyDescent="0.2">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spans="1:26" ht="12.75" customHeight="1" x14ac:dyDescent="0.2">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spans="1:26" ht="12.75" customHeight="1" x14ac:dyDescent="0.2">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spans="1:26" ht="12.75" customHeight="1" x14ac:dyDescent="0.2">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spans="1:26" ht="12.75" customHeight="1" x14ac:dyDescent="0.2">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spans="1:26" ht="12.75" customHeight="1" x14ac:dyDescent="0.2">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spans="1:26" ht="12.75" customHeight="1" x14ac:dyDescent="0.2">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spans="1:26" ht="12.75" customHeight="1" x14ac:dyDescent="0.2">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spans="1:26" ht="12.75" customHeight="1" x14ac:dyDescent="0.2">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spans="1:26" ht="12.75" customHeight="1" x14ac:dyDescent="0.2">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spans="1:26" ht="12.75" customHeight="1" x14ac:dyDescent="0.2">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spans="1:26" ht="12.75" customHeight="1" x14ac:dyDescent="0.2">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spans="1:26" ht="12.75" customHeight="1" x14ac:dyDescent="0.2">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spans="1:26" ht="12.75" customHeight="1" x14ac:dyDescent="0.2">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spans="1:26" ht="12.75" customHeight="1" x14ac:dyDescent="0.2">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spans="1:26" ht="12.75" customHeight="1" x14ac:dyDescent="0.2">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spans="1:26" ht="12.75" customHeight="1" x14ac:dyDescent="0.2">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spans="1:26" ht="12.75" customHeight="1" x14ac:dyDescent="0.2">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spans="1:26" ht="12.75" customHeight="1" x14ac:dyDescent="0.2">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spans="1:26" ht="12.75" customHeight="1" x14ac:dyDescent="0.2">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spans="1:26" ht="12.75" customHeight="1" x14ac:dyDescent="0.2">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spans="1:26" ht="12.75" customHeight="1" x14ac:dyDescent="0.2">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spans="1:26" ht="12.75" customHeight="1" x14ac:dyDescent="0.2">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spans="1:26" ht="12.75" customHeight="1" x14ac:dyDescent="0.2">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spans="1:26" ht="12.75" customHeight="1" x14ac:dyDescent="0.2">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spans="1:26" ht="12.75" customHeight="1" x14ac:dyDescent="0.2">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spans="1:26" ht="12.75" customHeight="1" x14ac:dyDescent="0.2">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spans="1:26" ht="12.75" customHeight="1" x14ac:dyDescent="0.2">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spans="1:26" ht="12.75" customHeight="1" x14ac:dyDescent="0.2">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spans="1:26" ht="12.75" customHeight="1" x14ac:dyDescent="0.2">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spans="1:26" ht="12.75" customHeight="1" x14ac:dyDescent="0.2">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spans="1:26" ht="12.75" customHeight="1" x14ac:dyDescent="0.2">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spans="1:26" ht="12.75" customHeight="1" x14ac:dyDescent="0.2">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spans="1:26" ht="12.75" customHeight="1" x14ac:dyDescent="0.2">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spans="1:26" ht="12.75" customHeight="1" x14ac:dyDescent="0.2">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spans="1:26" ht="12.75" customHeight="1" x14ac:dyDescent="0.2">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spans="1:26" ht="12.75" customHeight="1" x14ac:dyDescent="0.2">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spans="1:26" ht="12.75" customHeight="1" x14ac:dyDescent="0.2">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spans="1:26" ht="12.75" customHeight="1" x14ac:dyDescent="0.2">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spans="1:26" ht="12.75" customHeight="1" x14ac:dyDescent="0.2">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spans="1:26" ht="12.75" customHeight="1" x14ac:dyDescent="0.2">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spans="1:26" ht="12.75" customHeight="1" x14ac:dyDescent="0.2">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spans="1:26" ht="12.75" customHeight="1" x14ac:dyDescent="0.2">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spans="1:26" ht="12.75" customHeight="1" x14ac:dyDescent="0.2">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spans="1:26" ht="12.75" customHeight="1" x14ac:dyDescent="0.2">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spans="1:26" ht="12.75" customHeight="1" x14ac:dyDescent="0.2">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spans="1:26" ht="12.75" customHeight="1" x14ac:dyDescent="0.2">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spans="1:26" ht="12.75" customHeight="1" x14ac:dyDescent="0.2">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spans="1:26" ht="12.75" customHeight="1" x14ac:dyDescent="0.2">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spans="1:26" ht="12.75" customHeight="1" x14ac:dyDescent="0.2">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spans="1:26" ht="12.75" customHeight="1" x14ac:dyDescent="0.2">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spans="1:26" ht="12.75" customHeight="1" x14ac:dyDescent="0.2">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spans="1:26" ht="12.75" customHeight="1" x14ac:dyDescent="0.2">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spans="1:26" ht="12.75" customHeight="1" x14ac:dyDescent="0.2">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spans="1:26" ht="12.75" customHeight="1" x14ac:dyDescent="0.2">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spans="1:26" ht="12.75" customHeight="1" x14ac:dyDescent="0.2">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spans="1:26" ht="12.75" customHeight="1" x14ac:dyDescent="0.2">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spans="1:26" ht="12.75" customHeight="1" x14ac:dyDescent="0.2">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spans="1:26" ht="12.75" customHeight="1" x14ac:dyDescent="0.2">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spans="1:26" ht="12.75" customHeight="1" x14ac:dyDescent="0.2">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spans="1:26" ht="12.75" customHeight="1" x14ac:dyDescent="0.2">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spans="1:26" ht="12.75" customHeight="1" x14ac:dyDescent="0.2">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spans="1:26" ht="12.75" customHeight="1" x14ac:dyDescent="0.2">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spans="1:26" ht="12.75" customHeight="1" x14ac:dyDescent="0.2">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spans="1:26" ht="12.75" customHeight="1" x14ac:dyDescent="0.2">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spans="1:26" ht="12.75" customHeight="1" x14ac:dyDescent="0.2">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spans="1:26" ht="12.75" customHeight="1" x14ac:dyDescent="0.2">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spans="1:26" ht="12.75" customHeight="1" x14ac:dyDescent="0.2">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spans="1:26" ht="12.75" customHeight="1" x14ac:dyDescent="0.2">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spans="1:26" ht="12.75" customHeight="1" x14ac:dyDescent="0.2">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spans="1:26" ht="12.75" customHeight="1" x14ac:dyDescent="0.2">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spans="1:26" ht="12.75" customHeight="1" x14ac:dyDescent="0.2">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spans="1:26" ht="12.75" customHeight="1" x14ac:dyDescent="0.2">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spans="1:26" ht="12.75" customHeight="1" x14ac:dyDescent="0.2">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spans="1:26" ht="12.75" customHeight="1" x14ac:dyDescent="0.2">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spans="1:26" ht="12.75" customHeight="1" x14ac:dyDescent="0.2">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spans="1:26" ht="12.75" customHeight="1" x14ac:dyDescent="0.2">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spans="1:26" ht="12.75" customHeight="1" x14ac:dyDescent="0.2">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spans="1:26" ht="12.75" customHeight="1" x14ac:dyDescent="0.2">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spans="1:26" ht="12.75" customHeight="1" x14ac:dyDescent="0.2">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spans="1:26" ht="12.75" customHeight="1" x14ac:dyDescent="0.2">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spans="1:26" ht="12.75" customHeight="1" x14ac:dyDescent="0.2">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spans="1:26" ht="12.75" customHeight="1" x14ac:dyDescent="0.2">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spans="1:26" ht="12.75" customHeight="1" x14ac:dyDescent="0.2">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spans="1:26" ht="12.75" customHeight="1" x14ac:dyDescent="0.2">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spans="1:26" ht="12.75" customHeight="1" x14ac:dyDescent="0.2">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spans="1:26" ht="12.75" customHeight="1" x14ac:dyDescent="0.2">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spans="1:26" ht="12.75" customHeight="1" x14ac:dyDescent="0.2">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spans="1:26" ht="12.75" customHeight="1" x14ac:dyDescent="0.2">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spans="1:26" ht="12.75" customHeight="1" x14ac:dyDescent="0.2">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spans="1:26" ht="12.75" customHeight="1" x14ac:dyDescent="0.2">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spans="1:26" ht="12.75" customHeight="1" x14ac:dyDescent="0.2">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spans="1:26" ht="12.75" customHeight="1" x14ac:dyDescent="0.2">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spans="1:26" ht="12.75" customHeight="1" x14ac:dyDescent="0.2">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spans="1:26" ht="12.75" customHeight="1" x14ac:dyDescent="0.2">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spans="1:26" ht="12.75" customHeight="1" x14ac:dyDescent="0.2">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spans="1:26" ht="12.75" customHeight="1" x14ac:dyDescent="0.2">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spans="1:26" ht="12.75" customHeight="1" x14ac:dyDescent="0.2">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spans="1:26" ht="12.75" customHeight="1" x14ac:dyDescent="0.2">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spans="1:26" ht="12.75" customHeight="1" x14ac:dyDescent="0.2">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spans="1:26" ht="12.75" customHeight="1" x14ac:dyDescent="0.2">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spans="1:26" ht="12.75" customHeight="1" x14ac:dyDescent="0.2">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spans="1:26" ht="12.75" customHeight="1" x14ac:dyDescent="0.2">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spans="1:26" ht="12.75" customHeight="1" x14ac:dyDescent="0.2">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spans="1:26" ht="12.75" customHeight="1" x14ac:dyDescent="0.2">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spans="1:26" ht="12.75" customHeight="1" x14ac:dyDescent="0.2">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spans="1:26" ht="12.75" customHeight="1" x14ac:dyDescent="0.2">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spans="1:26" ht="12.75" customHeight="1" x14ac:dyDescent="0.2">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spans="1:26" ht="12.75" customHeight="1" x14ac:dyDescent="0.2">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spans="1:26" ht="12.75" customHeight="1" x14ac:dyDescent="0.2">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spans="1:26" ht="12.75" customHeight="1" x14ac:dyDescent="0.2">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spans="1:26" ht="12.75" customHeight="1" x14ac:dyDescent="0.2">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spans="1:26" ht="12.75" customHeight="1" x14ac:dyDescent="0.2">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spans="1:26" ht="12.75" customHeight="1" x14ac:dyDescent="0.2">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spans="1:26" ht="12.75" customHeight="1" x14ac:dyDescent="0.2">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spans="1:26" ht="12.75" customHeight="1" x14ac:dyDescent="0.2">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spans="1:26" ht="12.75" customHeight="1" x14ac:dyDescent="0.2">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spans="1:26" ht="12.75" customHeight="1" x14ac:dyDescent="0.2">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spans="1:26" ht="12.75" customHeight="1" x14ac:dyDescent="0.2">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spans="1:26" ht="12.75" customHeight="1" x14ac:dyDescent="0.2">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spans="1:26" ht="12.75" customHeight="1" x14ac:dyDescent="0.2">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spans="1:26" ht="12.75" customHeight="1" x14ac:dyDescent="0.2">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spans="1:26" ht="12.75" customHeight="1" x14ac:dyDescent="0.2">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spans="1:26" ht="12.75" customHeight="1" x14ac:dyDescent="0.2">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spans="1:26" ht="12.75" customHeight="1" x14ac:dyDescent="0.2">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spans="1:26" ht="12.75" customHeight="1" x14ac:dyDescent="0.2">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spans="1:26" ht="12.75" customHeight="1" x14ac:dyDescent="0.2">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spans="1:26" ht="12.75" customHeight="1" x14ac:dyDescent="0.2">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spans="1:26" ht="12.75" customHeight="1" x14ac:dyDescent="0.2">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spans="1:26" ht="12.75" customHeight="1" x14ac:dyDescent="0.2">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spans="1:26" ht="12.75" customHeight="1" x14ac:dyDescent="0.2">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spans="1:26" ht="12.75" customHeight="1" x14ac:dyDescent="0.2">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spans="1:26" ht="12.75" customHeight="1" x14ac:dyDescent="0.2">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spans="1:26" ht="12.75" customHeight="1" x14ac:dyDescent="0.2">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spans="1:26" ht="12.75" customHeight="1" x14ac:dyDescent="0.2">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spans="1:26" ht="12.75" customHeight="1" x14ac:dyDescent="0.2">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spans="1:26" ht="12.75" customHeight="1" x14ac:dyDescent="0.2">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spans="1:26" ht="12.75" customHeight="1" x14ac:dyDescent="0.2">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spans="1:26" ht="12.75" customHeight="1" x14ac:dyDescent="0.2">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spans="1:26" ht="12.75" customHeight="1" x14ac:dyDescent="0.2">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spans="1:26" ht="12.75" customHeight="1" x14ac:dyDescent="0.2">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spans="1:26" ht="12.75" customHeight="1" x14ac:dyDescent="0.2">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spans="1:26" ht="12.75" customHeight="1" x14ac:dyDescent="0.2">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spans="1:26" ht="12.75" customHeight="1" x14ac:dyDescent="0.2">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spans="1:26" ht="12.75" customHeight="1" x14ac:dyDescent="0.2">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spans="1:26" ht="12.75" customHeight="1" x14ac:dyDescent="0.2">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spans="1:26" ht="12.75" customHeight="1" x14ac:dyDescent="0.2">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spans="1:26" ht="12.75" customHeight="1" x14ac:dyDescent="0.2">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spans="1:26" ht="12.75" customHeight="1" x14ac:dyDescent="0.2">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spans="1:26" ht="12.75" customHeight="1" x14ac:dyDescent="0.2">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spans="1:26" ht="12.75" customHeight="1" x14ac:dyDescent="0.2">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spans="1:26" ht="12.75" customHeight="1" x14ac:dyDescent="0.2">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spans="1:26" ht="12.75" customHeight="1" x14ac:dyDescent="0.2">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spans="1:26" ht="12.75" customHeight="1" x14ac:dyDescent="0.2">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spans="1:26" ht="12.75" customHeight="1" x14ac:dyDescent="0.2">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spans="1:26" ht="12.75" customHeight="1" x14ac:dyDescent="0.2">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spans="1:26" ht="12.75" customHeight="1" x14ac:dyDescent="0.2">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spans="1:26" ht="12.75" customHeight="1" x14ac:dyDescent="0.2">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spans="1:26" ht="12.75" customHeight="1" x14ac:dyDescent="0.2">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spans="1:26" ht="12.75" customHeight="1" x14ac:dyDescent="0.2">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spans="1:26" ht="12.75" customHeight="1" x14ac:dyDescent="0.2">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spans="1:26" ht="12.75" customHeight="1" x14ac:dyDescent="0.2">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spans="1:26" ht="12.75" customHeight="1" x14ac:dyDescent="0.2">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spans="1:26" ht="12.75" customHeight="1" x14ac:dyDescent="0.2">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spans="1:26" ht="12.75" customHeight="1" x14ac:dyDescent="0.2">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spans="1:26" ht="12.75" customHeight="1" x14ac:dyDescent="0.2">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spans="1:26" ht="12.75" customHeight="1" x14ac:dyDescent="0.2">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spans="1:26" ht="12.75" customHeight="1" x14ac:dyDescent="0.2">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spans="1:26" ht="12.75" customHeight="1" x14ac:dyDescent="0.2">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spans="1:26" ht="12.75" customHeight="1" x14ac:dyDescent="0.2">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spans="1:26" ht="12.75" customHeight="1" x14ac:dyDescent="0.2">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spans="1:26" ht="12.75" customHeight="1" x14ac:dyDescent="0.2">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spans="1:26" ht="12.75" customHeight="1" x14ac:dyDescent="0.2">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spans="1:26" ht="12.75" customHeight="1" x14ac:dyDescent="0.2">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spans="1:26" ht="12.75" customHeight="1" x14ac:dyDescent="0.2">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spans="1:26" ht="12.75" customHeight="1" x14ac:dyDescent="0.2">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spans="1:26" ht="12.75" customHeight="1" x14ac:dyDescent="0.2">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spans="1:26" ht="12.75" customHeight="1" x14ac:dyDescent="0.2">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spans="1:26" ht="12.75" customHeight="1" x14ac:dyDescent="0.2">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spans="1:26" ht="12.75" customHeight="1" x14ac:dyDescent="0.2">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spans="1:26" ht="12.75" customHeight="1" x14ac:dyDescent="0.2">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spans="1:26" ht="12.75" customHeight="1" x14ac:dyDescent="0.2">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spans="1:26" ht="12.75" customHeight="1" x14ac:dyDescent="0.2">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spans="1:26" ht="12.75" customHeight="1" x14ac:dyDescent="0.2">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spans="1:26" ht="12.75" customHeight="1" x14ac:dyDescent="0.2">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spans="1:26" ht="12.75" customHeight="1" x14ac:dyDescent="0.2">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spans="1:26" ht="12.75" customHeight="1" x14ac:dyDescent="0.2">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spans="1:26" ht="12.75" customHeight="1" x14ac:dyDescent="0.2">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spans="1:26" ht="12.75" customHeight="1" x14ac:dyDescent="0.2">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spans="1:26" ht="12.75" customHeight="1" x14ac:dyDescent="0.2">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spans="1:26" ht="12.75" customHeight="1" x14ac:dyDescent="0.2">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spans="1:26" ht="12.75" customHeight="1" x14ac:dyDescent="0.2">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spans="1:26" ht="12.75" customHeight="1" x14ac:dyDescent="0.2">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spans="1:26" ht="12.75" customHeight="1" x14ac:dyDescent="0.2">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spans="1:26" ht="12.75" customHeight="1" x14ac:dyDescent="0.2">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spans="1:26" ht="12.75" customHeight="1" x14ac:dyDescent="0.2">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spans="1:26" ht="12.75" customHeight="1" x14ac:dyDescent="0.2">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spans="1:26" ht="12.75" customHeight="1" x14ac:dyDescent="0.2">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spans="1:26" ht="12.75" customHeight="1" x14ac:dyDescent="0.2">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spans="1:26" ht="12.75" customHeight="1" x14ac:dyDescent="0.2">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spans="1:26" ht="12.75" customHeight="1" x14ac:dyDescent="0.2">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spans="1:26" ht="12.75" customHeight="1" x14ac:dyDescent="0.2">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spans="1:26" ht="12.75" customHeight="1" x14ac:dyDescent="0.2">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spans="1:26" ht="12.75" customHeight="1" x14ac:dyDescent="0.2">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spans="1:26" ht="12.75" customHeight="1" x14ac:dyDescent="0.2">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spans="1:26" ht="12.75" customHeight="1" x14ac:dyDescent="0.2">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spans="1:26" ht="12.75" customHeight="1" x14ac:dyDescent="0.2">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spans="1:26" ht="12.75" customHeight="1" x14ac:dyDescent="0.2">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spans="1:26" ht="12.75" customHeight="1" x14ac:dyDescent="0.2">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spans="1:26" ht="12.75" customHeight="1" x14ac:dyDescent="0.2">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spans="1:26" ht="12.75" customHeight="1" x14ac:dyDescent="0.2">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spans="1:26" ht="12.75" customHeight="1" x14ac:dyDescent="0.2">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spans="1:26" ht="12.75" customHeight="1" x14ac:dyDescent="0.2">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spans="1:26" ht="12.75" customHeight="1" x14ac:dyDescent="0.2">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spans="1:26" ht="12.75" customHeight="1" x14ac:dyDescent="0.2">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spans="1:26" ht="12.75" customHeight="1" x14ac:dyDescent="0.2">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spans="1:26" ht="12.75" customHeight="1" x14ac:dyDescent="0.2">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spans="1:26" ht="12.75" customHeight="1" x14ac:dyDescent="0.2">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spans="1:26" ht="12.75" customHeight="1" x14ac:dyDescent="0.2">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spans="1:26" ht="12.75" customHeight="1" x14ac:dyDescent="0.2">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spans="1:26" ht="12.75" customHeight="1" x14ac:dyDescent="0.2">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spans="1:26" ht="12.75" customHeight="1" x14ac:dyDescent="0.2">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spans="1:26" ht="12.75" customHeight="1" x14ac:dyDescent="0.2">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spans="1:26" ht="12.75" customHeight="1" x14ac:dyDescent="0.2">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spans="1:26" ht="12.75" customHeight="1" x14ac:dyDescent="0.2">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spans="1:26" ht="12.75" customHeight="1" x14ac:dyDescent="0.2">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spans="1:26" ht="12.75" customHeight="1" x14ac:dyDescent="0.2">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spans="1:26" ht="12.75" customHeight="1" x14ac:dyDescent="0.2">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spans="1:26" ht="12.75" customHeight="1" x14ac:dyDescent="0.2">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spans="1:26" ht="12.75" customHeight="1" x14ac:dyDescent="0.2">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spans="1:26" ht="12.75" customHeight="1" x14ac:dyDescent="0.2">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spans="1:26" ht="12.75" customHeight="1" x14ac:dyDescent="0.2">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spans="1:26" ht="12.75" customHeight="1" x14ac:dyDescent="0.2">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spans="1:26" ht="12.75" customHeight="1" x14ac:dyDescent="0.2">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spans="1:26" ht="12.75" customHeight="1" x14ac:dyDescent="0.2">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spans="1:26" ht="12.75" customHeight="1" x14ac:dyDescent="0.2">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spans="1:26" ht="12.75" customHeight="1" x14ac:dyDescent="0.2">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spans="1:26" ht="12.75" customHeight="1" x14ac:dyDescent="0.2">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spans="1:26" ht="12.75" customHeight="1" x14ac:dyDescent="0.2">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spans="1:26" ht="12.75" customHeight="1" x14ac:dyDescent="0.2">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spans="1:26" ht="12.75" customHeight="1" x14ac:dyDescent="0.2">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spans="1:26" ht="12.75" customHeight="1" x14ac:dyDescent="0.2">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spans="1:26" ht="12.75" customHeight="1" x14ac:dyDescent="0.2">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spans="1:26" ht="12.75" customHeight="1" x14ac:dyDescent="0.2">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spans="1:26" ht="12.75" customHeight="1" x14ac:dyDescent="0.2">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spans="1:26" ht="12.75" customHeight="1" x14ac:dyDescent="0.2">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spans="1:26" ht="12.75" customHeight="1" x14ac:dyDescent="0.2">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spans="1:26" ht="12.75" customHeight="1" x14ac:dyDescent="0.2">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spans="1:26" ht="12.75" customHeight="1" x14ac:dyDescent="0.2">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spans="1:26" ht="12.75" customHeight="1" x14ac:dyDescent="0.2">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spans="1:26" ht="12.75" customHeight="1" x14ac:dyDescent="0.2">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spans="1:26" ht="12.75" customHeight="1" x14ac:dyDescent="0.2">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spans="1:26" ht="12.75" customHeight="1" x14ac:dyDescent="0.2">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spans="1:26" ht="12.75" customHeight="1" x14ac:dyDescent="0.2">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spans="1:26" ht="12.75" customHeight="1" x14ac:dyDescent="0.2">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spans="1:26" ht="12.75" customHeight="1" x14ac:dyDescent="0.2">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spans="1:26" ht="12.75" customHeight="1" x14ac:dyDescent="0.2">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spans="1:26" ht="12.75" customHeight="1" x14ac:dyDescent="0.2">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spans="1:26" ht="12.75" customHeight="1" x14ac:dyDescent="0.2">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spans="1:26" ht="12.75" customHeight="1" x14ac:dyDescent="0.2">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spans="1:26" ht="12.75" customHeight="1" x14ac:dyDescent="0.2">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spans="1:26" ht="12.75" customHeight="1" x14ac:dyDescent="0.2">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spans="1:26" ht="12.75" customHeight="1" x14ac:dyDescent="0.2">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spans="1:26" ht="12.75" customHeight="1" x14ac:dyDescent="0.2">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spans="1:26" ht="12.75" customHeight="1" x14ac:dyDescent="0.2">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spans="1:26" ht="12.75" customHeight="1" x14ac:dyDescent="0.2">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spans="1:26" ht="12.75" customHeight="1" x14ac:dyDescent="0.2">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spans="1:26" ht="12.75" customHeight="1" x14ac:dyDescent="0.2">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spans="1:26" ht="12.75" customHeight="1" x14ac:dyDescent="0.2">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spans="1:26" ht="12.75" customHeight="1" x14ac:dyDescent="0.2">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spans="1:26" ht="12.75" customHeight="1" x14ac:dyDescent="0.2">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spans="1:26" ht="12.75" customHeight="1" x14ac:dyDescent="0.2">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spans="1:26" ht="12.75" customHeight="1" x14ac:dyDescent="0.2">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spans="1:26" ht="12.75" customHeight="1" x14ac:dyDescent="0.2">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spans="1:26" ht="12.75" customHeight="1" x14ac:dyDescent="0.2">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spans="1:26" ht="12.75" customHeight="1" x14ac:dyDescent="0.2">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spans="1:26" ht="12.75" customHeight="1" x14ac:dyDescent="0.2">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spans="1:26" ht="12.75" customHeight="1" x14ac:dyDescent="0.2">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spans="1:26" ht="12.75" customHeight="1" x14ac:dyDescent="0.2">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spans="1:26" ht="12.75" customHeight="1" x14ac:dyDescent="0.2">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row r="997" spans="1:26" ht="12.75" customHeight="1" x14ac:dyDescent="0.2">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row>
    <row r="998" spans="1:26" ht="12.75" customHeight="1" x14ac:dyDescent="0.2">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row>
    <row r="999" spans="1:26" ht="12.75" customHeight="1" x14ac:dyDescent="0.2">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row>
  </sheetData>
  <mergeCells count="2">
    <mergeCell ref="A9:H9"/>
    <mergeCell ref="I9:M9"/>
  </mergeCells>
  <pageMargins left="0.511811024" right="0.511811024" top="0.78740157499999996" bottom="0.78740157499999996" header="0" footer="0"/>
  <pageSetup paperSize="9" scale="65"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P1000"/>
  <sheetViews>
    <sheetView workbookViewId="0"/>
  </sheetViews>
  <sheetFormatPr defaultColWidth="12.5703125" defaultRowHeight="15" customHeight="1" x14ac:dyDescent="0.2"/>
  <cols>
    <col min="1" max="1" width="60.7109375" customWidth="1"/>
    <col min="2" max="2" width="9.140625" customWidth="1"/>
    <col min="3" max="3" width="13.140625" customWidth="1"/>
    <col min="4" max="10" width="9.140625" customWidth="1"/>
    <col min="11" max="11" width="4.42578125" customWidth="1"/>
    <col min="12" max="24" width="9.140625" customWidth="1"/>
    <col min="25" max="40" width="4.85546875" customWidth="1"/>
    <col min="41" max="42" width="9.140625" customWidth="1"/>
  </cols>
  <sheetData>
    <row r="1" spans="1:42" ht="12.75" customHeight="1" x14ac:dyDescent="0.35">
      <c r="A1" s="101" t="s">
        <v>399</v>
      </c>
      <c r="B1" s="101"/>
      <c r="C1" s="102"/>
      <c r="D1" s="102"/>
      <c r="E1" s="102"/>
      <c r="F1" s="102"/>
      <c r="G1" s="15" t="s">
        <v>400</v>
      </c>
      <c r="H1" s="102"/>
      <c r="I1" s="102"/>
      <c r="J1" s="102"/>
      <c r="K1" s="102"/>
      <c r="L1" s="102"/>
      <c r="M1" s="15"/>
      <c r="N1" s="15"/>
      <c r="O1" s="15"/>
      <c r="P1" s="15"/>
      <c r="Q1" s="15"/>
      <c r="R1" s="15"/>
      <c r="S1" s="102"/>
      <c r="T1" s="102"/>
      <c r="U1" s="102"/>
      <c r="V1" s="102"/>
      <c r="W1" s="102"/>
      <c r="X1" s="102"/>
      <c r="Y1" s="102"/>
      <c r="Z1" s="102"/>
      <c r="AA1" s="15"/>
      <c r="AB1" s="102"/>
      <c r="AC1" s="101" t="s">
        <v>401</v>
      </c>
      <c r="AD1" s="102"/>
      <c r="AE1" s="102"/>
      <c r="AF1" s="102"/>
      <c r="AG1" s="102"/>
      <c r="AH1" s="102"/>
      <c r="AI1" s="102"/>
      <c r="AJ1" s="102"/>
      <c r="AK1" s="102"/>
      <c r="AL1" s="102"/>
      <c r="AM1" s="102"/>
      <c r="AN1" s="102"/>
      <c r="AO1" s="102"/>
      <c r="AP1" s="102"/>
    </row>
    <row r="2" spans="1:42" ht="12.75" customHeight="1" x14ac:dyDescent="0.2">
      <c r="A2" s="102"/>
      <c r="B2" s="102"/>
      <c r="C2" s="102"/>
      <c r="D2" s="102"/>
      <c r="E2" s="102"/>
      <c r="F2" s="102"/>
      <c r="G2" s="251" t="s">
        <v>402</v>
      </c>
      <c r="H2" s="249"/>
      <c r="I2" s="251" t="s">
        <v>402</v>
      </c>
      <c r="J2" s="248"/>
      <c r="K2" s="248"/>
      <c r="L2" s="248"/>
      <c r="M2" s="248"/>
      <c r="N2" s="249"/>
      <c r="O2" s="15"/>
      <c r="P2" s="15"/>
      <c r="Q2" s="15"/>
      <c r="R2" s="15"/>
      <c r="S2" s="102"/>
      <c r="T2" s="102"/>
      <c r="U2" s="102"/>
      <c r="V2" s="102"/>
      <c r="W2" s="102"/>
      <c r="X2" s="102"/>
      <c r="Y2" s="102"/>
      <c r="Z2" s="102"/>
      <c r="AA2" s="102"/>
      <c r="AB2" s="102"/>
      <c r="AC2" s="102"/>
      <c r="AD2" s="103" t="s">
        <v>403</v>
      </c>
      <c r="AE2" s="102"/>
      <c r="AF2" s="102"/>
      <c r="AG2" s="102"/>
      <c r="AH2" s="102"/>
      <c r="AI2" s="102"/>
      <c r="AJ2" s="102"/>
      <c r="AK2" s="102"/>
      <c r="AL2" s="102"/>
      <c r="AM2" s="102"/>
      <c r="AN2" s="102"/>
      <c r="AO2" s="102"/>
      <c r="AP2" s="102"/>
    </row>
    <row r="3" spans="1:42" ht="12.75" customHeight="1" x14ac:dyDescent="0.2">
      <c r="A3" s="102"/>
      <c r="B3" s="104" t="s">
        <v>404</v>
      </c>
      <c r="C3" s="102"/>
      <c r="D3" s="102"/>
      <c r="E3" s="102"/>
      <c r="F3" s="102"/>
      <c r="G3" s="105" t="s">
        <v>405</v>
      </c>
      <c r="H3" s="106" t="s">
        <v>406</v>
      </c>
      <c r="I3" s="107" t="s">
        <v>407</v>
      </c>
      <c r="J3" s="108"/>
      <c r="K3" s="108"/>
      <c r="L3" s="108" t="s">
        <v>408</v>
      </c>
      <c r="M3" s="108"/>
      <c r="N3" s="109"/>
      <c r="O3" s="15"/>
      <c r="P3" s="15"/>
      <c r="Q3" s="15"/>
      <c r="R3" s="15"/>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row>
    <row r="4" spans="1:42" ht="12.75" customHeight="1" x14ac:dyDescent="0.2">
      <c r="A4" s="102"/>
      <c r="B4" s="104"/>
      <c r="C4" s="102"/>
      <c r="D4" s="102"/>
      <c r="E4" s="102"/>
      <c r="F4" s="102"/>
      <c r="G4" s="110" t="s">
        <v>409</v>
      </c>
      <c r="H4" s="111" t="s">
        <v>410</v>
      </c>
      <c r="I4" s="112" t="s">
        <v>411</v>
      </c>
      <c r="J4" s="113"/>
      <c r="K4" s="113"/>
      <c r="L4" s="114" t="s">
        <v>412</v>
      </c>
      <c r="M4" s="114"/>
      <c r="N4" s="115"/>
      <c r="O4" s="15"/>
      <c r="P4" s="15"/>
      <c r="Q4" s="15"/>
      <c r="R4" s="15"/>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row>
    <row r="5" spans="1:42" ht="12.75" customHeight="1" x14ac:dyDescent="0.2">
      <c r="A5" s="102"/>
      <c r="B5" s="104"/>
      <c r="C5" s="102"/>
      <c r="D5" s="102"/>
      <c r="E5" s="102"/>
      <c r="F5" s="102"/>
      <c r="G5" s="110" t="s">
        <v>413</v>
      </c>
      <c r="H5" s="111" t="s">
        <v>414</v>
      </c>
      <c r="I5" s="252" t="s">
        <v>415</v>
      </c>
      <c r="J5" s="253"/>
      <c r="K5" s="254"/>
      <c r="L5" s="255" t="s">
        <v>416</v>
      </c>
      <c r="M5" s="253"/>
      <c r="N5" s="256"/>
      <c r="O5" s="15"/>
      <c r="P5" s="15"/>
      <c r="Q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row>
    <row r="6" spans="1:42" ht="12.75" customHeight="1" x14ac:dyDescent="0.25">
      <c r="A6" s="102"/>
      <c r="B6" s="102"/>
      <c r="C6" s="102"/>
      <c r="D6" s="102"/>
      <c r="E6" s="102"/>
      <c r="F6" s="102"/>
      <c r="G6" s="116" t="s">
        <v>417</v>
      </c>
      <c r="H6" s="117" t="s">
        <v>418</v>
      </c>
      <c r="I6" s="118">
        <v>0</v>
      </c>
      <c r="J6" s="119" t="s">
        <v>419</v>
      </c>
      <c r="K6" s="120"/>
      <c r="L6" s="15"/>
      <c r="M6" s="121" t="s">
        <v>420</v>
      </c>
      <c r="N6" s="122"/>
      <c r="O6" s="102"/>
      <c r="P6" s="102"/>
      <c r="Q6" s="102"/>
      <c r="R6" s="102"/>
      <c r="S6" s="15"/>
      <c r="T6" s="15"/>
      <c r="U6" s="15"/>
      <c r="V6" s="15"/>
      <c r="W6" s="15"/>
      <c r="X6" s="15"/>
      <c r="Y6" s="257" t="s">
        <v>421</v>
      </c>
      <c r="Z6" s="248"/>
      <c r="AA6" s="248"/>
      <c r="AB6" s="248"/>
      <c r="AC6" s="248"/>
      <c r="AD6" s="248"/>
      <c r="AE6" s="248"/>
      <c r="AF6" s="248"/>
      <c r="AG6" s="248"/>
      <c r="AH6" s="248"/>
      <c r="AI6" s="248"/>
      <c r="AJ6" s="248"/>
      <c r="AK6" s="248"/>
      <c r="AL6" s="248"/>
      <c r="AM6" s="248"/>
      <c r="AN6" s="249"/>
      <c r="AO6" s="102"/>
      <c r="AP6" s="102"/>
    </row>
    <row r="7" spans="1:42" ht="12.75" customHeight="1" x14ac:dyDescent="0.25">
      <c r="A7" s="102"/>
      <c r="B7" s="102"/>
      <c r="C7" s="102"/>
      <c r="D7" s="102"/>
      <c r="E7" s="102"/>
      <c r="F7" s="102"/>
      <c r="G7" s="102"/>
      <c r="H7" s="102"/>
      <c r="I7" s="102"/>
      <c r="J7" s="15"/>
      <c r="K7" s="15"/>
      <c r="L7" s="102"/>
      <c r="M7" s="123"/>
      <c r="N7" s="124"/>
      <c r="O7" s="102"/>
      <c r="P7" s="102"/>
      <c r="Q7" s="102"/>
      <c r="R7" s="102"/>
      <c r="S7" s="15"/>
      <c r="T7" s="15"/>
      <c r="U7" s="15"/>
      <c r="V7" s="15"/>
      <c r="W7" s="15"/>
      <c r="X7" s="15"/>
      <c r="Y7" s="125"/>
      <c r="Z7" s="126"/>
      <c r="AA7" s="126"/>
      <c r="AB7" s="126"/>
      <c r="AC7" s="126"/>
      <c r="AD7" s="126"/>
      <c r="AE7" s="126"/>
      <c r="AF7" s="126"/>
      <c r="AG7" s="126"/>
      <c r="AH7" s="126"/>
      <c r="AI7" s="126"/>
      <c r="AJ7" s="126"/>
      <c r="AK7" s="126"/>
      <c r="AL7" s="126"/>
      <c r="AM7" s="126"/>
      <c r="AN7" s="127"/>
      <c r="AO7" s="102"/>
      <c r="AP7" s="102"/>
    </row>
    <row r="8" spans="1:42" ht="12.75" customHeight="1" x14ac:dyDescent="0.2">
      <c r="A8" s="128" t="s">
        <v>422</v>
      </c>
      <c r="B8" s="128" t="s">
        <v>423</v>
      </c>
      <c r="C8" s="128" t="s">
        <v>93</v>
      </c>
      <c r="D8" s="128" t="s">
        <v>96</v>
      </c>
      <c r="E8" s="102"/>
      <c r="F8" s="102"/>
      <c r="G8" s="102"/>
      <c r="H8" s="102"/>
      <c r="I8" s="102"/>
      <c r="J8" s="102"/>
      <c r="K8" s="102"/>
      <c r="L8" s="102"/>
      <c r="M8" s="102"/>
      <c r="N8" s="102"/>
      <c r="O8" s="102"/>
      <c r="P8" s="102"/>
      <c r="Q8" s="102"/>
      <c r="R8" s="102"/>
      <c r="S8" s="15"/>
      <c r="T8" s="15"/>
      <c r="U8" s="15"/>
      <c r="V8" s="15"/>
      <c r="W8" s="15"/>
      <c r="X8" s="15"/>
      <c r="Y8" s="129">
        <v>1</v>
      </c>
      <c r="Z8" s="130">
        <v>2</v>
      </c>
      <c r="AA8" s="130">
        <v>3</v>
      </c>
      <c r="AB8" s="130">
        <v>4</v>
      </c>
      <c r="AC8" s="130">
        <v>5</v>
      </c>
      <c r="AD8" s="130">
        <v>6</v>
      </c>
      <c r="AE8" s="130">
        <v>7</v>
      </c>
      <c r="AF8" s="130">
        <v>8</v>
      </c>
      <c r="AG8" s="130">
        <v>9</v>
      </c>
      <c r="AH8" s="130">
        <v>10</v>
      </c>
      <c r="AI8" s="130">
        <v>11</v>
      </c>
      <c r="AJ8" s="130">
        <v>12</v>
      </c>
      <c r="AK8" s="130">
        <v>13</v>
      </c>
      <c r="AL8" s="130">
        <v>14</v>
      </c>
      <c r="AM8" s="130">
        <v>15</v>
      </c>
      <c r="AN8" s="131">
        <v>16</v>
      </c>
      <c r="AO8" s="102"/>
      <c r="AP8" s="102"/>
    </row>
    <row r="9" spans="1:42" ht="15" customHeight="1" x14ac:dyDescent="0.2">
      <c r="A9" s="132" t="s">
        <v>424</v>
      </c>
      <c r="B9" s="133" t="s">
        <v>425</v>
      </c>
      <c r="C9" s="133" t="s">
        <v>106</v>
      </c>
      <c r="D9" s="133">
        <v>2</v>
      </c>
      <c r="E9" s="102"/>
      <c r="F9" s="102"/>
      <c r="G9" s="102"/>
      <c r="H9" s="102"/>
      <c r="I9" s="134" t="s">
        <v>426</v>
      </c>
      <c r="J9" s="135">
        <v>3</v>
      </c>
      <c r="K9" s="102"/>
      <c r="L9" s="102"/>
      <c r="M9" s="134" t="s">
        <v>427</v>
      </c>
      <c r="N9" s="135">
        <v>6</v>
      </c>
      <c r="O9" s="102"/>
      <c r="P9" s="102"/>
      <c r="Q9" s="102"/>
      <c r="R9" s="102"/>
      <c r="S9" s="102"/>
      <c r="T9" s="15"/>
      <c r="U9" s="15"/>
      <c r="V9" s="15"/>
      <c r="W9" s="15"/>
      <c r="X9" s="15"/>
      <c r="Y9" s="136"/>
      <c r="Z9" s="137"/>
      <c r="AA9" s="137"/>
      <c r="AB9" s="137"/>
      <c r="AC9" s="137"/>
      <c r="AD9" s="137"/>
      <c r="AE9" s="137"/>
      <c r="AF9" s="137"/>
      <c r="AG9" s="137"/>
      <c r="AH9" s="137" t="s">
        <v>427</v>
      </c>
      <c r="AI9" s="137"/>
      <c r="AJ9" s="137"/>
      <c r="AK9" s="137"/>
      <c r="AL9" s="137"/>
      <c r="AM9" s="137"/>
      <c r="AN9" s="138"/>
      <c r="AO9" s="102"/>
      <c r="AP9" s="102"/>
    </row>
    <row r="10" spans="1:42" ht="15" customHeight="1" x14ac:dyDescent="0.2">
      <c r="A10" s="132" t="s">
        <v>428</v>
      </c>
      <c r="B10" s="133" t="s">
        <v>426</v>
      </c>
      <c r="C10" s="133" t="s">
        <v>425</v>
      </c>
      <c r="D10" s="133">
        <v>3</v>
      </c>
      <c r="E10" s="102"/>
      <c r="F10" s="102"/>
      <c r="G10" s="102"/>
      <c r="H10" s="102"/>
      <c r="I10" s="139">
        <f>G16</f>
        <v>2</v>
      </c>
      <c r="J10" s="140">
        <f>I10+J9</f>
        <v>5</v>
      </c>
      <c r="K10" s="102"/>
      <c r="L10" s="102"/>
      <c r="M10" s="139">
        <f>MAX(J10,J16)</f>
        <v>6</v>
      </c>
      <c r="N10" s="140">
        <f>M10+N9</f>
        <v>12</v>
      </c>
      <c r="O10" s="102"/>
      <c r="P10" s="102"/>
      <c r="Q10" s="102"/>
      <c r="R10" s="102"/>
      <c r="S10" s="102"/>
      <c r="T10" s="15"/>
      <c r="U10" s="15"/>
      <c r="V10" s="15"/>
      <c r="W10" s="15"/>
      <c r="X10" s="15"/>
      <c r="Y10" s="141"/>
      <c r="Z10" s="142"/>
      <c r="AA10" s="142"/>
      <c r="AB10" s="142" t="s">
        <v>426</v>
      </c>
      <c r="AC10" s="143"/>
      <c r="AD10" s="15"/>
      <c r="AE10" s="144"/>
      <c r="AF10" s="142"/>
      <c r="AG10" s="142"/>
      <c r="AH10" s="142"/>
      <c r="AI10" s="142"/>
      <c r="AJ10" s="142"/>
      <c r="AK10" s="142"/>
      <c r="AL10" s="142"/>
      <c r="AM10" s="142"/>
      <c r="AN10" s="145"/>
      <c r="AO10" s="102"/>
      <c r="AP10" s="102"/>
    </row>
    <row r="11" spans="1:42" ht="15" customHeight="1" x14ac:dyDescent="0.2">
      <c r="A11" s="132" t="s">
        <v>429</v>
      </c>
      <c r="B11" s="133" t="s">
        <v>430</v>
      </c>
      <c r="C11" s="133" t="s">
        <v>425</v>
      </c>
      <c r="D11" s="133">
        <v>4</v>
      </c>
      <c r="E11" s="102"/>
      <c r="F11" s="102"/>
      <c r="G11" s="102"/>
      <c r="H11" s="102"/>
      <c r="I11" s="146">
        <f>J11-J9</f>
        <v>5</v>
      </c>
      <c r="J11" s="147">
        <f>MIN(M11,M17)</f>
        <v>8</v>
      </c>
      <c r="K11" s="102"/>
      <c r="L11" s="102"/>
      <c r="M11" s="146">
        <f>N11-N9</f>
        <v>8</v>
      </c>
      <c r="N11" s="147">
        <f>Q17</f>
        <v>14</v>
      </c>
      <c r="O11" s="102"/>
      <c r="P11" s="102"/>
      <c r="Q11" s="102"/>
      <c r="R11" s="102"/>
      <c r="S11" s="102"/>
      <c r="T11" s="15"/>
      <c r="U11" s="15"/>
      <c r="V11" s="15"/>
      <c r="W11" s="15"/>
      <c r="X11" s="15"/>
      <c r="Y11" s="141" t="s">
        <v>425</v>
      </c>
      <c r="Z11" s="142"/>
      <c r="AA11" s="142"/>
      <c r="AB11" s="142"/>
      <c r="AC11" s="142" t="s">
        <v>430</v>
      </c>
      <c r="AD11" s="142"/>
      <c r="AE11" s="142"/>
      <c r="AF11" s="142"/>
      <c r="AG11" s="142"/>
      <c r="AH11" s="142"/>
      <c r="AI11" s="142" t="s">
        <v>431</v>
      </c>
      <c r="AJ11" s="15"/>
      <c r="AK11" s="142"/>
      <c r="AL11" s="142"/>
      <c r="AM11" s="142" t="s">
        <v>432</v>
      </c>
      <c r="AN11" s="145"/>
      <c r="AO11" s="102"/>
      <c r="AP11" s="102"/>
    </row>
    <row r="12" spans="1:42" ht="15" customHeight="1" x14ac:dyDescent="0.2">
      <c r="A12" s="132" t="s">
        <v>433</v>
      </c>
      <c r="B12" s="133" t="s">
        <v>434</v>
      </c>
      <c r="C12" s="133" t="s">
        <v>425</v>
      </c>
      <c r="D12" s="133">
        <v>7</v>
      </c>
      <c r="E12" s="102"/>
      <c r="F12" s="102"/>
      <c r="G12" s="102"/>
      <c r="H12" s="102"/>
      <c r="I12" s="148">
        <f t="shared" ref="I12:J12" si="0">I11-I10</f>
        <v>3</v>
      </c>
      <c r="J12" s="148">
        <f t="shared" si="0"/>
        <v>3</v>
      </c>
      <c r="K12" s="102"/>
      <c r="L12" s="102"/>
      <c r="M12" s="148">
        <f t="shared" ref="M12:N12" si="1">M11-M10</f>
        <v>2</v>
      </c>
      <c r="N12" s="148">
        <f t="shared" si="1"/>
        <v>2</v>
      </c>
      <c r="O12" s="102"/>
      <c r="P12" s="102"/>
      <c r="Q12" s="102"/>
      <c r="R12" s="102"/>
      <c r="S12" s="102"/>
      <c r="T12" s="15"/>
      <c r="U12" s="15"/>
      <c r="V12" s="15"/>
      <c r="W12" s="15"/>
      <c r="X12" s="15"/>
      <c r="Y12" s="141"/>
      <c r="Z12" s="142"/>
      <c r="AA12" s="142"/>
      <c r="AB12" s="142"/>
      <c r="AC12" s="142"/>
      <c r="AD12" s="142"/>
      <c r="AE12" s="142"/>
      <c r="AF12" s="142"/>
      <c r="AG12" s="142"/>
      <c r="AH12" s="142"/>
      <c r="AI12" s="142"/>
      <c r="AJ12" s="142"/>
      <c r="AK12" s="142"/>
      <c r="AL12" s="142"/>
      <c r="AM12" s="142"/>
      <c r="AN12" s="145"/>
      <c r="AO12" s="102"/>
      <c r="AP12" s="102"/>
    </row>
    <row r="13" spans="1:42" ht="15" customHeight="1" x14ac:dyDescent="0.2">
      <c r="A13" s="149" t="s">
        <v>163</v>
      </c>
      <c r="B13" s="133" t="s">
        <v>427</v>
      </c>
      <c r="C13" s="133" t="s">
        <v>435</v>
      </c>
      <c r="D13" s="133">
        <v>6</v>
      </c>
      <c r="E13" s="102"/>
      <c r="F13" s="102"/>
      <c r="G13" s="102"/>
      <c r="H13" s="102"/>
      <c r="I13" s="102"/>
      <c r="J13" s="102"/>
      <c r="K13" s="102"/>
      <c r="L13" s="102"/>
      <c r="M13" s="102"/>
      <c r="N13" s="102"/>
      <c r="O13" s="102"/>
      <c r="P13" s="102"/>
      <c r="Q13" s="102"/>
      <c r="R13" s="102"/>
      <c r="S13" s="102"/>
      <c r="T13" s="15"/>
      <c r="U13" s="15"/>
      <c r="V13" s="15"/>
      <c r="W13" s="15"/>
      <c r="X13" s="15"/>
      <c r="Y13" s="141"/>
      <c r="Z13" s="142"/>
      <c r="AA13" s="142"/>
      <c r="AB13" s="142"/>
      <c r="AC13" s="142"/>
      <c r="AD13" s="142"/>
      <c r="AE13" s="142"/>
      <c r="AF13" s="142"/>
      <c r="AG13" s="142"/>
      <c r="AH13" s="142"/>
      <c r="AI13" s="142"/>
      <c r="AJ13" s="142"/>
      <c r="AK13" s="142"/>
      <c r="AL13" s="142"/>
      <c r="AM13" s="142"/>
      <c r="AN13" s="145"/>
      <c r="AO13" s="102"/>
      <c r="AP13" s="102"/>
    </row>
    <row r="14" spans="1:42" ht="15" customHeight="1" x14ac:dyDescent="0.2">
      <c r="A14" s="132" t="s">
        <v>436</v>
      </c>
      <c r="B14" s="133" t="s">
        <v>431</v>
      </c>
      <c r="C14" s="133" t="s">
        <v>437</v>
      </c>
      <c r="D14" s="133">
        <v>3</v>
      </c>
      <c r="E14" s="102"/>
      <c r="F14" s="102"/>
      <c r="G14" s="102"/>
      <c r="H14" s="102"/>
      <c r="I14" s="102"/>
      <c r="J14" s="102"/>
      <c r="K14" s="102"/>
      <c r="L14" s="102"/>
      <c r="M14" s="102"/>
      <c r="N14" s="102"/>
      <c r="O14" s="102"/>
      <c r="P14" s="102"/>
      <c r="Q14" s="102"/>
      <c r="R14" s="102"/>
      <c r="S14" s="102"/>
      <c r="T14" s="15"/>
      <c r="U14" s="15"/>
      <c r="V14" s="15"/>
      <c r="W14" s="15"/>
      <c r="X14" s="15"/>
      <c r="Y14" s="141"/>
      <c r="Z14" s="142"/>
      <c r="AA14" s="142"/>
      <c r="AB14" s="142" t="s">
        <v>434</v>
      </c>
      <c r="AC14" s="142"/>
      <c r="AD14" s="142"/>
      <c r="AE14" s="142"/>
      <c r="AF14" s="142"/>
      <c r="AG14" s="142"/>
      <c r="AH14" s="142"/>
      <c r="AI14" s="142"/>
      <c r="AJ14" s="142"/>
      <c r="AK14" s="142"/>
      <c r="AL14" s="142"/>
      <c r="AM14" s="142"/>
      <c r="AN14" s="145"/>
      <c r="AO14" s="102"/>
      <c r="AP14" s="102"/>
    </row>
    <row r="15" spans="1:42" ht="15" customHeight="1" x14ac:dyDescent="0.2">
      <c r="A15" s="132" t="s">
        <v>438</v>
      </c>
      <c r="B15" s="133" t="s">
        <v>439</v>
      </c>
      <c r="C15" s="133" t="s">
        <v>440</v>
      </c>
      <c r="D15" s="133">
        <v>5</v>
      </c>
      <c r="E15" s="102"/>
      <c r="F15" s="134" t="s">
        <v>425</v>
      </c>
      <c r="G15" s="135">
        <v>2</v>
      </c>
      <c r="H15" s="102"/>
      <c r="I15" s="150" t="s">
        <v>430</v>
      </c>
      <c r="J15" s="151">
        <v>4</v>
      </c>
      <c r="K15" s="102"/>
      <c r="L15" s="102"/>
      <c r="M15" s="134" t="s">
        <v>431</v>
      </c>
      <c r="N15" s="135">
        <v>3</v>
      </c>
      <c r="O15" s="102"/>
      <c r="P15" s="102"/>
      <c r="Q15" s="134" t="s">
        <v>432</v>
      </c>
      <c r="R15" s="135">
        <v>2</v>
      </c>
      <c r="S15" s="102"/>
      <c r="T15" s="15"/>
      <c r="U15" s="15"/>
      <c r="V15" s="15"/>
      <c r="W15" s="15"/>
      <c r="X15" s="15"/>
      <c r="Y15" s="141"/>
      <c r="Z15" s="142"/>
      <c r="AA15" s="142"/>
      <c r="AB15" s="142"/>
      <c r="AC15" s="142"/>
      <c r="AD15" s="142"/>
      <c r="AE15" s="142"/>
      <c r="AF15" s="142"/>
      <c r="AG15" s="142"/>
      <c r="AH15" s="142"/>
      <c r="AI15" s="142"/>
      <c r="AJ15" s="142"/>
      <c r="AK15" s="142"/>
      <c r="AL15" s="142"/>
      <c r="AM15" s="142"/>
      <c r="AN15" s="145"/>
      <c r="AO15" s="102"/>
      <c r="AP15" s="102"/>
    </row>
    <row r="16" spans="1:42" ht="15" customHeight="1" x14ac:dyDescent="0.2">
      <c r="A16" s="152" t="s">
        <v>441</v>
      </c>
      <c r="B16" s="133" t="s">
        <v>432</v>
      </c>
      <c r="C16" s="133" t="s">
        <v>442</v>
      </c>
      <c r="D16" s="133">
        <v>2</v>
      </c>
      <c r="E16" s="102"/>
      <c r="F16" s="139">
        <v>0</v>
      </c>
      <c r="G16" s="140">
        <f>G15+F16</f>
        <v>2</v>
      </c>
      <c r="H16" s="102"/>
      <c r="I16" s="139">
        <f>G16</f>
        <v>2</v>
      </c>
      <c r="J16" s="140">
        <f>I16+J15</f>
        <v>6</v>
      </c>
      <c r="K16" s="102"/>
      <c r="L16" s="102"/>
      <c r="M16" s="139">
        <f>MAX(J10,J16,J22)</f>
        <v>9</v>
      </c>
      <c r="N16" s="140">
        <f>M16+N15</f>
        <v>12</v>
      </c>
      <c r="O16" s="102"/>
      <c r="P16" s="102"/>
      <c r="Q16" s="139">
        <f>MAX(N10,N16,N22)</f>
        <v>14</v>
      </c>
      <c r="R16" s="140">
        <f>Q16+R15</f>
        <v>16</v>
      </c>
      <c r="S16" s="102"/>
      <c r="T16" s="15"/>
      <c r="U16" s="15"/>
      <c r="V16" s="15"/>
      <c r="W16" s="15"/>
      <c r="X16" s="15"/>
      <c r="Y16" s="118"/>
      <c r="Z16" s="153"/>
      <c r="AA16" s="153"/>
      <c r="AB16" s="153"/>
      <c r="AC16" s="153"/>
      <c r="AD16" s="153"/>
      <c r="AE16" s="153"/>
      <c r="AF16" s="153"/>
      <c r="AG16" s="153"/>
      <c r="AH16" s="153"/>
      <c r="AI16" s="153"/>
      <c r="AJ16" s="153"/>
      <c r="AK16" s="153"/>
      <c r="AL16" s="153"/>
      <c r="AM16" s="153"/>
      <c r="AN16" s="154"/>
      <c r="AO16" s="102"/>
      <c r="AP16" s="102"/>
    </row>
    <row r="17" spans="1:42" ht="12.75" customHeight="1" x14ac:dyDescent="0.2">
      <c r="A17" s="152" t="s">
        <v>443</v>
      </c>
      <c r="B17" s="133" t="s">
        <v>444</v>
      </c>
      <c r="C17" s="113"/>
      <c r="D17" s="113"/>
      <c r="E17" s="102"/>
      <c r="F17" s="146">
        <f>G17-G15</f>
        <v>0</v>
      </c>
      <c r="G17" s="147">
        <f>MIN(I11,I17,I23)</f>
        <v>2</v>
      </c>
      <c r="H17" s="102"/>
      <c r="I17" s="146">
        <f>J17-J15</f>
        <v>4</v>
      </c>
      <c r="J17" s="147">
        <f>MIN(M11,M17,M23)</f>
        <v>8</v>
      </c>
      <c r="K17" s="102"/>
      <c r="L17" s="102"/>
      <c r="M17" s="146">
        <f>N17-N15</f>
        <v>11</v>
      </c>
      <c r="N17" s="147">
        <f>Q17</f>
        <v>14</v>
      </c>
      <c r="O17" s="102"/>
      <c r="P17" s="102"/>
      <c r="Q17" s="146">
        <f>R17-R15</f>
        <v>14</v>
      </c>
      <c r="R17" s="147">
        <f>R16</f>
        <v>16</v>
      </c>
      <c r="S17" s="102"/>
      <c r="T17" s="15"/>
      <c r="U17" s="15"/>
      <c r="V17" s="15"/>
      <c r="W17" s="15"/>
      <c r="X17" s="15"/>
      <c r="Y17" s="15"/>
      <c r="Z17" s="15"/>
      <c r="AA17" s="15"/>
      <c r="AB17" s="15"/>
      <c r="AC17" s="15"/>
      <c r="AD17" s="15"/>
      <c r="AE17" s="15"/>
      <c r="AF17" s="15"/>
      <c r="AG17" s="15"/>
      <c r="AH17" s="15"/>
      <c r="AI17" s="15"/>
      <c r="AJ17" s="15"/>
      <c r="AK17" s="15"/>
      <c r="AL17" s="15"/>
      <c r="AM17" s="15"/>
      <c r="AN17" s="15"/>
      <c r="AO17" s="102"/>
      <c r="AP17" s="102"/>
    </row>
    <row r="18" spans="1:42" ht="12.75" customHeight="1" x14ac:dyDescent="0.2">
      <c r="A18" s="155" t="s">
        <v>445</v>
      </c>
      <c r="B18" s="133" t="s">
        <v>446</v>
      </c>
      <c r="C18" s="113"/>
      <c r="D18" s="114"/>
      <c r="E18" s="102"/>
      <c r="F18" s="148">
        <f t="shared" ref="F18:G18" si="2">F17-F16</f>
        <v>0</v>
      </c>
      <c r="G18" s="148">
        <f t="shared" si="2"/>
        <v>0</v>
      </c>
      <c r="H18" s="102"/>
      <c r="I18" s="148">
        <f t="shared" ref="I18:J18" si="3">I17-I16</f>
        <v>2</v>
      </c>
      <c r="J18" s="148">
        <f t="shared" si="3"/>
        <v>2</v>
      </c>
      <c r="K18" s="102"/>
      <c r="L18" s="102"/>
      <c r="M18" s="148">
        <f t="shared" ref="M18:N18" si="4">M17-M16</f>
        <v>2</v>
      </c>
      <c r="N18" s="148">
        <f t="shared" si="4"/>
        <v>2</v>
      </c>
      <c r="O18" s="102"/>
      <c r="P18" s="102"/>
      <c r="Q18" s="148">
        <f t="shared" ref="Q18:R18" si="5">Q17-Q16</f>
        <v>0</v>
      </c>
      <c r="R18" s="148">
        <f t="shared" si="5"/>
        <v>0</v>
      </c>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row>
    <row r="19" spans="1:42" ht="12.75" customHeight="1" x14ac:dyDescent="0.2">
      <c r="A19" s="149" t="s">
        <v>447</v>
      </c>
      <c r="B19" s="133" t="s">
        <v>448</v>
      </c>
      <c r="C19" s="114"/>
      <c r="D19" s="114"/>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02"/>
      <c r="AK19" s="102"/>
      <c r="AL19" s="102"/>
      <c r="AM19" s="102"/>
      <c r="AN19" s="102"/>
      <c r="AO19" s="102"/>
      <c r="AP19" s="102"/>
    </row>
    <row r="20" spans="1:42" ht="12.75" customHeight="1" x14ac:dyDescent="0.2">
      <c r="A20" s="155" t="s">
        <v>449</v>
      </c>
      <c r="B20" s="133" t="s">
        <v>450</v>
      </c>
      <c r="C20" s="114"/>
      <c r="D20" s="114"/>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02"/>
      <c r="AO20" s="102"/>
      <c r="AP20" s="102"/>
    </row>
    <row r="21" spans="1:42" ht="12.75" customHeight="1" x14ac:dyDescent="0.2">
      <c r="A21" s="155" t="s">
        <v>451</v>
      </c>
      <c r="B21" s="133" t="s">
        <v>452</v>
      </c>
      <c r="C21" s="114"/>
      <c r="D21" s="114"/>
      <c r="E21" s="102"/>
      <c r="F21" s="102"/>
      <c r="G21" s="102"/>
      <c r="H21" s="102"/>
      <c r="I21" s="134" t="s">
        <v>434</v>
      </c>
      <c r="J21" s="135">
        <v>7</v>
      </c>
      <c r="K21" s="102"/>
      <c r="L21" s="102"/>
      <c r="M21" s="134" t="s">
        <v>439</v>
      </c>
      <c r="N21" s="135">
        <v>5</v>
      </c>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row>
    <row r="22" spans="1:42" ht="12.75" customHeight="1" x14ac:dyDescent="0.2">
      <c r="A22" s="155" t="s">
        <v>453</v>
      </c>
      <c r="B22" s="133" t="s">
        <v>454</v>
      </c>
      <c r="C22" s="114"/>
      <c r="D22" s="114"/>
      <c r="E22" s="102"/>
      <c r="F22" s="102"/>
      <c r="G22" s="102"/>
      <c r="H22" s="102"/>
      <c r="I22" s="139">
        <f>G16</f>
        <v>2</v>
      </c>
      <c r="J22" s="140">
        <f>I22+J21</f>
        <v>9</v>
      </c>
      <c r="K22" s="102"/>
      <c r="L22" s="102"/>
      <c r="M22" s="139">
        <f>MAX(J16,J22)</f>
        <v>9</v>
      </c>
      <c r="N22" s="140">
        <f>M22+N21</f>
        <v>14</v>
      </c>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row>
    <row r="23" spans="1:42" ht="12.75" customHeight="1" x14ac:dyDescent="0.2">
      <c r="A23" s="155" t="s">
        <v>455</v>
      </c>
      <c r="B23" s="133" t="s">
        <v>456</v>
      </c>
      <c r="C23" s="114"/>
      <c r="D23" s="114"/>
      <c r="E23" s="102"/>
      <c r="F23" s="102"/>
      <c r="G23" s="102"/>
      <c r="H23" s="102"/>
      <c r="I23" s="146">
        <f>J23-J21</f>
        <v>2</v>
      </c>
      <c r="J23" s="147">
        <f>MIN(M17,M23)</f>
        <v>9</v>
      </c>
      <c r="K23" s="102"/>
      <c r="L23" s="102"/>
      <c r="M23" s="146">
        <f>N23-N21</f>
        <v>9</v>
      </c>
      <c r="N23" s="147">
        <f>Q17</f>
        <v>14</v>
      </c>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row>
    <row r="24" spans="1:42" ht="12.75" customHeight="1" x14ac:dyDescent="0.2">
      <c r="A24" s="155" t="s">
        <v>457</v>
      </c>
      <c r="B24" s="133" t="s">
        <v>458</v>
      </c>
      <c r="C24" s="114"/>
      <c r="D24" s="114"/>
      <c r="E24" s="102"/>
      <c r="F24" s="102"/>
      <c r="G24" s="102"/>
      <c r="H24" s="102"/>
      <c r="I24" s="148">
        <f t="shared" ref="I24:J24" si="6">I23-I22</f>
        <v>0</v>
      </c>
      <c r="J24" s="148">
        <f t="shared" si="6"/>
        <v>0</v>
      </c>
      <c r="K24" s="102"/>
      <c r="L24" s="102"/>
      <c r="M24" s="148">
        <f t="shared" ref="M24:N24" si="7">M23-M22</f>
        <v>0</v>
      </c>
      <c r="N24" s="148">
        <f t="shared" si="7"/>
        <v>0</v>
      </c>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row>
    <row r="25" spans="1:42" ht="12.75" customHeight="1" x14ac:dyDescent="0.2">
      <c r="A25" s="155" t="s">
        <v>459</v>
      </c>
      <c r="B25" s="133" t="s">
        <v>460</v>
      </c>
      <c r="C25" s="114"/>
      <c r="D25" s="114"/>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row>
    <row r="26" spans="1:42" ht="12.75" customHeight="1" x14ac:dyDescent="0.2">
      <c r="A26" s="155" t="s">
        <v>461</v>
      </c>
      <c r="B26" s="156" t="s">
        <v>462</v>
      </c>
      <c r="C26" s="114"/>
      <c r="D26" s="114"/>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row>
    <row r="27" spans="1:42" ht="12.75" customHeight="1" x14ac:dyDescent="0.2">
      <c r="A27" s="155" t="s">
        <v>463</v>
      </c>
      <c r="B27" s="156" t="s">
        <v>464</v>
      </c>
      <c r="C27" s="114"/>
      <c r="D27" s="114"/>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row>
    <row r="28" spans="1:42" ht="12.75" customHeight="1" x14ac:dyDescent="0.2">
      <c r="A28" s="155" t="s">
        <v>465</v>
      </c>
      <c r="B28" s="156" t="s">
        <v>466</v>
      </c>
      <c r="C28" s="114"/>
      <c r="D28" s="114"/>
      <c r="E28" s="102"/>
      <c r="F28" s="102"/>
      <c r="G28" s="102"/>
      <c r="H28" s="102"/>
      <c r="I28" s="102"/>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row>
    <row r="29" spans="1:42" ht="12.75" customHeight="1" x14ac:dyDescent="0.2">
      <c r="A29" s="15"/>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5"/>
    </row>
    <row r="30" spans="1:42" ht="12.75" customHeight="1" x14ac:dyDescent="0.2">
      <c r="A30" s="15"/>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row>
    <row r="31" spans="1:42" ht="12.75" customHeight="1" x14ac:dyDescent="0.2">
      <c r="A31" s="15"/>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102"/>
    </row>
    <row r="32" spans="1:42" ht="12.75" customHeight="1" x14ac:dyDescent="0.2">
      <c r="A32" s="15"/>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c r="AA32" s="102"/>
      <c r="AB32" s="102"/>
      <c r="AC32" s="102"/>
      <c r="AD32" s="102"/>
      <c r="AE32" s="102"/>
      <c r="AF32" s="102"/>
      <c r="AG32" s="102"/>
      <c r="AH32" s="102"/>
      <c r="AI32" s="102"/>
      <c r="AJ32" s="102"/>
      <c r="AK32" s="102"/>
      <c r="AL32" s="102"/>
      <c r="AM32" s="102"/>
      <c r="AN32" s="102"/>
      <c r="AO32" s="102"/>
      <c r="AP32" s="102"/>
    </row>
    <row r="33" spans="1:42" ht="12.75" customHeight="1" x14ac:dyDescent="0.2">
      <c r="A33" s="15"/>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02"/>
      <c r="AO33" s="102"/>
      <c r="AP33" s="102"/>
    </row>
    <row r="34" spans="1:42" ht="12.75" customHeight="1" x14ac:dyDescent="0.2">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row>
    <row r="35" spans="1:42" ht="12.75" customHeight="1" x14ac:dyDescent="0.2">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row>
    <row r="36" spans="1:42" ht="12.75" customHeight="1" x14ac:dyDescent="0.2">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row>
    <row r="37" spans="1:42" ht="12.75" customHeight="1" x14ac:dyDescent="0.2">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row>
    <row r="38" spans="1:42" ht="12.75" customHeight="1" x14ac:dyDescent="0.2">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row>
    <row r="39" spans="1:42" ht="12.75" customHeight="1" x14ac:dyDescent="0.2">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row>
    <row r="40" spans="1:42" ht="12.75" customHeight="1" x14ac:dyDescent="0.2">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row>
    <row r="41" spans="1:42" ht="12.75" customHeight="1" x14ac:dyDescent="0.2">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row>
    <row r="42" spans="1:42" ht="12.75" customHeight="1" x14ac:dyDescent="0.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row>
    <row r="43" spans="1:42" ht="12.75" customHeight="1" x14ac:dyDescent="0.2">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row>
    <row r="44" spans="1:42" ht="12.75" customHeight="1" x14ac:dyDescent="0.2">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row>
    <row r="45" spans="1:42" ht="12.75" customHeight="1" x14ac:dyDescent="0.2">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row>
    <row r="46" spans="1:42" ht="12.75" customHeight="1" x14ac:dyDescent="0.2">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row>
    <row r="47" spans="1:42" ht="12.75" customHeight="1" x14ac:dyDescent="0.2">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row>
    <row r="48" spans="1:42" ht="12.75" customHeight="1" x14ac:dyDescent="0.2">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row>
    <row r="49" spans="1:42" ht="12.75" customHeight="1" x14ac:dyDescent="0.2">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row>
    <row r="50" spans="1:42" ht="12.75" customHeight="1" x14ac:dyDescent="0.2">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row>
    <row r="51" spans="1:42" ht="12.75" customHeight="1" x14ac:dyDescent="0.2">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row>
    <row r="52" spans="1:42" ht="12.75" customHeight="1" x14ac:dyDescent="0.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row>
    <row r="53" spans="1:42" ht="12.75" customHeight="1" x14ac:dyDescent="0.2">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row>
    <row r="54" spans="1:42" ht="12.75" customHeight="1" x14ac:dyDescent="0.2">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row>
    <row r="55" spans="1:42" ht="12.75" customHeight="1" x14ac:dyDescent="0.2">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row>
    <row r="56" spans="1:42" ht="12.75" customHeight="1" x14ac:dyDescent="0.2">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row>
    <row r="57" spans="1:42" ht="12.75" customHeight="1" x14ac:dyDescent="0.2">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row>
    <row r="58" spans="1:42" ht="12.75" customHeight="1" x14ac:dyDescent="0.2">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row>
    <row r="59" spans="1:42" ht="12.75" customHeight="1" x14ac:dyDescent="0.2">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row>
    <row r="60" spans="1:42" ht="12.75" customHeight="1" x14ac:dyDescent="0.2">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row>
    <row r="61" spans="1:42" ht="12.75" customHeight="1" x14ac:dyDescent="0.2">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row>
    <row r="62" spans="1:42" ht="12.75" customHeight="1" x14ac:dyDescent="0.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row>
    <row r="63" spans="1:42" ht="12.75" customHeight="1" x14ac:dyDescent="0.2">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row>
    <row r="64" spans="1:42" ht="12.75" customHeight="1" x14ac:dyDescent="0.2">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row>
    <row r="65" spans="1:42" ht="12.75" customHeight="1" x14ac:dyDescent="0.2">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row>
    <row r="66" spans="1:42" ht="12.75" customHeight="1" x14ac:dyDescent="0.2">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row>
    <row r="67" spans="1:42" ht="12.75" customHeight="1" x14ac:dyDescent="0.2">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row>
    <row r="68" spans="1:42" ht="12.75" customHeight="1" x14ac:dyDescent="0.2">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row>
    <row r="69" spans="1:42" ht="12.75" customHeight="1" x14ac:dyDescent="0.2">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row>
    <row r="70" spans="1:42" ht="12.75" customHeight="1" x14ac:dyDescent="0.2">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row>
    <row r="71" spans="1:42" ht="12.75" customHeight="1" x14ac:dyDescent="0.2">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row>
    <row r="72" spans="1:42" ht="12.75" customHeight="1" x14ac:dyDescent="0.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row>
    <row r="73" spans="1:42" ht="12.75" customHeight="1" x14ac:dyDescent="0.2">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row>
    <row r="74" spans="1:42" ht="12.75" customHeight="1" x14ac:dyDescent="0.2">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row>
    <row r="75" spans="1:42" ht="12.75" customHeight="1" x14ac:dyDescent="0.2">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row>
    <row r="76" spans="1:42" ht="12.75" customHeight="1" x14ac:dyDescent="0.2">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row>
    <row r="77" spans="1:42" ht="12.75" customHeight="1" x14ac:dyDescent="0.2">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row>
    <row r="78" spans="1:42" ht="12.75" customHeight="1" x14ac:dyDescent="0.2">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row>
    <row r="79" spans="1:42" ht="12.75" customHeight="1" x14ac:dyDescent="0.2">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row>
    <row r="80" spans="1:42" ht="12.75" customHeight="1" x14ac:dyDescent="0.2">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row>
    <row r="81" spans="1:42" ht="12.75" customHeight="1" x14ac:dyDescent="0.2">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row>
    <row r="82" spans="1:42" ht="12.75" customHeight="1" x14ac:dyDescent="0.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row>
    <row r="83" spans="1:42" ht="12.75" customHeight="1" x14ac:dyDescent="0.2">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row>
    <row r="84" spans="1:42" ht="12.75" customHeight="1" x14ac:dyDescent="0.2">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row>
    <row r="85" spans="1:42" ht="12.75" customHeight="1" x14ac:dyDescent="0.2">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row>
    <row r="86" spans="1:42" ht="12.75" customHeight="1" x14ac:dyDescent="0.2">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row>
    <row r="87" spans="1:42" ht="12.75" customHeight="1" x14ac:dyDescent="0.2">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row>
    <row r="88" spans="1:42" ht="12.75" customHeight="1" x14ac:dyDescent="0.2">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row>
    <row r="89" spans="1:42" ht="12.75" customHeight="1" x14ac:dyDescent="0.2">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row>
    <row r="90" spans="1:42" ht="12.75" customHeight="1" x14ac:dyDescent="0.2">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row>
    <row r="91" spans="1:42" ht="12.75" customHeight="1" x14ac:dyDescent="0.2">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row>
    <row r="92" spans="1:42" ht="12.75" customHeight="1" x14ac:dyDescent="0.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row>
    <row r="93" spans="1:42" ht="12.75" customHeight="1" x14ac:dyDescent="0.2">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row>
    <row r="94" spans="1:42" ht="12.75" customHeight="1" x14ac:dyDescent="0.2">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row>
    <row r="95" spans="1:42" ht="12.75" customHeight="1" x14ac:dyDescent="0.2">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row>
    <row r="96" spans="1:42" ht="12.75" customHeight="1" x14ac:dyDescent="0.2">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row>
    <row r="97" spans="1:42" ht="12.75" customHeight="1" x14ac:dyDescent="0.2">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row>
    <row r="98" spans="1:42" ht="12.75" customHeight="1" x14ac:dyDescent="0.2">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row>
    <row r="99" spans="1:42" ht="12.75" customHeight="1" x14ac:dyDescent="0.2">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row>
    <row r="100" spans="1:42" ht="12.75" customHeight="1" x14ac:dyDescent="0.2">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row>
    <row r="101" spans="1:42" ht="12.75" customHeight="1" x14ac:dyDescent="0.2">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row>
    <row r="102" spans="1:42" ht="12.75" customHeight="1" x14ac:dyDescent="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row>
    <row r="103" spans="1:42" ht="12.75" customHeight="1" x14ac:dyDescent="0.2">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row>
    <row r="104" spans="1:42" ht="12.75" customHeight="1" x14ac:dyDescent="0.2">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row>
    <row r="105" spans="1:42" ht="12.75" customHeight="1" x14ac:dyDescent="0.2">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row>
    <row r="106" spans="1:42" ht="12.75" customHeight="1" x14ac:dyDescent="0.2">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row>
    <row r="107" spans="1:42" ht="12.75" customHeight="1" x14ac:dyDescent="0.2">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row>
    <row r="108" spans="1:42" ht="12.75" customHeight="1" x14ac:dyDescent="0.2">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row>
    <row r="109" spans="1:42" ht="12.75" customHeight="1" x14ac:dyDescent="0.2">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row>
    <row r="110" spans="1:42" ht="12.75" customHeight="1" x14ac:dyDescent="0.2">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row>
    <row r="111" spans="1:42" ht="12.75" customHeight="1" x14ac:dyDescent="0.2">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row>
    <row r="112" spans="1:42" ht="12.75" customHeight="1" x14ac:dyDescent="0.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row>
    <row r="113" spans="1:42" ht="12.75" customHeight="1" x14ac:dyDescent="0.2">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row>
    <row r="114" spans="1:42" ht="12.75" customHeight="1" x14ac:dyDescent="0.2">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row>
    <row r="115" spans="1:42" ht="12.75" customHeight="1" x14ac:dyDescent="0.2">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row>
    <row r="116" spans="1:42" ht="12.75" customHeight="1" x14ac:dyDescent="0.2">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row>
    <row r="117" spans="1:42" ht="12.75" customHeight="1" x14ac:dyDescent="0.2">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row>
    <row r="118" spans="1:42" ht="12.75" customHeight="1" x14ac:dyDescent="0.2">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row>
    <row r="119" spans="1:42" ht="12.75" customHeight="1" x14ac:dyDescent="0.2">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row>
    <row r="120" spans="1:42" ht="12.75" customHeight="1" x14ac:dyDescent="0.2">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row>
    <row r="121" spans="1:42" ht="12.75" customHeight="1" x14ac:dyDescent="0.2">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row>
    <row r="122" spans="1:42" ht="12.75" customHeight="1" x14ac:dyDescent="0.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row>
    <row r="123" spans="1:42" ht="12.75" customHeight="1" x14ac:dyDescent="0.2">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row>
    <row r="124" spans="1:42" ht="12.75" customHeight="1" x14ac:dyDescent="0.2">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row>
    <row r="125" spans="1:42" ht="12.75" customHeight="1" x14ac:dyDescent="0.2">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row>
    <row r="126" spans="1:42" ht="12.75" customHeight="1" x14ac:dyDescent="0.2">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row>
    <row r="127" spans="1:42" ht="12.75" customHeight="1" x14ac:dyDescent="0.2">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row>
    <row r="128" spans="1:42" ht="12.75" customHeight="1" x14ac:dyDescent="0.2">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row>
    <row r="129" spans="1:42" ht="12.75" customHeight="1" x14ac:dyDescent="0.2">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row>
    <row r="130" spans="1:42" ht="12.75" customHeight="1" x14ac:dyDescent="0.2">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row>
    <row r="131" spans="1:42" ht="12.75" customHeight="1" x14ac:dyDescent="0.2">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row>
    <row r="132" spans="1:42" ht="12.75" customHeight="1" x14ac:dyDescent="0.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row>
    <row r="133" spans="1:42" ht="12.75" customHeight="1" x14ac:dyDescent="0.2">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row>
    <row r="134" spans="1:42" ht="12.75" customHeight="1" x14ac:dyDescent="0.2">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row>
    <row r="135" spans="1:42" ht="12.75" customHeight="1" x14ac:dyDescent="0.2">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row>
    <row r="136" spans="1:42" ht="12.75" customHeight="1" x14ac:dyDescent="0.2">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row>
    <row r="137" spans="1:42" ht="12.75" customHeight="1" x14ac:dyDescent="0.2">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row>
    <row r="138" spans="1:42" ht="12.75" customHeight="1" x14ac:dyDescent="0.2">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row>
    <row r="139" spans="1:42" ht="12.75" customHeight="1" x14ac:dyDescent="0.2">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row>
    <row r="140" spans="1:42" ht="12.75" customHeight="1" x14ac:dyDescent="0.2">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row>
    <row r="141" spans="1:42" ht="12.75" customHeight="1" x14ac:dyDescent="0.2">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row>
    <row r="142" spans="1:42" ht="12.75" customHeight="1" x14ac:dyDescent="0.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row>
    <row r="143" spans="1:42" ht="12.75" customHeight="1" x14ac:dyDescent="0.2">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row>
    <row r="144" spans="1:42" ht="12.75" customHeight="1" x14ac:dyDescent="0.2">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row>
    <row r="145" spans="1:42" ht="12.75" customHeight="1" x14ac:dyDescent="0.2">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row>
    <row r="146" spans="1:42" ht="12.75" customHeight="1" x14ac:dyDescent="0.2">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row>
    <row r="147" spans="1:42" ht="12.75" customHeight="1" x14ac:dyDescent="0.2">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row>
    <row r="148" spans="1:42" ht="12.75" customHeight="1" x14ac:dyDescent="0.2">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row>
    <row r="149" spans="1:42" ht="12.75" customHeight="1" x14ac:dyDescent="0.2">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row>
    <row r="150" spans="1:42" ht="12.75" customHeight="1" x14ac:dyDescent="0.2">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row>
    <row r="151" spans="1:42" ht="12.75" customHeight="1" x14ac:dyDescent="0.2">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row>
    <row r="152" spans="1:42" ht="12.75" customHeight="1" x14ac:dyDescent="0.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row>
    <row r="153" spans="1:42" ht="12.75" customHeight="1" x14ac:dyDescent="0.2">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row>
    <row r="154" spans="1:42" ht="12.75" customHeight="1" x14ac:dyDescent="0.2">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row>
    <row r="155" spans="1:42" ht="12.75" customHeight="1" x14ac:dyDescent="0.2">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row>
    <row r="156" spans="1:42" ht="12.75" customHeight="1" x14ac:dyDescent="0.2">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row>
    <row r="157" spans="1:42" ht="12.75" customHeight="1" x14ac:dyDescent="0.2">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row>
    <row r="158" spans="1:42" ht="12.75" customHeight="1" x14ac:dyDescent="0.2">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row>
    <row r="159" spans="1:42" ht="12.75" customHeight="1" x14ac:dyDescent="0.2">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row>
    <row r="160" spans="1:42" ht="12.75" customHeight="1" x14ac:dyDescent="0.2">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row>
    <row r="161" spans="1:42" ht="12.75" customHeight="1" x14ac:dyDescent="0.2">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row>
    <row r="162" spans="1:42" ht="12.75" customHeight="1" x14ac:dyDescent="0.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row>
    <row r="163" spans="1:42" ht="12.75" customHeight="1" x14ac:dyDescent="0.2">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row>
    <row r="164" spans="1:42" ht="12.75" customHeight="1" x14ac:dyDescent="0.2">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row>
    <row r="165" spans="1:42" ht="12.75" customHeight="1" x14ac:dyDescent="0.2">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row>
    <row r="166" spans="1:42" ht="12.75" customHeight="1" x14ac:dyDescent="0.2">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row>
    <row r="167" spans="1:42" ht="12.75" customHeight="1" x14ac:dyDescent="0.2">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row>
    <row r="168" spans="1:42" ht="12.75" customHeight="1" x14ac:dyDescent="0.2">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row>
    <row r="169" spans="1:42" ht="12.75" customHeight="1" x14ac:dyDescent="0.2">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row>
    <row r="170" spans="1:42" ht="12.75" customHeight="1" x14ac:dyDescent="0.2">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row>
    <row r="171" spans="1:42" ht="12.75" customHeight="1" x14ac:dyDescent="0.2">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row>
    <row r="172" spans="1:42" ht="12.75" customHeight="1" x14ac:dyDescent="0.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row>
    <row r="173" spans="1:42" ht="12.75" customHeight="1" x14ac:dyDescent="0.2">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row>
    <row r="174" spans="1:42" ht="12.75" customHeight="1" x14ac:dyDescent="0.2">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row>
    <row r="175" spans="1:42" ht="12.75" customHeight="1" x14ac:dyDescent="0.2">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row>
    <row r="176" spans="1:42" ht="12.75" customHeight="1" x14ac:dyDescent="0.2">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row>
    <row r="177" spans="1:42" ht="12.75" customHeight="1" x14ac:dyDescent="0.2">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row>
    <row r="178" spans="1:42" ht="12.75" customHeight="1" x14ac:dyDescent="0.2">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row>
    <row r="179" spans="1:42" ht="12.75" customHeight="1" x14ac:dyDescent="0.2">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row>
    <row r="180" spans="1:42" ht="12.75" customHeight="1" x14ac:dyDescent="0.2">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row>
    <row r="181" spans="1:42" ht="12.75" customHeight="1" x14ac:dyDescent="0.2">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row>
    <row r="182" spans="1:42" ht="12.75" customHeight="1" x14ac:dyDescent="0.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row>
    <row r="183" spans="1:42" ht="12.75" customHeight="1" x14ac:dyDescent="0.2">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row>
    <row r="184" spans="1:42" ht="12.75" customHeight="1" x14ac:dyDescent="0.2">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row>
    <row r="185" spans="1:42" ht="12.75" customHeight="1" x14ac:dyDescent="0.2">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row>
    <row r="186" spans="1:42" ht="12.75" customHeight="1" x14ac:dyDescent="0.2">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row>
    <row r="187" spans="1:42" ht="12.75" customHeight="1" x14ac:dyDescent="0.2">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row>
    <row r="188" spans="1:42" ht="12.75" customHeight="1" x14ac:dyDescent="0.2">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row>
    <row r="189" spans="1:42" ht="12.75" customHeight="1" x14ac:dyDescent="0.2">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row>
    <row r="190" spans="1:42" ht="12.75" customHeight="1" x14ac:dyDescent="0.2">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row>
    <row r="191" spans="1:42" ht="12.75" customHeight="1" x14ac:dyDescent="0.2">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row>
    <row r="192" spans="1:42" ht="12.75" customHeight="1" x14ac:dyDescent="0.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row>
    <row r="193" spans="1:42" ht="12.75" customHeight="1" x14ac:dyDescent="0.2">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row>
    <row r="194" spans="1:42" ht="12.75" customHeight="1" x14ac:dyDescent="0.2">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row>
    <row r="195" spans="1:42" ht="12.75" customHeight="1" x14ac:dyDescent="0.2">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row>
    <row r="196" spans="1:42" ht="12.75" customHeight="1" x14ac:dyDescent="0.2">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row>
    <row r="197" spans="1:42" ht="12.75" customHeight="1" x14ac:dyDescent="0.2">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row>
    <row r="198" spans="1:42" ht="12.75" customHeight="1" x14ac:dyDescent="0.2">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row>
    <row r="199" spans="1:42" ht="12.75" customHeight="1" x14ac:dyDescent="0.2">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row>
    <row r="200" spans="1:42" ht="12.75" customHeight="1" x14ac:dyDescent="0.2">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row>
    <row r="201" spans="1:42" ht="12.75" customHeight="1" x14ac:dyDescent="0.2">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row>
    <row r="202" spans="1:42" ht="12.75" customHeight="1" x14ac:dyDescent="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row>
    <row r="203" spans="1:42" ht="12.75" customHeight="1" x14ac:dyDescent="0.2">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row>
    <row r="204" spans="1:42" ht="12.75" customHeight="1" x14ac:dyDescent="0.2">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row>
    <row r="205" spans="1:42" ht="12.75" customHeight="1" x14ac:dyDescent="0.2">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row>
    <row r="206" spans="1:42" ht="12.75" customHeight="1" x14ac:dyDescent="0.2">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row>
    <row r="207" spans="1:42" ht="12.75" customHeight="1" x14ac:dyDescent="0.2">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row>
    <row r="208" spans="1:42" ht="12.75" customHeight="1" x14ac:dyDescent="0.2">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row>
    <row r="209" spans="1:42" ht="12.75" customHeight="1" x14ac:dyDescent="0.2">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row>
    <row r="210" spans="1:42" ht="12.75" customHeight="1" x14ac:dyDescent="0.2">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row>
    <row r="211" spans="1:42" ht="12.75" customHeight="1" x14ac:dyDescent="0.2">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row>
    <row r="212" spans="1:42" ht="12.75" customHeight="1" x14ac:dyDescent="0.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row>
    <row r="213" spans="1:42" ht="12.75" customHeight="1" x14ac:dyDescent="0.2">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row>
    <row r="214" spans="1:42" ht="12.75" customHeight="1" x14ac:dyDescent="0.2">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row>
    <row r="215" spans="1:42" ht="12.75" customHeight="1" x14ac:dyDescent="0.2">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row>
    <row r="216" spans="1:42" ht="12.75" customHeight="1" x14ac:dyDescent="0.2">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row>
    <row r="217" spans="1:42" ht="12.75" customHeight="1" x14ac:dyDescent="0.2">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row>
    <row r="218" spans="1:42" ht="12.75" customHeight="1" x14ac:dyDescent="0.2">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row>
    <row r="219" spans="1:42" ht="12.75" customHeight="1" x14ac:dyDescent="0.2">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row>
    <row r="220" spans="1:42" ht="12.75" customHeight="1" x14ac:dyDescent="0.2">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row>
    <row r="221" spans="1:42" ht="12.75" customHeight="1" x14ac:dyDescent="0.2">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row>
    <row r="222" spans="1:42" ht="12.75" customHeight="1" x14ac:dyDescent="0.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row>
    <row r="223" spans="1:42" ht="12.75" customHeight="1" x14ac:dyDescent="0.2">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row>
    <row r="224" spans="1:42" ht="12.75" customHeight="1" x14ac:dyDescent="0.2">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row>
    <row r="225" spans="1:42" ht="12.75" customHeight="1" x14ac:dyDescent="0.2">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row>
    <row r="226" spans="1:42" ht="12.75" customHeight="1" x14ac:dyDescent="0.2">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row>
    <row r="227" spans="1:42" ht="12.75" customHeight="1" x14ac:dyDescent="0.2">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row>
    <row r="228" spans="1:42" ht="12.75" customHeight="1" x14ac:dyDescent="0.2">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row>
    <row r="229" spans="1:42" ht="12.75" customHeight="1" x14ac:dyDescent="0.2">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row>
    <row r="230" spans="1:42" ht="12.75" customHeight="1" x14ac:dyDescent="0.2">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row>
    <row r="231" spans="1:42" ht="12.75" customHeight="1" x14ac:dyDescent="0.2">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row>
    <row r="232" spans="1:42" ht="12.75" customHeight="1" x14ac:dyDescent="0.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row>
    <row r="233" spans="1:42" ht="12.75" customHeight="1" x14ac:dyDescent="0.2">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row>
    <row r="234" spans="1:42" ht="12.75" customHeight="1" x14ac:dyDescent="0.2">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row>
    <row r="235" spans="1:42" ht="12.75" customHeight="1" x14ac:dyDescent="0.2">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row>
    <row r="236" spans="1:42" ht="12.75" customHeight="1" x14ac:dyDescent="0.2">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row>
    <row r="237" spans="1:42" ht="12.75" customHeight="1" x14ac:dyDescent="0.2">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row>
    <row r="238" spans="1:42" ht="12.75" customHeight="1" x14ac:dyDescent="0.2">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row>
    <row r="239" spans="1:42" ht="12.75" customHeight="1" x14ac:dyDescent="0.2">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row>
    <row r="240" spans="1:42" ht="12.75" customHeight="1" x14ac:dyDescent="0.2">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row>
    <row r="241" spans="1:42" ht="12.75" customHeight="1" x14ac:dyDescent="0.2">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row>
    <row r="242" spans="1:42" ht="12.75" customHeight="1" x14ac:dyDescent="0.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row>
    <row r="243" spans="1:42" ht="12.75" customHeight="1" x14ac:dyDescent="0.2">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row>
    <row r="244" spans="1:42" ht="12.75" customHeight="1" x14ac:dyDescent="0.2">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row>
    <row r="245" spans="1:42" ht="12.75" customHeight="1" x14ac:dyDescent="0.2">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row>
    <row r="246" spans="1:42" ht="12.75" customHeight="1" x14ac:dyDescent="0.2">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row>
    <row r="247" spans="1:42" ht="12.75" customHeight="1" x14ac:dyDescent="0.2">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row>
    <row r="248" spans="1:42" ht="12.75" customHeight="1" x14ac:dyDescent="0.2">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row>
    <row r="249" spans="1:42" ht="12.75" customHeight="1" x14ac:dyDescent="0.2">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row>
    <row r="250" spans="1:42" ht="12.75" customHeight="1" x14ac:dyDescent="0.2">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row>
    <row r="251" spans="1:42" ht="12.75" customHeight="1" x14ac:dyDescent="0.2">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row>
    <row r="252" spans="1:42" ht="12.75" customHeight="1" x14ac:dyDescent="0.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row>
    <row r="253" spans="1:42" ht="12.75" customHeight="1" x14ac:dyDescent="0.2">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row>
    <row r="254" spans="1:42" ht="12.75" customHeight="1" x14ac:dyDescent="0.2">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row>
    <row r="255" spans="1:42" ht="12.75" customHeight="1" x14ac:dyDescent="0.2">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row>
    <row r="256" spans="1:42" ht="12.75" customHeight="1" x14ac:dyDescent="0.2">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row>
    <row r="257" spans="1:42" ht="12.75" customHeight="1" x14ac:dyDescent="0.2">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row>
    <row r="258" spans="1:42" ht="12.75" customHeight="1" x14ac:dyDescent="0.2">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row>
    <row r="259" spans="1:42" ht="12.75" customHeight="1" x14ac:dyDescent="0.2">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row>
    <row r="260" spans="1:42" ht="12.75" customHeight="1" x14ac:dyDescent="0.2">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row>
    <row r="261" spans="1:42" ht="12.75" customHeight="1" x14ac:dyDescent="0.2">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row>
    <row r="262" spans="1:42" ht="12.75" customHeight="1" x14ac:dyDescent="0.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row>
    <row r="263" spans="1:42" ht="12.75" customHeight="1" x14ac:dyDescent="0.2">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row>
    <row r="264" spans="1:42" ht="12.75" customHeight="1" x14ac:dyDescent="0.2">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row>
    <row r="265" spans="1:42" ht="12.75" customHeight="1" x14ac:dyDescent="0.2">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row>
    <row r="266" spans="1:42" ht="12.75" customHeight="1" x14ac:dyDescent="0.2">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row>
    <row r="267" spans="1:42" ht="12.75" customHeight="1" x14ac:dyDescent="0.2">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row>
    <row r="268" spans="1:42" ht="12.75" customHeight="1" x14ac:dyDescent="0.2">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row>
    <row r="269" spans="1:42" ht="12.75" customHeight="1" x14ac:dyDescent="0.2">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row>
    <row r="270" spans="1:42" ht="12.75" customHeight="1" x14ac:dyDescent="0.2">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row>
    <row r="271" spans="1:42" ht="12.75" customHeight="1" x14ac:dyDescent="0.2">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row>
    <row r="272" spans="1:42" ht="12.75" customHeight="1" x14ac:dyDescent="0.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row>
    <row r="273" spans="1:42" ht="12.75" customHeight="1" x14ac:dyDescent="0.2">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row>
    <row r="274" spans="1:42" ht="12.75" customHeight="1" x14ac:dyDescent="0.2">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row>
    <row r="275" spans="1:42" ht="12.75" customHeight="1" x14ac:dyDescent="0.2">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row>
    <row r="276" spans="1:42" ht="12.75" customHeight="1" x14ac:dyDescent="0.2">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row>
    <row r="277" spans="1:42" ht="12.75" customHeight="1" x14ac:dyDescent="0.2">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row>
    <row r="278" spans="1:42" ht="12.75" customHeight="1" x14ac:dyDescent="0.2">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row>
    <row r="279" spans="1:42" ht="12.75" customHeight="1" x14ac:dyDescent="0.2">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row>
    <row r="280" spans="1:42" ht="12.75" customHeight="1" x14ac:dyDescent="0.2">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row>
    <row r="281" spans="1:42" ht="12.75" customHeight="1" x14ac:dyDescent="0.2">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row>
    <row r="282" spans="1:42" ht="12.75" customHeight="1" x14ac:dyDescent="0.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row>
    <row r="283" spans="1:42" ht="12.75" customHeight="1" x14ac:dyDescent="0.2">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row>
    <row r="284" spans="1:42" ht="12.75" customHeight="1" x14ac:dyDescent="0.2">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row>
    <row r="285" spans="1:42" ht="12.75" customHeight="1" x14ac:dyDescent="0.2">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row>
    <row r="286" spans="1:42" ht="12.75" customHeight="1" x14ac:dyDescent="0.2">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row>
    <row r="287" spans="1:42" ht="12.75" customHeight="1" x14ac:dyDescent="0.2">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row>
    <row r="288" spans="1:42" ht="12.75" customHeight="1" x14ac:dyDescent="0.2">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row>
    <row r="289" spans="1:42" ht="12.75" customHeight="1" x14ac:dyDescent="0.2">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row>
    <row r="290" spans="1:42" ht="12.75" customHeight="1" x14ac:dyDescent="0.2">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row>
    <row r="291" spans="1:42" ht="12.75" customHeight="1" x14ac:dyDescent="0.2">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row>
    <row r="292" spans="1:42" ht="12.75" customHeight="1" x14ac:dyDescent="0.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row>
    <row r="293" spans="1:42" ht="12.75" customHeight="1" x14ac:dyDescent="0.2">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row>
    <row r="294" spans="1:42" ht="12.75" customHeight="1" x14ac:dyDescent="0.2">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row>
    <row r="295" spans="1:42" ht="12.75" customHeight="1" x14ac:dyDescent="0.2">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row>
    <row r="296" spans="1:42" ht="12.75" customHeight="1" x14ac:dyDescent="0.2">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row>
    <row r="297" spans="1:42" ht="12.75" customHeight="1" x14ac:dyDescent="0.2">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row>
    <row r="298" spans="1:42" ht="12.75" customHeight="1" x14ac:dyDescent="0.2">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row>
    <row r="299" spans="1:42" ht="12.75" customHeight="1" x14ac:dyDescent="0.2">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row>
    <row r="300" spans="1:42" ht="12.75" customHeight="1" x14ac:dyDescent="0.2">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row>
    <row r="301" spans="1:42" ht="12.75" customHeight="1" x14ac:dyDescent="0.2">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row>
    <row r="302" spans="1:42" ht="12.75" customHeight="1" x14ac:dyDescent="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row>
    <row r="303" spans="1:42" ht="12.75" customHeight="1" x14ac:dyDescent="0.2">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row>
    <row r="304" spans="1:42" ht="12.75" customHeight="1" x14ac:dyDescent="0.2">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row>
    <row r="305" spans="1:42" ht="12.75" customHeight="1" x14ac:dyDescent="0.2">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row>
    <row r="306" spans="1:42" ht="12.75" customHeight="1" x14ac:dyDescent="0.2">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row>
    <row r="307" spans="1:42" ht="12.75" customHeight="1" x14ac:dyDescent="0.2">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row>
    <row r="308" spans="1:42" ht="12.75" customHeight="1" x14ac:dyDescent="0.2">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row>
    <row r="309" spans="1:42" ht="12.75" customHeight="1" x14ac:dyDescent="0.2">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row>
    <row r="310" spans="1:42" ht="12.75" customHeight="1" x14ac:dyDescent="0.2">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row>
    <row r="311" spans="1:42" ht="12.75" customHeight="1" x14ac:dyDescent="0.2">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row>
    <row r="312" spans="1:42" ht="12.75" customHeight="1" x14ac:dyDescent="0.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row>
    <row r="313" spans="1:42" ht="12.75" customHeight="1" x14ac:dyDescent="0.2">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row>
    <row r="314" spans="1:42" ht="12.75" customHeight="1" x14ac:dyDescent="0.2">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row>
    <row r="315" spans="1:42" ht="12.75" customHeight="1" x14ac:dyDescent="0.2">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row>
    <row r="316" spans="1:42" ht="12.75" customHeight="1" x14ac:dyDescent="0.2">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row>
    <row r="317" spans="1:42" ht="12.75" customHeight="1" x14ac:dyDescent="0.2">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row>
    <row r="318" spans="1:42" ht="12.75" customHeight="1" x14ac:dyDescent="0.2">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row>
    <row r="319" spans="1:42" ht="12.75" customHeight="1" x14ac:dyDescent="0.2">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row>
    <row r="320" spans="1:42" ht="12.75" customHeight="1" x14ac:dyDescent="0.2">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row>
    <row r="321" spans="1:42" ht="12.75" customHeight="1" x14ac:dyDescent="0.2">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row>
    <row r="322" spans="1:42" ht="12.75" customHeight="1" x14ac:dyDescent="0.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row>
    <row r="323" spans="1:42" ht="12.75" customHeight="1" x14ac:dyDescent="0.2">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row>
    <row r="324" spans="1:42" ht="12.75" customHeight="1" x14ac:dyDescent="0.2">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row>
    <row r="325" spans="1:42" ht="12.75" customHeight="1" x14ac:dyDescent="0.2">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row>
    <row r="326" spans="1:42" ht="12.75" customHeight="1" x14ac:dyDescent="0.2">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row>
    <row r="327" spans="1:42" ht="12.75" customHeight="1" x14ac:dyDescent="0.2">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row>
    <row r="328" spans="1:42" ht="12.75" customHeight="1" x14ac:dyDescent="0.2">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row>
    <row r="329" spans="1:42" ht="12.75" customHeight="1" x14ac:dyDescent="0.2">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row>
    <row r="330" spans="1:42" ht="12.75" customHeight="1" x14ac:dyDescent="0.2">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row>
    <row r="331" spans="1:42" ht="12.75" customHeight="1" x14ac:dyDescent="0.2">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row>
    <row r="332" spans="1:42" ht="12.75" customHeight="1" x14ac:dyDescent="0.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row>
    <row r="333" spans="1:42" ht="12.75" customHeight="1" x14ac:dyDescent="0.2">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row>
    <row r="334" spans="1:42" ht="12.75" customHeight="1" x14ac:dyDescent="0.2">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row>
    <row r="335" spans="1:42" ht="12.75" customHeight="1" x14ac:dyDescent="0.2">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row>
    <row r="336" spans="1:42" ht="12.75" customHeight="1" x14ac:dyDescent="0.2">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row>
    <row r="337" spans="1:42" ht="12.75" customHeight="1" x14ac:dyDescent="0.2">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row>
    <row r="338" spans="1:42" ht="12.75" customHeight="1" x14ac:dyDescent="0.2">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row>
    <row r="339" spans="1:42" ht="12.75" customHeight="1" x14ac:dyDescent="0.2">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row>
    <row r="340" spans="1:42" ht="12.75" customHeight="1" x14ac:dyDescent="0.2">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row>
    <row r="341" spans="1:42" ht="12.75" customHeight="1" x14ac:dyDescent="0.2">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row>
    <row r="342" spans="1:42" ht="12.75" customHeight="1" x14ac:dyDescent="0.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row>
    <row r="343" spans="1:42" ht="12.75" customHeight="1" x14ac:dyDescent="0.2">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row>
    <row r="344" spans="1:42" ht="12.75" customHeight="1" x14ac:dyDescent="0.2">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row>
    <row r="345" spans="1:42" ht="12.75" customHeight="1" x14ac:dyDescent="0.2">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row>
    <row r="346" spans="1:42" ht="12.75" customHeight="1" x14ac:dyDescent="0.2">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row>
    <row r="347" spans="1:42" ht="12.75" customHeight="1" x14ac:dyDescent="0.2">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row>
    <row r="348" spans="1:42" ht="12.75" customHeight="1" x14ac:dyDescent="0.2">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row>
    <row r="349" spans="1:42" ht="12.75" customHeight="1" x14ac:dyDescent="0.2">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row>
    <row r="350" spans="1:42" ht="12.75" customHeight="1" x14ac:dyDescent="0.2">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row>
    <row r="351" spans="1:42" ht="12.75" customHeight="1" x14ac:dyDescent="0.2">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row>
    <row r="352" spans="1:42" ht="12.75" customHeight="1" x14ac:dyDescent="0.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row>
    <row r="353" spans="1:42" ht="12.75" customHeight="1" x14ac:dyDescent="0.2">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row>
    <row r="354" spans="1:42" ht="12.75" customHeight="1" x14ac:dyDescent="0.2">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row>
    <row r="355" spans="1:42" ht="12.75" customHeight="1" x14ac:dyDescent="0.2">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row>
    <row r="356" spans="1:42" ht="12.75" customHeight="1" x14ac:dyDescent="0.2">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row>
    <row r="357" spans="1:42" ht="12.75" customHeight="1" x14ac:dyDescent="0.2">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row>
    <row r="358" spans="1:42" ht="12.75" customHeight="1" x14ac:dyDescent="0.2">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row>
    <row r="359" spans="1:42" ht="12.75" customHeight="1" x14ac:dyDescent="0.2">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row>
    <row r="360" spans="1:42" ht="12.75" customHeight="1" x14ac:dyDescent="0.2">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row>
    <row r="361" spans="1:42" ht="12.75" customHeight="1" x14ac:dyDescent="0.2">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row>
    <row r="362" spans="1:42" ht="12.75" customHeight="1" x14ac:dyDescent="0.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row>
    <row r="363" spans="1:42" ht="12.75" customHeight="1" x14ac:dyDescent="0.2">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row>
    <row r="364" spans="1:42" ht="12.75" customHeight="1" x14ac:dyDescent="0.2">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row>
    <row r="365" spans="1:42" ht="12.75" customHeight="1" x14ac:dyDescent="0.2">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row>
    <row r="366" spans="1:42" ht="12.75" customHeight="1" x14ac:dyDescent="0.2">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row>
    <row r="367" spans="1:42" ht="12.75" customHeight="1" x14ac:dyDescent="0.2">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row>
    <row r="368" spans="1:42" ht="12.75" customHeight="1" x14ac:dyDescent="0.2">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row>
    <row r="369" spans="1:42" ht="12.75" customHeight="1" x14ac:dyDescent="0.2">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row>
    <row r="370" spans="1:42" ht="12.75" customHeight="1" x14ac:dyDescent="0.2">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row>
    <row r="371" spans="1:42" ht="12.75" customHeight="1" x14ac:dyDescent="0.2">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row>
    <row r="372" spans="1:42" ht="12.75" customHeight="1" x14ac:dyDescent="0.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row>
    <row r="373" spans="1:42" ht="12.75" customHeight="1" x14ac:dyDescent="0.2">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row>
    <row r="374" spans="1:42" ht="12.75" customHeight="1" x14ac:dyDescent="0.2">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row>
    <row r="375" spans="1:42" ht="12.75" customHeight="1" x14ac:dyDescent="0.2">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row>
    <row r="376" spans="1:42" ht="12.75" customHeight="1" x14ac:dyDescent="0.2">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row>
    <row r="377" spans="1:42" ht="12.75" customHeight="1" x14ac:dyDescent="0.2">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row>
    <row r="378" spans="1:42" ht="12.75" customHeight="1" x14ac:dyDescent="0.2">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row>
    <row r="379" spans="1:42" ht="12.75" customHeight="1" x14ac:dyDescent="0.2">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row>
    <row r="380" spans="1:42" ht="12.75" customHeight="1" x14ac:dyDescent="0.2">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row>
    <row r="381" spans="1:42" ht="12.75" customHeight="1" x14ac:dyDescent="0.2">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row>
    <row r="382" spans="1:42" ht="12.75" customHeight="1" x14ac:dyDescent="0.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row>
    <row r="383" spans="1:42" ht="12.75" customHeight="1" x14ac:dyDescent="0.2">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row>
    <row r="384" spans="1:42" ht="12.75" customHeight="1" x14ac:dyDescent="0.2">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row>
    <row r="385" spans="1:42" ht="12.75" customHeight="1" x14ac:dyDescent="0.2">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row>
    <row r="386" spans="1:42" ht="12.75" customHeight="1" x14ac:dyDescent="0.2">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row>
    <row r="387" spans="1:42" ht="12.75" customHeight="1" x14ac:dyDescent="0.2">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row>
    <row r="388" spans="1:42" ht="12.75" customHeight="1" x14ac:dyDescent="0.2">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row>
    <row r="389" spans="1:42" ht="12.75" customHeight="1" x14ac:dyDescent="0.2">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row>
    <row r="390" spans="1:42" ht="12.75" customHeight="1" x14ac:dyDescent="0.2">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row>
    <row r="391" spans="1:42" ht="12.75" customHeight="1" x14ac:dyDescent="0.2">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row>
    <row r="392" spans="1:42" ht="12.75" customHeight="1" x14ac:dyDescent="0.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row>
    <row r="393" spans="1:42" ht="12.75" customHeight="1" x14ac:dyDescent="0.2">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row>
    <row r="394" spans="1:42" ht="12.75" customHeight="1" x14ac:dyDescent="0.2">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row>
    <row r="395" spans="1:42" ht="12.75" customHeight="1" x14ac:dyDescent="0.2">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row>
    <row r="396" spans="1:42" ht="12.75" customHeight="1" x14ac:dyDescent="0.2">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row>
    <row r="397" spans="1:42" ht="12.75" customHeight="1" x14ac:dyDescent="0.2">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row>
    <row r="398" spans="1:42" ht="12.75" customHeight="1" x14ac:dyDescent="0.2">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row>
    <row r="399" spans="1:42" ht="12.75" customHeight="1" x14ac:dyDescent="0.2">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row>
    <row r="400" spans="1:42" ht="12.75" customHeight="1" x14ac:dyDescent="0.2">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row>
    <row r="401" spans="1:42" ht="12.75" customHeight="1" x14ac:dyDescent="0.2">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row>
    <row r="402" spans="1:42" ht="12.75" customHeight="1" x14ac:dyDescent="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row>
    <row r="403" spans="1:42" ht="12.75" customHeight="1" x14ac:dyDescent="0.2">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row>
    <row r="404" spans="1:42" ht="12.75" customHeight="1" x14ac:dyDescent="0.2">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row>
    <row r="405" spans="1:42" ht="12.75" customHeight="1" x14ac:dyDescent="0.2">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row>
    <row r="406" spans="1:42" ht="12.75" customHeight="1" x14ac:dyDescent="0.2">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row>
    <row r="407" spans="1:42" ht="12.75" customHeight="1" x14ac:dyDescent="0.2">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row>
    <row r="408" spans="1:42" ht="12.75" customHeight="1" x14ac:dyDescent="0.2">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row>
    <row r="409" spans="1:42" ht="12.75" customHeight="1" x14ac:dyDescent="0.2">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row>
    <row r="410" spans="1:42" ht="12.75" customHeight="1" x14ac:dyDescent="0.2">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row>
    <row r="411" spans="1:42" ht="12.75" customHeight="1" x14ac:dyDescent="0.2">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row>
    <row r="412" spans="1:42" ht="12.75" customHeight="1" x14ac:dyDescent="0.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row>
    <row r="413" spans="1:42" ht="12.75" customHeight="1" x14ac:dyDescent="0.2">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row>
    <row r="414" spans="1:42" ht="12.75" customHeight="1" x14ac:dyDescent="0.2">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row>
    <row r="415" spans="1:42" ht="12.75" customHeight="1" x14ac:dyDescent="0.2">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row>
    <row r="416" spans="1:42" ht="12.75" customHeight="1" x14ac:dyDescent="0.2">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row>
    <row r="417" spans="1:42" ht="12.75" customHeight="1" x14ac:dyDescent="0.2">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row>
    <row r="418" spans="1:42" ht="12.75" customHeight="1" x14ac:dyDescent="0.2">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row>
    <row r="419" spans="1:42" ht="12.75" customHeight="1" x14ac:dyDescent="0.2">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row>
    <row r="420" spans="1:42" ht="12.75" customHeight="1" x14ac:dyDescent="0.2">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row>
    <row r="421" spans="1:42" ht="12.75" customHeight="1" x14ac:dyDescent="0.2">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row>
    <row r="422" spans="1:42" ht="12.75" customHeight="1" x14ac:dyDescent="0.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row>
    <row r="423" spans="1:42" ht="12.75" customHeight="1" x14ac:dyDescent="0.2">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row>
    <row r="424" spans="1:42" ht="12.75" customHeight="1" x14ac:dyDescent="0.2">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row>
    <row r="425" spans="1:42" ht="12.75" customHeight="1" x14ac:dyDescent="0.2">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row>
    <row r="426" spans="1:42" ht="12.75" customHeight="1" x14ac:dyDescent="0.2">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row>
    <row r="427" spans="1:42" ht="12.75" customHeight="1" x14ac:dyDescent="0.2">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row>
    <row r="428" spans="1:42" ht="12.75" customHeight="1" x14ac:dyDescent="0.2">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row>
    <row r="429" spans="1:42" ht="12.75" customHeight="1" x14ac:dyDescent="0.2">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row>
    <row r="430" spans="1:42" ht="12.75" customHeight="1" x14ac:dyDescent="0.2">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row>
    <row r="431" spans="1:42" ht="12.75" customHeight="1" x14ac:dyDescent="0.2">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row>
    <row r="432" spans="1:42" ht="12.75" customHeight="1" x14ac:dyDescent="0.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row>
    <row r="433" spans="1:42" ht="12.75" customHeight="1" x14ac:dyDescent="0.2">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row>
    <row r="434" spans="1:42" ht="12.75" customHeight="1" x14ac:dyDescent="0.2">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row>
    <row r="435" spans="1:42" ht="12.75" customHeight="1" x14ac:dyDescent="0.2">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row>
    <row r="436" spans="1:42" ht="12.75" customHeight="1" x14ac:dyDescent="0.2">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row>
    <row r="437" spans="1:42" ht="12.75" customHeight="1" x14ac:dyDescent="0.2">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row>
    <row r="438" spans="1:42" ht="12.75" customHeight="1" x14ac:dyDescent="0.2">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row>
    <row r="439" spans="1:42" ht="12.75" customHeight="1" x14ac:dyDescent="0.2">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row>
    <row r="440" spans="1:42" ht="12.75" customHeight="1" x14ac:dyDescent="0.2">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row>
    <row r="441" spans="1:42" ht="12.75" customHeight="1" x14ac:dyDescent="0.2">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row>
    <row r="442" spans="1:42" ht="12.75" customHeight="1" x14ac:dyDescent="0.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row>
    <row r="443" spans="1:42" ht="12.75" customHeight="1" x14ac:dyDescent="0.2">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row>
    <row r="444" spans="1:42" ht="12.75" customHeight="1" x14ac:dyDescent="0.2">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row>
    <row r="445" spans="1:42" ht="12.75" customHeight="1" x14ac:dyDescent="0.2">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row>
    <row r="446" spans="1:42" ht="12.75" customHeight="1" x14ac:dyDescent="0.2">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row>
    <row r="447" spans="1:42" ht="12.75" customHeight="1" x14ac:dyDescent="0.2">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row>
    <row r="448" spans="1:42" ht="12.75" customHeight="1" x14ac:dyDescent="0.2">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row>
    <row r="449" spans="1:42" ht="12.75" customHeight="1" x14ac:dyDescent="0.2">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row>
    <row r="450" spans="1:42" ht="12.75" customHeight="1" x14ac:dyDescent="0.2">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row>
    <row r="451" spans="1:42" ht="12.75" customHeight="1" x14ac:dyDescent="0.2">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row>
    <row r="452" spans="1:42" ht="12.75" customHeight="1" x14ac:dyDescent="0.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row>
    <row r="453" spans="1:42" ht="12.75" customHeight="1" x14ac:dyDescent="0.2">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row>
    <row r="454" spans="1:42" ht="12.75" customHeight="1" x14ac:dyDescent="0.2">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row>
    <row r="455" spans="1:42" ht="12.75" customHeight="1" x14ac:dyDescent="0.2">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row>
    <row r="456" spans="1:42" ht="12.75" customHeight="1" x14ac:dyDescent="0.2">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row>
    <row r="457" spans="1:42" ht="12.75" customHeight="1" x14ac:dyDescent="0.2">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row>
    <row r="458" spans="1:42" ht="12.75" customHeight="1" x14ac:dyDescent="0.2">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row>
    <row r="459" spans="1:42" ht="12.75" customHeight="1" x14ac:dyDescent="0.2">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row>
    <row r="460" spans="1:42" ht="12.75" customHeight="1" x14ac:dyDescent="0.2">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row>
    <row r="461" spans="1:42" ht="12.75" customHeight="1" x14ac:dyDescent="0.2">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row>
    <row r="462" spans="1:42" ht="12.75" customHeight="1" x14ac:dyDescent="0.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row>
    <row r="463" spans="1:42" ht="12.75" customHeight="1" x14ac:dyDescent="0.2">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row>
    <row r="464" spans="1:42" ht="12.75" customHeight="1" x14ac:dyDescent="0.2">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row>
    <row r="465" spans="1:42" ht="12.75" customHeight="1" x14ac:dyDescent="0.2">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row>
    <row r="466" spans="1:42" ht="12.75" customHeight="1" x14ac:dyDescent="0.2">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row>
    <row r="467" spans="1:42" ht="12.75" customHeight="1" x14ac:dyDescent="0.2">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row>
    <row r="468" spans="1:42" ht="12.75" customHeight="1" x14ac:dyDescent="0.2">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row>
    <row r="469" spans="1:42" ht="12.75" customHeight="1" x14ac:dyDescent="0.2">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row>
    <row r="470" spans="1:42" ht="12.75" customHeight="1" x14ac:dyDescent="0.2">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row>
    <row r="471" spans="1:42" ht="12.75" customHeight="1" x14ac:dyDescent="0.2">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row>
    <row r="472" spans="1:42" ht="12.75" customHeight="1" x14ac:dyDescent="0.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row>
    <row r="473" spans="1:42" ht="12.75" customHeight="1" x14ac:dyDescent="0.2">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row>
    <row r="474" spans="1:42" ht="12.75" customHeight="1" x14ac:dyDescent="0.2">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row>
    <row r="475" spans="1:42" ht="12.75" customHeight="1" x14ac:dyDescent="0.2">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row>
    <row r="476" spans="1:42" ht="12.75" customHeight="1" x14ac:dyDescent="0.2">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row>
    <row r="477" spans="1:42" ht="12.75" customHeight="1" x14ac:dyDescent="0.2">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row>
    <row r="478" spans="1:42" ht="12.75" customHeight="1" x14ac:dyDescent="0.2">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row>
    <row r="479" spans="1:42" ht="12.75" customHeight="1" x14ac:dyDescent="0.2">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row>
    <row r="480" spans="1:42" ht="12.75" customHeight="1" x14ac:dyDescent="0.2">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row>
    <row r="481" spans="1:42" ht="12.75" customHeight="1" x14ac:dyDescent="0.2">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row>
    <row r="482" spans="1:42" ht="12.75" customHeight="1" x14ac:dyDescent="0.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row>
    <row r="483" spans="1:42" ht="12.75" customHeight="1" x14ac:dyDescent="0.2">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row>
    <row r="484" spans="1:42" ht="12.75" customHeight="1" x14ac:dyDescent="0.2">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row>
    <row r="485" spans="1:42" ht="12.75" customHeight="1" x14ac:dyDescent="0.2">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row>
    <row r="486" spans="1:42" ht="12.75" customHeight="1" x14ac:dyDescent="0.2">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row>
    <row r="487" spans="1:42" ht="12.75" customHeight="1" x14ac:dyDescent="0.2">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row>
    <row r="488" spans="1:42" ht="12.75" customHeight="1" x14ac:dyDescent="0.2">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row>
    <row r="489" spans="1:42" ht="12.75" customHeight="1" x14ac:dyDescent="0.2">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row>
    <row r="490" spans="1:42" ht="12.75" customHeight="1" x14ac:dyDescent="0.2">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row>
    <row r="491" spans="1:42" ht="12.75" customHeight="1" x14ac:dyDescent="0.2">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row>
    <row r="492" spans="1:42" ht="12.75" customHeight="1" x14ac:dyDescent="0.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row>
    <row r="493" spans="1:42" ht="12.75" customHeight="1" x14ac:dyDescent="0.2">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row>
    <row r="494" spans="1:42" ht="12.75" customHeight="1" x14ac:dyDescent="0.2">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row>
    <row r="495" spans="1:42" ht="12.75" customHeight="1" x14ac:dyDescent="0.2">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row>
    <row r="496" spans="1:42" ht="12.75" customHeight="1" x14ac:dyDescent="0.2">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row>
    <row r="497" spans="1:42" ht="12.75" customHeight="1" x14ac:dyDescent="0.2">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row>
    <row r="498" spans="1:42" ht="12.75" customHeight="1" x14ac:dyDescent="0.2">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row>
    <row r="499" spans="1:42" ht="12.75" customHeight="1" x14ac:dyDescent="0.2">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row>
    <row r="500" spans="1:42" ht="12.75" customHeight="1" x14ac:dyDescent="0.2">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row>
    <row r="501" spans="1:42" ht="12.75" customHeight="1" x14ac:dyDescent="0.2">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row>
    <row r="502" spans="1:42" ht="12.75" customHeight="1" x14ac:dyDescent="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row>
    <row r="503" spans="1:42" ht="12.75" customHeight="1" x14ac:dyDescent="0.2">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row>
    <row r="504" spans="1:42" ht="12.75" customHeight="1" x14ac:dyDescent="0.2">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row>
    <row r="505" spans="1:42" ht="12.75" customHeight="1" x14ac:dyDescent="0.2">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row>
    <row r="506" spans="1:42" ht="12.75" customHeight="1" x14ac:dyDescent="0.2">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row>
    <row r="507" spans="1:42" ht="12.75" customHeight="1" x14ac:dyDescent="0.2">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row>
    <row r="508" spans="1:42" ht="12.75" customHeight="1" x14ac:dyDescent="0.2">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row>
    <row r="509" spans="1:42" ht="12.75" customHeight="1" x14ac:dyDescent="0.2">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row>
    <row r="510" spans="1:42" ht="12.75" customHeight="1" x14ac:dyDescent="0.2">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row>
    <row r="511" spans="1:42" ht="12.75" customHeight="1" x14ac:dyDescent="0.2">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row>
    <row r="512" spans="1:42" ht="12.75" customHeight="1" x14ac:dyDescent="0.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row>
    <row r="513" spans="1:42" ht="12.75" customHeight="1" x14ac:dyDescent="0.2">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row>
    <row r="514" spans="1:42" ht="12.75" customHeight="1" x14ac:dyDescent="0.2">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row>
    <row r="515" spans="1:42" ht="12.75" customHeight="1" x14ac:dyDescent="0.2">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row>
    <row r="516" spans="1:42" ht="12.75" customHeight="1" x14ac:dyDescent="0.2">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row>
    <row r="517" spans="1:42" ht="12.75" customHeight="1" x14ac:dyDescent="0.2">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row>
    <row r="518" spans="1:42" ht="12.75" customHeight="1" x14ac:dyDescent="0.2">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row>
    <row r="519" spans="1:42" ht="12.75" customHeight="1" x14ac:dyDescent="0.2">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row>
    <row r="520" spans="1:42" ht="12.75" customHeight="1" x14ac:dyDescent="0.2">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row>
    <row r="521" spans="1:42" ht="12.75" customHeight="1" x14ac:dyDescent="0.2">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row>
    <row r="522" spans="1:42" ht="12.75" customHeight="1" x14ac:dyDescent="0.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row>
    <row r="523" spans="1:42" ht="12.75" customHeight="1" x14ac:dyDescent="0.2">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row>
    <row r="524" spans="1:42" ht="12.75" customHeight="1" x14ac:dyDescent="0.2">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row>
    <row r="525" spans="1:42" ht="12.75" customHeight="1" x14ac:dyDescent="0.2">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row>
    <row r="526" spans="1:42" ht="12.75" customHeight="1" x14ac:dyDescent="0.2">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row>
    <row r="527" spans="1:42" ht="12.75" customHeight="1" x14ac:dyDescent="0.2">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row>
    <row r="528" spans="1:42" ht="12.75" customHeight="1" x14ac:dyDescent="0.2">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row>
    <row r="529" spans="1:42" ht="12.75" customHeight="1" x14ac:dyDescent="0.2">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row>
    <row r="530" spans="1:42" ht="12.75" customHeight="1" x14ac:dyDescent="0.2">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row>
    <row r="531" spans="1:42" ht="12.75" customHeight="1" x14ac:dyDescent="0.2">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row>
    <row r="532" spans="1:42" ht="12.75" customHeight="1" x14ac:dyDescent="0.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row>
    <row r="533" spans="1:42" ht="12.75" customHeight="1" x14ac:dyDescent="0.2">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row>
    <row r="534" spans="1:42" ht="12.75" customHeight="1" x14ac:dyDescent="0.2">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row>
    <row r="535" spans="1:42" ht="12.75" customHeight="1" x14ac:dyDescent="0.2">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row>
    <row r="536" spans="1:42" ht="12.75" customHeight="1" x14ac:dyDescent="0.2">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row>
    <row r="537" spans="1:42" ht="12.75" customHeight="1" x14ac:dyDescent="0.2">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row>
    <row r="538" spans="1:42" ht="12.75" customHeight="1" x14ac:dyDescent="0.2">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row>
    <row r="539" spans="1:42" ht="12.75" customHeight="1" x14ac:dyDescent="0.2">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row>
    <row r="540" spans="1:42" ht="12.75" customHeight="1" x14ac:dyDescent="0.2">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row>
    <row r="541" spans="1:42" ht="12.75" customHeight="1" x14ac:dyDescent="0.2">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row>
    <row r="542" spans="1:42" ht="12.75" customHeight="1" x14ac:dyDescent="0.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row>
    <row r="543" spans="1:42" ht="12.75" customHeight="1" x14ac:dyDescent="0.2">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row>
    <row r="544" spans="1:42" ht="12.75" customHeight="1" x14ac:dyDescent="0.2">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row>
    <row r="545" spans="1:42" ht="12.75" customHeight="1" x14ac:dyDescent="0.2">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row>
    <row r="546" spans="1:42" ht="12.75" customHeight="1" x14ac:dyDescent="0.2">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row>
    <row r="547" spans="1:42" ht="12.75" customHeight="1" x14ac:dyDescent="0.2">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row>
    <row r="548" spans="1:42" ht="12.75" customHeight="1" x14ac:dyDescent="0.2">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row>
    <row r="549" spans="1:42" ht="12.75" customHeight="1" x14ac:dyDescent="0.2">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row>
    <row r="550" spans="1:42" ht="12.75" customHeight="1" x14ac:dyDescent="0.2">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row>
    <row r="551" spans="1:42" ht="12.75" customHeight="1" x14ac:dyDescent="0.2">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row>
    <row r="552" spans="1:42" ht="12.75" customHeight="1" x14ac:dyDescent="0.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row>
    <row r="553" spans="1:42" ht="12.75" customHeight="1" x14ac:dyDescent="0.2">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row>
    <row r="554" spans="1:42" ht="12.75" customHeight="1" x14ac:dyDescent="0.2">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row>
    <row r="555" spans="1:42" ht="12.75" customHeight="1" x14ac:dyDescent="0.2">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row>
    <row r="556" spans="1:42" ht="12.75" customHeight="1" x14ac:dyDescent="0.2">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row>
    <row r="557" spans="1:42" ht="12.75" customHeight="1" x14ac:dyDescent="0.2">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row>
    <row r="558" spans="1:42" ht="12.75" customHeight="1" x14ac:dyDescent="0.2">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row>
    <row r="559" spans="1:42" ht="12.75" customHeight="1" x14ac:dyDescent="0.2">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row>
    <row r="560" spans="1:42" ht="12.75" customHeight="1" x14ac:dyDescent="0.2">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row>
    <row r="561" spans="1:42" ht="12.75" customHeight="1" x14ac:dyDescent="0.2">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row>
    <row r="562" spans="1:42" ht="12.75" customHeight="1" x14ac:dyDescent="0.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row>
    <row r="563" spans="1:42" ht="12.75" customHeight="1" x14ac:dyDescent="0.2">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row>
    <row r="564" spans="1:42" ht="12.75" customHeight="1" x14ac:dyDescent="0.2">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row>
    <row r="565" spans="1:42" ht="12.75" customHeight="1" x14ac:dyDescent="0.2">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row>
    <row r="566" spans="1:42" ht="12.75" customHeight="1" x14ac:dyDescent="0.2">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row>
    <row r="567" spans="1:42" ht="12.75" customHeight="1" x14ac:dyDescent="0.2">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row>
    <row r="568" spans="1:42" ht="12.75" customHeight="1" x14ac:dyDescent="0.2">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row>
    <row r="569" spans="1:42" ht="12.75" customHeight="1" x14ac:dyDescent="0.2">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row>
    <row r="570" spans="1:42" ht="12.75" customHeight="1" x14ac:dyDescent="0.2">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row>
    <row r="571" spans="1:42" ht="12.75" customHeight="1" x14ac:dyDescent="0.2">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row>
    <row r="572" spans="1:42" ht="12.75" customHeight="1" x14ac:dyDescent="0.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row>
    <row r="573" spans="1:42" ht="12.75" customHeight="1" x14ac:dyDescent="0.2">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row>
    <row r="574" spans="1:42" ht="12.75" customHeight="1" x14ac:dyDescent="0.2">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row>
    <row r="575" spans="1:42" ht="12.75" customHeight="1" x14ac:dyDescent="0.2">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row>
    <row r="576" spans="1:42" ht="12.75" customHeight="1" x14ac:dyDescent="0.2">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row>
    <row r="577" spans="1:42" ht="12.75" customHeight="1" x14ac:dyDescent="0.2">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row>
    <row r="578" spans="1:42" ht="12.75" customHeight="1" x14ac:dyDescent="0.2">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row>
    <row r="579" spans="1:42" ht="12.75" customHeight="1" x14ac:dyDescent="0.2">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row>
    <row r="580" spans="1:42" ht="12.75" customHeight="1" x14ac:dyDescent="0.2">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row>
    <row r="581" spans="1:42" ht="12.75" customHeight="1" x14ac:dyDescent="0.2">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row>
    <row r="582" spans="1:42" ht="12.75" customHeight="1" x14ac:dyDescent="0.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row>
    <row r="583" spans="1:42" ht="12.75" customHeight="1" x14ac:dyDescent="0.2">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row>
    <row r="584" spans="1:42" ht="12.75" customHeight="1" x14ac:dyDescent="0.2">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row>
    <row r="585" spans="1:42" ht="12.75" customHeight="1" x14ac:dyDescent="0.2">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row>
    <row r="586" spans="1:42" ht="12.75" customHeight="1" x14ac:dyDescent="0.2">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row>
    <row r="587" spans="1:42" ht="12.75" customHeight="1" x14ac:dyDescent="0.2">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row>
    <row r="588" spans="1:42" ht="12.75" customHeight="1" x14ac:dyDescent="0.2">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row>
    <row r="589" spans="1:42" ht="12.75" customHeight="1" x14ac:dyDescent="0.2">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row>
    <row r="590" spans="1:42" ht="12.75" customHeight="1" x14ac:dyDescent="0.2">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row>
    <row r="591" spans="1:42" ht="12.75" customHeight="1" x14ac:dyDescent="0.2">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row>
    <row r="592" spans="1:42" ht="12.75" customHeight="1" x14ac:dyDescent="0.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row>
    <row r="593" spans="1:42" ht="12.75" customHeight="1" x14ac:dyDescent="0.2">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row>
    <row r="594" spans="1:42" ht="12.75" customHeight="1" x14ac:dyDescent="0.2">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row>
    <row r="595" spans="1:42" ht="12.75" customHeight="1" x14ac:dyDescent="0.2">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row>
    <row r="596" spans="1:42" ht="12.75" customHeight="1" x14ac:dyDescent="0.2">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row>
    <row r="597" spans="1:42" ht="12.75" customHeight="1" x14ac:dyDescent="0.2">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row>
    <row r="598" spans="1:42" ht="12.75" customHeight="1" x14ac:dyDescent="0.2">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row>
    <row r="599" spans="1:42" ht="12.75" customHeight="1" x14ac:dyDescent="0.2">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row>
    <row r="600" spans="1:42" ht="12.75" customHeight="1" x14ac:dyDescent="0.2">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row>
    <row r="601" spans="1:42" ht="12.75" customHeight="1" x14ac:dyDescent="0.2">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row>
    <row r="602" spans="1:42" ht="12.75" customHeight="1" x14ac:dyDescent="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row>
    <row r="603" spans="1:42" ht="12.75" customHeight="1" x14ac:dyDescent="0.2">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row>
    <row r="604" spans="1:42" ht="12.75" customHeight="1" x14ac:dyDescent="0.2">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row>
    <row r="605" spans="1:42" ht="12.75" customHeight="1" x14ac:dyDescent="0.2">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row>
    <row r="606" spans="1:42" ht="12.75" customHeight="1" x14ac:dyDescent="0.2">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row>
    <row r="607" spans="1:42" ht="12.75" customHeight="1" x14ac:dyDescent="0.2">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row>
    <row r="608" spans="1:42" ht="12.75" customHeight="1" x14ac:dyDescent="0.2">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row>
    <row r="609" spans="1:42" ht="12.75" customHeight="1" x14ac:dyDescent="0.2">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row>
    <row r="610" spans="1:42" ht="12.75" customHeight="1" x14ac:dyDescent="0.2">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row>
    <row r="611" spans="1:42" ht="12.75" customHeight="1" x14ac:dyDescent="0.2">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row>
    <row r="612" spans="1:42" ht="12.75" customHeight="1" x14ac:dyDescent="0.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row>
    <row r="613" spans="1:42" ht="12.75" customHeight="1" x14ac:dyDescent="0.2">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row>
    <row r="614" spans="1:42" ht="12.75" customHeight="1" x14ac:dyDescent="0.2">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row>
    <row r="615" spans="1:42" ht="12.75" customHeight="1" x14ac:dyDescent="0.2">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row>
    <row r="616" spans="1:42" ht="12.75" customHeight="1" x14ac:dyDescent="0.2">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row>
    <row r="617" spans="1:42" ht="12.75" customHeight="1" x14ac:dyDescent="0.2">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row>
    <row r="618" spans="1:42" ht="12.75" customHeight="1" x14ac:dyDescent="0.2">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row>
    <row r="619" spans="1:42" ht="12.75" customHeight="1" x14ac:dyDescent="0.2">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row>
    <row r="620" spans="1:42" ht="12.75" customHeight="1" x14ac:dyDescent="0.2">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row>
    <row r="621" spans="1:42" ht="12.75" customHeight="1" x14ac:dyDescent="0.2">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row>
    <row r="622" spans="1:42" ht="12.75" customHeight="1" x14ac:dyDescent="0.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row>
    <row r="623" spans="1:42" ht="12.75" customHeight="1" x14ac:dyDescent="0.2">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row>
    <row r="624" spans="1:42" ht="12.75" customHeight="1" x14ac:dyDescent="0.2">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row>
    <row r="625" spans="1:42" ht="12.75" customHeight="1" x14ac:dyDescent="0.2">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row>
    <row r="626" spans="1:42" ht="12.75" customHeight="1" x14ac:dyDescent="0.2">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row>
    <row r="627" spans="1:42" ht="12.75" customHeight="1" x14ac:dyDescent="0.2">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row>
    <row r="628" spans="1:42" ht="12.75" customHeight="1" x14ac:dyDescent="0.2">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row>
    <row r="629" spans="1:42" ht="12.75" customHeight="1" x14ac:dyDescent="0.2">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row>
    <row r="630" spans="1:42" ht="12.75" customHeight="1" x14ac:dyDescent="0.2">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row>
    <row r="631" spans="1:42" ht="12.75" customHeight="1" x14ac:dyDescent="0.2">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row>
    <row r="632" spans="1:42" ht="12.75" customHeight="1" x14ac:dyDescent="0.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row>
    <row r="633" spans="1:42" ht="12.75" customHeight="1" x14ac:dyDescent="0.2">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row>
    <row r="634" spans="1:42" ht="12.75" customHeight="1" x14ac:dyDescent="0.2">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row>
    <row r="635" spans="1:42" ht="12.75" customHeight="1" x14ac:dyDescent="0.2">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row>
    <row r="636" spans="1:42" ht="12.75" customHeight="1" x14ac:dyDescent="0.2">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row>
    <row r="637" spans="1:42" ht="12.75" customHeight="1" x14ac:dyDescent="0.2">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row>
    <row r="638" spans="1:42" ht="12.75" customHeight="1" x14ac:dyDescent="0.2">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row>
    <row r="639" spans="1:42" ht="12.75" customHeight="1" x14ac:dyDescent="0.2">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row>
    <row r="640" spans="1:42" ht="12.75" customHeight="1" x14ac:dyDescent="0.2">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row>
    <row r="641" spans="1:42" ht="12.75" customHeight="1" x14ac:dyDescent="0.2">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row>
    <row r="642" spans="1:42" ht="12.75" customHeight="1" x14ac:dyDescent="0.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row>
    <row r="643" spans="1:42" ht="12.75" customHeight="1" x14ac:dyDescent="0.2">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row>
    <row r="644" spans="1:42" ht="12.75" customHeight="1" x14ac:dyDescent="0.2">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row>
    <row r="645" spans="1:42" ht="12.75" customHeight="1" x14ac:dyDescent="0.2">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row>
    <row r="646" spans="1:42" ht="12.75" customHeight="1" x14ac:dyDescent="0.2">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row>
    <row r="647" spans="1:42" ht="12.75" customHeight="1" x14ac:dyDescent="0.2">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row>
    <row r="648" spans="1:42" ht="12.75" customHeight="1" x14ac:dyDescent="0.2">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row>
    <row r="649" spans="1:42" ht="12.75" customHeight="1" x14ac:dyDescent="0.2">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row>
    <row r="650" spans="1:42" ht="12.75" customHeight="1" x14ac:dyDescent="0.2">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row>
    <row r="651" spans="1:42" ht="12.75" customHeight="1" x14ac:dyDescent="0.2">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row>
    <row r="652" spans="1:42" ht="12.75" customHeight="1" x14ac:dyDescent="0.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row>
    <row r="653" spans="1:42" ht="12.75" customHeight="1" x14ac:dyDescent="0.2">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row>
    <row r="654" spans="1:42" ht="12.75" customHeight="1" x14ac:dyDescent="0.2">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row>
    <row r="655" spans="1:42" ht="12.75" customHeight="1" x14ac:dyDescent="0.2">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row>
    <row r="656" spans="1:42" ht="12.75" customHeight="1" x14ac:dyDescent="0.2">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row>
    <row r="657" spans="1:42" ht="12.75" customHeight="1" x14ac:dyDescent="0.2">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row>
    <row r="658" spans="1:42" ht="12.75" customHeight="1" x14ac:dyDescent="0.2">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row>
    <row r="659" spans="1:42" ht="12.75" customHeight="1" x14ac:dyDescent="0.2">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row>
    <row r="660" spans="1:42" ht="12.75" customHeight="1" x14ac:dyDescent="0.2">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row>
    <row r="661" spans="1:42" ht="12.75" customHeight="1" x14ac:dyDescent="0.2">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row>
    <row r="662" spans="1:42" ht="12.75" customHeight="1" x14ac:dyDescent="0.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row>
    <row r="663" spans="1:42" ht="12.75" customHeight="1" x14ac:dyDescent="0.2">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row>
    <row r="664" spans="1:42" ht="12.75" customHeight="1" x14ac:dyDescent="0.2">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row>
    <row r="665" spans="1:42" ht="12.75" customHeight="1" x14ac:dyDescent="0.2">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row>
    <row r="666" spans="1:42" ht="12.75" customHeight="1" x14ac:dyDescent="0.2">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row>
    <row r="667" spans="1:42" ht="12.75" customHeight="1" x14ac:dyDescent="0.2">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row>
    <row r="668" spans="1:42" ht="12.75" customHeight="1" x14ac:dyDescent="0.2">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row>
    <row r="669" spans="1:42" ht="12.75" customHeight="1" x14ac:dyDescent="0.2">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row>
    <row r="670" spans="1:42" ht="12.75" customHeight="1" x14ac:dyDescent="0.2">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row>
    <row r="671" spans="1:42" ht="12.75" customHeight="1" x14ac:dyDescent="0.2">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row>
    <row r="672" spans="1:42" ht="12.75" customHeight="1" x14ac:dyDescent="0.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row>
    <row r="673" spans="1:42" ht="12.75" customHeight="1" x14ac:dyDescent="0.2">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row>
    <row r="674" spans="1:42" ht="12.75" customHeight="1" x14ac:dyDescent="0.2">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row>
    <row r="675" spans="1:42" ht="12.75" customHeight="1" x14ac:dyDescent="0.2">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row>
    <row r="676" spans="1:42" ht="12.75" customHeight="1" x14ac:dyDescent="0.2">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row>
    <row r="677" spans="1:42" ht="12.75" customHeight="1" x14ac:dyDescent="0.2">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row>
    <row r="678" spans="1:42" ht="12.75" customHeight="1" x14ac:dyDescent="0.2">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row>
    <row r="679" spans="1:42" ht="12.75" customHeight="1" x14ac:dyDescent="0.2">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row>
    <row r="680" spans="1:42" ht="12.75" customHeight="1" x14ac:dyDescent="0.2">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row>
    <row r="681" spans="1:42" ht="12.75" customHeight="1" x14ac:dyDescent="0.2">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row>
    <row r="682" spans="1:42" ht="12.75" customHeight="1" x14ac:dyDescent="0.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row>
    <row r="683" spans="1:42" ht="12.75" customHeight="1" x14ac:dyDescent="0.2">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row>
    <row r="684" spans="1:42" ht="12.75" customHeight="1" x14ac:dyDescent="0.2">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row>
    <row r="685" spans="1:42" ht="12.75" customHeight="1" x14ac:dyDescent="0.2">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row>
    <row r="686" spans="1:42" ht="12.75" customHeight="1" x14ac:dyDescent="0.2">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row>
    <row r="687" spans="1:42" ht="12.75" customHeight="1" x14ac:dyDescent="0.2">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row>
    <row r="688" spans="1:42" ht="12.75" customHeight="1" x14ac:dyDescent="0.2">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row>
    <row r="689" spans="1:42" ht="12.75" customHeight="1" x14ac:dyDescent="0.2">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row>
    <row r="690" spans="1:42" ht="12.75" customHeight="1" x14ac:dyDescent="0.2">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row>
    <row r="691" spans="1:42" ht="12.75" customHeight="1" x14ac:dyDescent="0.2">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row>
    <row r="692" spans="1:42" ht="12.75" customHeight="1" x14ac:dyDescent="0.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row>
    <row r="693" spans="1:42" ht="12.75" customHeight="1" x14ac:dyDescent="0.2">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row>
    <row r="694" spans="1:42" ht="12.75" customHeight="1" x14ac:dyDescent="0.2">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row>
    <row r="695" spans="1:42" ht="12.75" customHeight="1" x14ac:dyDescent="0.2">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row>
    <row r="696" spans="1:42" ht="12.75" customHeight="1" x14ac:dyDescent="0.2">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row>
    <row r="697" spans="1:42" ht="12.75" customHeight="1" x14ac:dyDescent="0.2">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row>
    <row r="698" spans="1:42" ht="12.75" customHeight="1" x14ac:dyDescent="0.2">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row>
    <row r="699" spans="1:42" ht="12.75" customHeight="1" x14ac:dyDescent="0.2">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row>
    <row r="700" spans="1:42" ht="12.75" customHeight="1" x14ac:dyDescent="0.2">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row>
    <row r="701" spans="1:42" ht="12.75" customHeight="1" x14ac:dyDescent="0.2">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row>
    <row r="702" spans="1:42" ht="12.75" customHeight="1" x14ac:dyDescent="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row>
    <row r="703" spans="1:42" ht="12.75" customHeight="1" x14ac:dyDescent="0.2">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row>
    <row r="704" spans="1:42" ht="12.75" customHeight="1" x14ac:dyDescent="0.2">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row>
    <row r="705" spans="1:42" ht="12.75" customHeight="1" x14ac:dyDescent="0.2">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row>
    <row r="706" spans="1:42" ht="12.75" customHeight="1" x14ac:dyDescent="0.2">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row>
    <row r="707" spans="1:42" ht="12.75" customHeight="1" x14ac:dyDescent="0.2">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row>
    <row r="708" spans="1:42" ht="12.75" customHeight="1" x14ac:dyDescent="0.2">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row>
    <row r="709" spans="1:42" ht="12.75" customHeight="1" x14ac:dyDescent="0.2">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row>
    <row r="710" spans="1:42" ht="12.75" customHeight="1" x14ac:dyDescent="0.2">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row>
    <row r="711" spans="1:42" ht="12.75" customHeight="1" x14ac:dyDescent="0.2">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row>
    <row r="712" spans="1:42" ht="12.75" customHeight="1" x14ac:dyDescent="0.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row>
    <row r="713" spans="1:42" ht="12.75" customHeight="1" x14ac:dyDescent="0.2">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row>
    <row r="714" spans="1:42" ht="12.75" customHeight="1" x14ac:dyDescent="0.2">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row>
    <row r="715" spans="1:42" ht="12.75" customHeight="1" x14ac:dyDescent="0.2">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row>
    <row r="716" spans="1:42" ht="12.75" customHeight="1" x14ac:dyDescent="0.2">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row>
    <row r="717" spans="1:42" ht="12.75" customHeight="1" x14ac:dyDescent="0.2">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row>
    <row r="718" spans="1:42" ht="12.75" customHeight="1" x14ac:dyDescent="0.2">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row>
    <row r="719" spans="1:42" ht="12.75" customHeight="1" x14ac:dyDescent="0.2">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row>
    <row r="720" spans="1:42" ht="12.75" customHeight="1" x14ac:dyDescent="0.2">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row>
    <row r="721" spans="1:42" ht="12.75" customHeight="1" x14ac:dyDescent="0.2">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row>
    <row r="722" spans="1:42" ht="12.75" customHeight="1" x14ac:dyDescent="0.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row>
    <row r="723" spans="1:42" ht="12.75" customHeight="1" x14ac:dyDescent="0.2">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row>
    <row r="724" spans="1:42" ht="12.75" customHeight="1" x14ac:dyDescent="0.2">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row>
    <row r="725" spans="1:42" ht="12.75" customHeight="1" x14ac:dyDescent="0.2">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row>
    <row r="726" spans="1:42" ht="12.75" customHeight="1" x14ac:dyDescent="0.2">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row>
    <row r="727" spans="1:42" ht="12.75" customHeight="1" x14ac:dyDescent="0.2">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row>
    <row r="728" spans="1:42" ht="12.75" customHeight="1" x14ac:dyDescent="0.2">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row>
    <row r="729" spans="1:42" ht="12.75" customHeight="1" x14ac:dyDescent="0.2">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row>
    <row r="730" spans="1:42" ht="12.75" customHeight="1" x14ac:dyDescent="0.2">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row>
    <row r="731" spans="1:42" ht="12.75" customHeight="1" x14ac:dyDescent="0.2">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row>
    <row r="732" spans="1:42" ht="12.75" customHeight="1" x14ac:dyDescent="0.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row>
    <row r="733" spans="1:42" ht="12.75" customHeight="1" x14ac:dyDescent="0.2">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row>
    <row r="734" spans="1:42" ht="12.75" customHeight="1" x14ac:dyDescent="0.2">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row>
    <row r="735" spans="1:42" ht="12.75" customHeight="1" x14ac:dyDescent="0.2">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row>
    <row r="736" spans="1:42" ht="12.75" customHeight="1" x14ac:dyDescent="0.2">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row>
    <row r="737" spans="1:42" ht="12.75" customHeight="1" x14ac:dyDescent="0.2">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row>
    <row r="738" spans="1:42" ht="12.75" customHeight="1" x14ac:dyDescent="0.2">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row>
    <row r="739" spans="1:42" ht="12.75" customHeight="1" x14ac:dyDescent="0.2">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row>
    <row r="740" spans="1:42" ht="12.75" customHeight="1" x14ac:dyDescent="0.2">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row>
    <row r="741" spans="1:42" ht="12.75" customHeight="1" x14ac:dyDescent="0.2">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row>
    <row r="742" spans="1:42" ht="12.75" customHeight="1" x14ac:dyDescent="0.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row>
    <row r="743" spans="1:42" ht="12.75" customHeight="1" x14ac:dyDescent="0.2">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row>
    <row r="744" spans="1:42" ht="12.75" customHeight="1" x14ac:dyDescent="0.2">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row>
    <row r="745" spans="1:42" ht="12.75" customHeight="1" x14ac:dyDescent="0.2">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row>
    <row r="746" spans="1:42" ht="12.75" customHeight="1" x14ac:dyDescent="0.2">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row>
    <row r="747" spans="1:42" ht="12.75" customHeight="1" x14ac:dyDescent="0.2">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row>
    <row r="748" spans="1:42" ht="12.75" customHeight="1" x14ac:dyDescent="0.2">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row>
    <row r="749" spans="1:42" ht="12.75" customHeight="1" x14ac:dyDescent="0.2">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row>
    <row r="750" spans="1:42" ht="12.75" customHeight="1" x14ac:dyDescent="0.2">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row>
    <row r="751" spans="1:42" ht="12.75" customHeight="1" x14ac:dyDescent="0.2">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row>
    <row r="752" spans="1:42" ht="12.75" customHeight="1" x14ac:dyDescent="0.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row>
    <row r="753" spans="1:42" ht="12.75" customHeight="1" x14ac:dyDescent="0.2">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row>
    <row r="754" spans="1:42" ht="12.75" customHeight="1" x14ac:dyDescent="0.2">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row>
    <row r="755" spans="1:42" ht="12.75" customHeight="1" x14ac:dyDescent="0.2">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row>
    <row r="756" spans="1:42" ht="12.75" customHeight="1" x14ac:dyDescent="0.2">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row>
    <row r="757" spans="1:42" ht="12.75" customHeight="1" x14ac:dyDescent="0.2">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row>
    <row r="758" spans="1:42" ht="12.75" customHeight="1" x14ac:dyDescent="0.2">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row>
    <row r="759" spans="1:42" ht="12.75" customHeight="1" x14ac:dyDescent="0.2">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row>
    <row r="760" spans="1:42" ht="12.75" customHeight="1" x14ac:dyDescent="0.2">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row>
    <row r="761" spans="1:42" ht="12.75" customHeight="1" x14ac:dyDescent="0.2">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row>
    <row r="762" spans="1:42" ht="12.75" customHeight="1" x14ac:dyDescent="0.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row>
    <row r="763" spans="1:42" ht="12.75" customHeight="1" x14ac:dyDescent="0.2">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row>
    <row r="764" spans="1:42" ht="12.75" customHeight="1" x14ac:dyDescent="0.2">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row>
    <row r="765" spans="1:42" ht="12.75" customHeight="1" x14ac:dyDescent="0.2">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row>
    <row r="766" spans="1:42" ht="12.75" customHeight="1" x14ac:dyDescent="0.2">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row>
    <row r="767" spans="1:42" ht="12.75" customHeight="1" x14ac:dyDescent="0.2">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row>
    <row r="768" spans="1:42" ht="12.75" customHeight="1" x14ac:dyDescent="0.2">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row>
    <row r="769" spans="1:42" ht="12.75" customHeight="1" x14ac:dyDescent="0.2">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row>
    <row r="770" spans="1:42" ht="12.75" customHeight="1" x14ac:dyDescent="0.2">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row>
    <row r="771" spans="1:42" ht="12.75" customHeight="1" x14ac:dyDescent="0.2">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row>
    <row r="772" spans="1:42" ht="12.75" customHeight="1" x14ac:dyDescent="0.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row>
    <row r="773" spans="1:42" ht="12.75" customHeight="1" x14ac:dyDescent="0.2">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row>
    <row r="774" spans="1:42" ht="12.75" customHeight="1" x14ac:dyDescent="0.2">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row>
    <row r="775" spans="1:42" ht="12.75" customHeight="1" x14ac:dyDescent="0.2">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row>
    <row r="776" spans="1:42" ht="12.75" customHeight="1" x14ac:dyDescent="0.2">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row>
    <row r="777" spans="1:42" ht="12.75" customHeight="1" x14ac:dyDescent="0.2">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row>
    <row r="778" spans="1:42" ht="12.75" customHeight="1" x14ac:dyDescent="0.2">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row>
    <row r="779" spans="1:42" ht="12.75" customHeight="1" x14ac:dyDescent="0.2">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row>
    <row r="780" spans="1:42" ht="12.75" customHeight="1" x14ac:dyDescent="0.2">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row>
    <row r="781" spans="1:42" ht="12.75" customHeight="1" x14ac:dyDescent="0.2">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row>
    <row r="782" spans="1:42" ht="12.75" customHeight="1" x14ac:dyDescent="0.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row>
    <row r="783" spans="1:42" ht="12.75" customHeight="1" x14ac:dyDescent="0.2">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row>
    <row r="784" spans="1:42" ht="12.75" customHeight="1" x14ac:dyDescent="0.2">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row>
    <row r="785" spans="1:42" ht="12.75" customHeight="1" x14ac:dyDescent="0.2">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row>
    <row r="786" spans="1:42" ht="12.75" customHeight="1" x14ac:dyDescent="0.2">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row>
    <row r="787" spans="1:42" ht="12.75" customHeight="1" x14ac:dyDescent="0.2">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row>
    <row r="788" spans="1:42" ht="12.75" customHeight="1" x14ac:dyDescent="0.2">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row>
    <row r="789" spans="1:42" ht="12.75" customHeight="1" x14ac:dyDescent="0.2">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row>
    <row r="790" spans="1:42" ht="12.75" customHeight="1" x14ac:dyDescent="0.2">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row>
    <row r="791" spans="1:42" ht="12.75" customHeight="1" x14ac:dyDescent="0.2">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row>
    <row r="792" spans="1:42" ht="12.75" customHeight="1" x14ac:dyDescent="0.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row>
    <row r="793" spans="1:42" ht="12.75" customHeight="1" x14ac:dyDescent="0.2">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row>
    <row r="794" spans="1:42" ht="12.75" customHeight="1" x14ac:dyDescent="0.2">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row>
    <row r="795" spans="1:42" ht="12.75" customHeight="1" x14ac:dyDescent="0.2">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row>
    <row r="796" spans="1:42" ht="12.75" customHeight="1" x14ac:dyDescent="0.2">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row>
    <row r="797" spans="1:42" ht="12.75" customHeight="1" x14ac:dyDescent="0.2">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row>
    <row r="798" spans="1:42" ht="12.75" customHeight="1" x14ac:dyDescent="0.2">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row>
    <row r="799" spans="1:42" ht="12.75" customHeight="1" x14ac:dyDescent="0.2">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row>
    <row r="800" spans="1:42" ht="12.75" customHeight="1" x14ac:dyDescent="0.2">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row>
    <row r="801" spans="1:42" ht="12.75" customHeight="1" x14ac:dyDescent="0.2">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row>
    <row r="802" spans="1:42" ht="12.75" customHeight="1" x14ac:dyDescent="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row>
    <row r="803" spans="1:42" ht="12.75" customHeight="1" x14ac:dyDescent="0.2">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row>
    <row r="804" spans="1:42" ht="12.75" customHeight="1" x14ac:dyDescent="0.2">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row>
    <row r="805" spans="1:42" ht="12.75" customHeight="1" x14ac:dyDescent="0.2">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row>
    <row r="806" spans="1:42" ht="12.75" customHeight="1" x14ac:dyDescent="0.2">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row>
    <row r="807" spans="1:42" ht="12.75" customHeight="1" x14ac:dyDescent="0.2">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row>
    <row r="808" spans="1:42" ht="12.75" customHeight="1" x14ac:dyDescent="0.2">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row>
    <row r="809" spans="1:42" ht="12.75" customHeight="1" x14ac:dyDescent="0.2">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row>
    <row r="810" spans="1:42" ht="12.75" customHeight="1" x14ac:dyDescent="0.2">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row>
    <row r="811" spans="1:42" ht="12.75" customHeight="1" x14ac:dyDescent="0.2">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row>
    <row r="812" spans="1:42" ht="12.75" customHeight="1" x14ac:dyDescent="0.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row>
    <row r="813" spans="1:42" ht="12.75" customHeight="1" x14ac:dyDescent="0.2">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row>
    <row r="814" spans="1:42" ht="12.75" customHeight="1" x14ac:dyDescent="0.2">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row>
    <row r="815" spans="1:42" ht="12.75" customHeight="1" x14ac:dyDescent="0.2">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row>
    <row r="816" spans="1:42" ht="12.75" customHeight="1" x14ac:dyDescent="0.2">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row>
    <row r="817" spans="1:42" ht="12.75" customHeight="1" x14ac:dyDescent="0.2">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row>
    <row r="818" spans="1:42" ht="12.75" customHeight="1" x14ac:dyDescent="0.2">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row>
    <row r="819" spans="1:42" ht="12.75" customHeight="1" x14ac:dyDescent="0.2">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row>
    <row r="820" spans="1:42" ht="12.75" customHeight="1" x14ac:dyDescent="0.2">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row>
    <row r="821" spans="1:42" ht="12.75" customHeight="1" x14ac:dyDescent="0.2">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row>
    <row r="822" spans="1:42" ht="12.75" customHeight="1" x14ac:dyDescent="0.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row>
    <row r="823" spans="1:42" ht="12.75" customHeight="1" x14ac:dyDescent="0.2">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row>
    <row r="824" spans="1:42" ht="12.75" customHeight="1" x14ac:dyDescent="0.2">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row>
    <row r="825" spans="1:42" ht="12.75" customHeight="1" x14ac:dyDescent="0.2">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row>
    <row r="826" spans="1:42" ht="12.75" customHeight="1" x14ac:dyDescent="0.2">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row>
    <row r="827" spans="1:42" ht="12.75" customHeight="1" x14ac:dyDescent="0.2">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row>
    <row r="828" spans="1:42" ht="12.75" customHeight="1" x14ac:dyDescent="0.2">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row>
    <row r="829" spans="1:42" ht="12.75" customHeight="1" x14ac:dyDescent="0.2">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row>
    <row r="830" spans="1:42" ht="12.75" customHeight="1" x14ac:dyDescent="0.2">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row>
    <row r="831" spans="1:42" ht="12.75" customHeight="1" x14ac:dyDescent="0.2">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row>
    <row r="832" spans="1:42" ht="12.75" customHeight="1" x14ac:dyDescent="0.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row>
    <row r="833" spans="1:42" ht="12.75" customHeight="1" x14ac:dyDescent="0.2">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row>
    <row r="834" spans="1:42" ht="12.75" customHeight="1" x14ac:dyDescent="0.2">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row>
    <row r="835" spans="1:42" ht="12.75" customHeight="1" x14ac:dyDescent="0.2">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row>
    <row r="836" spans="1:42" ht="12.75" customHeight="1" x14ac:dyDescent="0.2">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row>
    <row r="837" spans="1:42" ht="12.75" customHeight="1" x14ac:dyDescent="0.2">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row>
    <row r="838" spans="1:42" ht="12.75" customHeight="1" x14ac:dyDescent="0.2">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row>
    <row r="839" spans="1:42" ht="12.75" customHeight="1" x14ac:dyDescent="0.2">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row>
    <row r="840" spans="1:42" ht="12.75" customHeight="1" x14ac:dyDescent="0.2">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row>
    <row r="841" spans="1:42" ht="12.75" customHeight="1" x14ac:dyDescent="0.2">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row>
    <row r="842" spans="1:42" ht="12.75" customHeight="1" x14ac:dyDescent="0.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row>
    <row r="843" spans="1:42" ht="12.75" customHeight="1" x14ac:dyDescent="0.2">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row>
    <row r="844" spans="1:42" ht="12.75" customHeight="1" x14ac:dyDescent="0.2">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row>
    <row r="845" spans="1:42" ht="12.75" customHeight="1" x14ac:dyDescent="0.2">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row>
    <row r="846" spans="1:42" ht="12.75" customHeight="1" x14ac:dyDescent="0.2">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row>
    <row r="847" spans="1:42" ht="12.75" customHeight="1" x14ac:dyDescent="0.2">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row>
    <row r="848" spans="1:42" ht="12.75" customHeight="1" x14ac:dyDescent="0.2">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row>
    <row r="849" spans="1:42" ht="12.75" customHeight="1" x14ac:dyDescent="0.2">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row>
    <row r="850" spans="1:42" ht="12.75" customHeight="1" x14ac:dyDescent="0.2">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row>
    <row r="851" spans="1:42" ht="12.75" customHeight="1" x14ac:dyDescent="0.2">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row>
    <row r="852" spans="1:42" ht="12.75" customHeight="1" x14ac:dyDescent="0.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row>
    <row r="853" spans="1:42" ht="12.75" customHeight="1" x14ac:dyDescent="0.2">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row>
    <row r="854" spans="1:42" ht="12.75" customHeight="1" x14ac:dyDescent="0.2">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row>
    <row r="855" spans="1:42" ht="12.75" customHeight="1" x14ac:dyDescent="0.2">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row>
    <row r="856" spans="1:42" ht="12.75" customHeight="1" x14ac:dyDescent="0.2">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row>
    <row r="857" spans="1:42" ht="12.75" customHeight="1" x14ac:dyDescent="0.2">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row>
    <row r="858" spans="1:42" ht="12.75" customHeight="1" x14ac:dyDescent="0.2">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row>
    <row r="859" spans="1:42" ht="12.75" customHeight="1" x14ac:dyDescent="0.2">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row>
    <row r="860" spans="1:42" ht="12.75" customHeight="1" x14ac:dyDescent="0.2">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row>
    <row r="861" spans="1:42" ht="12.75" customHeight="1" x14ac:dyDescent="0.2">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row>
    <row r="862" spans="1:42" ht="12.75" customHeight="1" x14ac:dyDescent="0.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row>
    <row r="863" spans="1:42" ht="12.75" customHeight="1" x14ac:dyDescent="0.2">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row>
    <row r="864" spans="1:42" ht="12.75" customHeight="1" x14ac:dyDescent="0.2">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row>
    <row r="865" spans="1:42" ht="12.75" customHeight="1" x14ac:dyDescent="0.2">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row>
    <row r="866" spans="1:42" ht="12.75" customHeight="1" x14ac:dyDescent="0.2">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row>
    <row r="867" spans="1:42" ht="12.75" customHeight="1" x14ac:dyDescent="0.2">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row>
    <row r="868" spans="1:42" ht="12.75" customHeight="1" x14ac:dyDescent="0.2">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row>
    <row r="869" spans="1:42" ht="12.75" customHeight="1" x14ac:dyDescent="0.2">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row>
    <row r="870" spans="1:42" ht="12.75" customHeight="1" x14ac:dyDescent="0.2">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row>
    <row r="871" spans="1:42" ht="12.75" customHeight="1" x14ac:dyDescent="0.2">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row>
    <row r="872" spans="1:42" ht="12.75" customHeight="1" x14ac:dyDescent="0.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row>
    <row r="873" spans="1:42" ht="12.75" customHeight="1" x14ac:dyDescent="0.2">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row>
    <row r="874" spans="1:42" ht="12.75" customHeight="1" x14ac:dyDescent="0.2">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row>
    <row r="875" spans="1:42" ht="12.75" customHeight="1" x14ac:dyDescent="0.2">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row>
    <row r="876" spans="1:42" ht="12.75" customHeight="1" x14ac:dyDescent="0.2">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row>
    <row r="877" spans="1:42" ht="12.75" customHeight="1" x14ac:dyDescent="0.2">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row>
    <row r="878" spans="1:42" ht="12.75" customHeight="1" x14ac:dyDescent="0.2">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row>
    <row r="879" spans="1:42" ht="12.75" customHeight="1" x14ac:dyDescent="0.2">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row>
    <row r="880" spans="1:42" ht="12.75" customHeight="1" x14ac:dyDescent="0.2">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row>
    <row r="881" spans="1:42" ht="12.75" customHeight="1" x14ac:dyDescent="0.2">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row>
    <row r="882" spans="1:42" ht="12.75" customHeight="1" x14ac:dyDescent="0.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row>
    <row r="883" spans="1:42" ht="12.75" customHeight="1" x14ac:dyDescent="0.2">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row>
    <row r="884" spans="1:42" ht="12.75" customHeight="1" x14ac:dyDescent="0.2">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row>
    <row r="885" spans="1:42" ht="12.75" customHeight="1" x14ac:dyDescent="0.2">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row>
    <row r="886" spans="1:42" ht="12.75" customHeight="1" x14ac:dyDescent="0.2">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row>
    <row r="887" spans="1:42" ht="12.75" customHeight="1" x14ac:dyDescent="0.2">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row>
    <row r="888" spans="1:42" ht="12.75" customHeight="1" x14ac:dyDescent="0.2">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row>
    <row r="889" spans="1:42" ht="12.75" customHeight="1" x14ac:dyDescent="0.2">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row>
    <row r="890" spans="1:42" ht="12.75" customHeight="1" x14ac:dyDescent="0.2">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row>
    <row r="891" spans="1:42" ht="12.75" customHeight="1" x14ac:dyDescent="0.2">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row>
    <row r="892" spans="1:42" ht="12.75" customHeight="1" x14ac:dyDescent="0.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row>
    <row r="893" spans="1:42" ht="12.75" customHeight="1" x14ac:dyDescent="0.2">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row>
    <row r="894" spans="1:42" ht="12.75" customHeight="1" x14ac:dyDescent="0.2">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row>
    <row r="895" spans="1:42" ht="12.75" customHeight="1" x14ac:dyDescent="0.2">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row>
    <row r="896" spans="1:42" ht="12.75" customHeight="1" x14ac:dyDescent="0.2">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row>
    <row r="897" spans="1:42" ht="12.75" customHeight="1" x14ac:dyDescent="0.2">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row>
    <row r="898" spans="1:42" ht="12.75" customHeight="1" x14ac:dyDescent="0.2">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row>
    <row r="899" spans="1:42" ht="12.75" customHeight="1" x14ac:dyDescent="0.2">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row>
    <row r="900" spans="1:42" ht="12.75" customHeight="1" x14ac:dyDescent="0.2">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row>
    <row r="901" spans="1:42" ht="12.75" customHeight="1" x14ac:dyDescent="0.2">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row>
    <row r="902" spans="1:42" ht="12.75" customHeight="1" x14ac:dyDescent="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row>
    <row r="903" spans="1:42" ht="12.75" customHeight="1" x14ac:dyDescent="0.2">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row>
    <row r="904" spans="1:42" ht="12.75" customHeight="1" x14ac:dyDescent="0.2">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row>
    <row r="905" spans="1:42" ht="12.75" customHeight="1" x14ac:dyDescent="0.2">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row>
    <row r="906" spans="1:42" ht="12.75" customHeight="1" x14ac:dyDescent="0.2">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row>
    <row r="907" spans="1:42" ht="12.75" customHeight="1" x14ac:dyDescent="0.2">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row>
    <row r="908" spans="1:42" ht="12.75" customHeight="1" x14ac:dyDescent="0.2">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row>
    <row r="909" spans="1:42" ht="12.75" customHeight="1" x14ac:dyDescent="0.2">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row>
    <row r="910" spans="1:42" ht="12.75" customHeight="1" x14ac:dyDescent="0.2">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row>
    <row r="911" spans="1:42" ht="12.75" customHeight="1" x14ac:dyDescent="0.2">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row>
    <row r="912" spans="1:42" ht="12.75" customHeight="1" x14ac:dyDescent="0.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row>
    <row r="913" spans="1:42" ht="12.75" customHeight="1" x14ac:dyDescent="0.2">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row>
    <row r="914" spans="1:42" ht="12.75" customHeight="1" x14ac:dyDescent="0.2">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row>
    <row r="915" spans="1:42" ht="12.75" customHeight="1" x14ac:dyDescent="0.2">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row>
    <row r="916" spans="1:42" ht="12.75" customHeight="1" x14ac:dyDescent="0.2">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row>
    <row r="917" spans="1:42" ht="12.75" customHeight="1" x14ac:dyDescent="0.2">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row>
    <row r="918" spans="1:42" ht="12.75" customHeight="1" x14ac:dyDescent="0.2">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row>
    <row r="919" spans="1:42" ht="12.75" customHeight="1" x14ac:dyDescent="0.2">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row>
    <row r="920" spans="1:42" ht="12.75" customHeight="1" x14ac:dyDescent="0.2">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row>
    <row r="921" spans="1:42" ht="12.75" customHeight="1" x14ac:dyDescent="0.2">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row>
    <row r="922" spans="1:42" ht="12.75" customHeight="1" x14ac:dyDescent="0.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row>
    <row r="923" spans="1:42" ht="12.75" customHeight="1" x14ac:dyDescent="0.2">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row>
    <row r="924" spans="1:42" ht="12.75" customHeight="1" x14ac:dyDescent="0.2">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row>
    <row r="925" spans="1:42" ht="12.75" customHeight="1" x14ac:dyDescent="0.2">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row>
    <row r="926" spans="1:42" ht="12.75" customHeight="1" x14ac:dyDescent="0.2">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row>
    <row r="927" spans="1:42" ht="12.75" customHeight="1" x14ac:dyDescent="0.2">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row>
    <row r="928" spans="1:42" ht="12.75" customHeight="1" x14ac:dyDescent="0.2">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row>
    <row r="929" spans="1:42" ht="12.75" customHeight="1" x14ac:dyDescent="0.2">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row>
    <row r="930" spans="1:42" ht="12.75" customHeight="1" x14ac:dyDescent="0.2">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row>
    <row r="931" spans="1:42" ht="12.75" customHeight="1" x14ac:dyDescent="0.2">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row>
    <row r="932" spans="1:42" ht="12.75" customHeight="1" x14ac:dyDescent="0.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row>
    <row r="933" spans="1:42" ht="12.75" customHeight="1" x14ac:dyDescent="0.2">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row>
    <row r="934" spans="1:42" ht="12.75" customHeight="1" x14ac:dyDescent="0.2">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row>
    <row r="935" spans="1:42" ht="12.75" customHeight="1" x14ac:dyDescent="0.2">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row>
    <row r="936" spans="1:42" ht="12.75" customHeight="1" x14ac:dyDescent="0.2">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row>
    <row r="937" spans="1:42" ht="12.75" customHeight="1" x14ac:dyDescent="0.2">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row>
    <row r="938" spans="1:42" ht="12.75" customHeight="1" x14ac:dyDescent="0.2">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row>
    <row r="939" spans="1:42" ht="12.75" customHeight="1" x14ac:dyDescent="0.2">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row>
    <row r="940" spans="1:42" ht="12.75" customHeight="1" x14ac:dyDescent="0.2">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row>
    <row r="941" spans="1:42" ht="12.75" customHeight="1" x14ac:dyDescent="0.2">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row>
    <row r="942" spans="1:42" ht="12.75" customHeight="1" x14ac:dyDescent="0.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row>
    <row r="943" spans="1:42" ht="12.75" customHeight="1" x14ac:dyDescent="0.2">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row>
    <row r="944" spans="1:42" ht="12.75" customHeight="1" x14ac:dyDescent="0.2">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row>
    <row r="945" spans="1:42" ht="12.75" customHeight="1" x14ac:dyDescent="0.2">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row>
    <row r="946" spans="1:42" ht="12.75" customHeight="1" x14ac:dyDescent="0.2">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row>
    <row r="947" spans="1:42" ht="12.75" customHeight="1" x14ac:dyDescent="0.2">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row>
    <row r="948" spans="1:42" ht="12.75" customHeight="1" x14ac:dyDescent="0.2">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row>
    <row r="949" spans="1:42" ht="12.75" customHeight="1" x14ac:dyDescent="0.2">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row>
    <row r="950" spans="1:42" ht="12.75" customHeight="1" x14ac:dyDescent="0.2">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row>
    <row r="951" spans="1:42" ht="12.75" customHeight="1" x14ac:dyDescent="0.2">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row>
    <row r="952" spans="1:42" ht="12.75" customHeight="1" x14ac:dyDescent="0.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row>
    <row r="953" spans="1:42" ht="12.75" customHeight="1" x14ac:dyDescent="0.2">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row>
    <row r="954" spans="1:42" ht="12.75" customHeight="1" x14ac:dyDescent="0.2">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row>
    <row r="955" spans="1:42" ht="12.75" customHeight="1" x14ac:dyDescent="0.2">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row>
    <row r="956" spans="1:42" ht="12.75" customHeight="1" x14ac:dyDescent="0.2">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row>
    <row r="957" spans="1:42" ht="12.75" customHeight="1" x14ac:dyDescent="0.2">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row>
    <row r="958" spans="1:42" ht="12.75" customHeight="1" x14ac:dyDescent="0.2">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row>
    <row r="959" spans="1:42" ht="12.75" customHeight="1" x14ac:dyDescent="0.2">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row>
    <row r="960" spans="1:42" ht="12.75" customHeight="1" x14ac:dyDescent="0.2">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row>
    <row r="961" spans="1:42" ht="12.75" customHeight="1" x14ac:dyDescent="0.2">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row>
    <row r="962" spans="1:42" ht="12.75" customHeight="1" x14ac:dyDescent="0.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row>
    <row r="963" spans="1:42" ht="12.75" customHeight="1" x14ac:dyDescent="0.2">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row>
    <row r="964" spans="1:42" ht="12.75" customHeight="1" x14ac:dyDescent="0.2">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row>
    <row r="965" spans="1:42" ht="12.75" customHeight="1" x14ac:dyDescent="0.2">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row>
    <row r="966" spans="1:42" ht="12.75" customHeight="1" x14ac:dyDescent="0.2">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row>
    <row r="967" spans="1:42" ht="12.75" customHeight="1" x14ac:dyDescent="0.2">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row>
    <row r="968" spans="1:42" ht="12.75" customHeight="1" x14ac:dyDescent="0.2">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row>
    <row r="969" spans="1:42" ht="12.75" customHeight="1" x14ac:dyDescent="0.2">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row>
    <row r="970" spans="1:42" ht="12.75" customHeight="1" x14ac:dyDescent="0.2">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row>
    <row r="971" spans="1:42" ht="12.75" customHeight="1" x14ac:dyDescent="0.2">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row>
    <row r="972" spans="1:42" ht="12.75" customHeight="1" x14ac:dyDescent="0.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row>
    <row r="973" spans="1:42" ht="12.75" customHeight="1" x14ac:dyDescent="0.2">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row>
    <row r="974" spans="1:42" ht="12.75" customHeight="1" x14ac:dyDescent="0.2">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row>
    <row r="975" spans="1:42" ht="12.75" customHeight="1" x14ac:dyDescent="0.2">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row>
    <row r="976" spans="1:42" ht="12.75" customHeight="1" x14ac:dyDescent="0.2">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row>
    <row r="977" spans="1:42" ht="12.75" customHeight="1" x14ac:dyDescent="0.2">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row>
    <row r="978" spans="1:42" ht="12.75" customHeight="1" x14ac:dyDescent="0.2">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row>
    <row r="979" spans="1:42" ht="12.75" customHeight="1" x14ac:dyDescent="0.2">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row>
    <row r="980" spans="1:42" ht="12.75" customHeight="1" x14ac:dyDescent="0.2">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row>
    <row r="981" spans="1:42" ht="12.75" customHeight="1" x14ac:dyDescent="0.2">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row>
    <row r="982" spans="1:42" ht="12.75" customHeight="1" x14ac:dyDescent="0.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row>
    <row r="983" spans="1:42" ht="12.75" customHeight="1" x14ac:dyDescent="0.2">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row>
    <row r="984" spans="1:42" ht="12.75" customHeight="1" x14ac:dyDescent="0.2">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row>
    <row r="985" spans="1:42" ht="12.75" customHeight="1" x14ac:dyDescent="0.2">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row>
    <row r="986" spans="1:42" ht="12.75" customHeight="1" x14ac:dyDescent="0.2">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row>
    <row r="987" spans="1:42" ht="12.75" customHeight="1" x14ac:dyDescent="0.2">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row>
    <row r="988" spans="1:42" ht="12.75" customHeight="1" x14ac:dyDescent="0.2">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row>
    <row r="989" spans="1:42" ht="12.75" customHeight="1" x14ac:dyDescent="0.2">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row>
    <row r="990" spans="1:42" ht="12.75" customHeight="1" x14ac:dyDescent="0.2">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row>
    <row r="991" spans="1:42" ht="12.75" customHeight="1" x14ac:dyDescent="0.2">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row>
    <row r="992" spans="1:42" ht="12.75" customHeight="1" x14ac:dyDescent="0.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row>
    <row r="993" spans="1:42" ht="12.75" customHeight="1" x14ac:dyDescent="0.2">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row>
    <row r="994" spans="1:42" ht="12.75" customHeight="1" x14ac:dyDescent="0.2">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row>
    <row r="995" spans="1:42" ht="12.75" customHeight="1" x14ac:dyDescent="0.2">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row>
    <row r="996" spans="1:42" ht="12.75" customHeight="1" x14ac:dyDescent="0.2">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row>
    <row r="997" spans="1:42" ht="12.75" customHeight="1" x14ac:dyDescent="0.2">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row>
    <row r="998" spans="1:42" ht="12.75" customHeight="1" x14ac:dyDescent="0.2">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row>
    <row r="999" spans="1:42" ht="12.75" customHeight="1" x14ac:dyDescent="0.2">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row>
    <row r="1000" spans="1:42" ht="12.75" customHeight="1" x14ac:dyDescent="0.2">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row>
  </sheetData>
  <mergeCells count="5">
    <mergeCell ref="G2:H2"/>
    <mergeCell ref="I2:N2"/>
    <mergeCell ref="I5:K5"/>
    <mergeCell ref="L5:N5"/>
    <mergeCell ref="Y6:AN6"/>
  </mergeCells>
  <conditionalFormatting sqref="F18:G18">
    <cfRule type="cellIs" dxfId="11" priority="1" operator="equal">
      <formula>0</formula>
    </cfRule>
  </conditionalFormatting>
  <conditionalFormatting sqref="I6:J6">
    <cfRule type="cellIs" dxfId="10" priority="2" operator="equal">
      <formula>0</formula>
    </cfRule>
  </conditionalFormatting>
  <conditionalFormatting sqref="I12:J12">
    <cfRule type="cellIs" dxfId="9" priority="3" operator="equal">
      <formula>0</formula>
    </cfRule>
  </conditionalFormatting>
  <conditionalFormatting sqref="I18:J18">
    <cfRule type="cellIs" dxfId="8" priority="4" operator="equal">
      <formula>0</formula>
    </cfRule>
  </conditionalFormatting>
  <conditionalFormatting sqref="I24:J24">
    <cfRule type="cellIs" dxfId="7" priority="5" operator="equal">
      <formula>0</formula>
    </cfRule>
  </conditionalFormatting>
  <conditionalFormatting sqref="M12:N12">
    <cfRule type="cellIs" dxfId="6" priority="6" operator="equal">
      <formula>0</formula>
    </cfRule>
  </conditionalFormatting>
  <conditionalFormatting sqref="M18:N18">
    <cfRule type="cellIs" dxfId="5" priority="7" operator="equal">
      <formula>0</formula>
    </cfRule>
  </conditionalFormatting>
  <conditionalFormatting sqref="M24:N24">
    <cfRule type="cellIs" dxfId="4" priority="8" operator="equal">
      <formula>0</formula>
    </cfRule>
  </conditionalFormatting>
  <conditionalFormatting sqref="Q18:R18">
    <cfRule type="cellIs" dxfId="3" priority="9" operator="equal">
      <formula>0</formula>
    </cfRule>
  </conditionalFormatting>
  <pageMargins left="0.511811024" right="0.511811024" top="0.78740157499999996" bottom="0.78740157499999996"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sheetPr>
  <dimension ref="A1:BN1000"/>
  <sheetViews>
    <sheetView showGridLines="0" workbookViewId="0"/>
  </sheetViews>
  <sheetFormatPr defaultColWidth="12.5703125" defaultRowHeight="15" customHeight="1" x14ac:dyDescent="0.2"/>
  <cols>
    <col min="1" max="3" width="2.7109375" customWidth="1"/>
    <col min="4" max="4" width="55.85546875" customWidth="1"/>
    <col min="5" max="5" width="30.7109375" customWidth="1"/>
    <col min="6" max="6" width="10.7109375" customWidth="1"/>
    <col min="7" max="8" width="10.42578125" customWidth="1"/>
    <col min="9" max="9" width="2.7109375" customWidth="1"/>
    <col min="10" max="10" width="6.140625" hidden="1" customWidth="1"/>
    <col min="11" max="66" width="2.5703125" customWidth="1"/>
  </cols>
  <sheetData>
    <row r="1" spans="1:66" x14ac:dyDescent="0.25">
      <c r="A1" s="157"/>
      <c r="B1" s="157"/>
      <c r="C1" s="157"/>
      <c r="G1" s="18"/>
    </row>
    <row r="2" spans="1:66" x14ac:dyDescent="0.25">
      <c r="A2" s="157"/>
      <c r="B2" s="157"/>
      <c r="C2" s="157"/>
      <c r="G2" s="18"/>
    </row>
    <row r="3" spans="1:66" ht="25.5" customHeight="1" x14ac:dyDescent="0.35">
      <c r="A3" s="157"/>
      <c r="B3" s="157"/>
      <c r="C3" s="157"/>
      <c r="E3" s="158" t="s">
        <v>467</v>
      </c>
      <c r="F3" s="159"/>
      <c r="G3" s="97"/>
      <c r="H3" s="160"/>
    </row>
    <row r="4" spans="1:66" x14ac:dyDescent="0.25">
      <c r="A4" s="157"/>
      <c r="B4" s="157"/>
      <c r="C4" s="157"/>
      <c r="G4" s="18"/>
    </row>
    <row r="5" spans="1:66" ht="34.5" customHeight="1" x14ac:dyDescent="0.25">
      <c r="A5" s="157" t="s">
        <v>468</v>
      </c>
      <c r="B5" s="157"/>
      <c r="C5" s="157"/>
      <c r="D5" s="161" t="s">
        <v>469</v>
      </c>
      <c r="E5" s="261" t="s">
        <v>470</v>
      </c>
      <c r="F5" s="262"/>
      <c r="G5" s="263">
        <v>45160</v>
      </c>
      <c r="H5" s="264"/>
    </row>
    <row r="6" spans="1:66" ht="30" customHeight="1" x14ac:dyDescent="0.25">
      <c r="A6" s="162" t="s">
        <v>471</v>
      </c>
      <c r="B6" s="162"/>
      <c r="C6" s="162"/>
      <c r="E6" s="261" t="s">
        <v>472</v>
      </c>
      <c r="F6" s="262"/>
      <c r="G6" s="163">
        <v>1</v>
      </c>
      <c r="K6" s="258">
        <f>K7</f>
        <v>45159</v>
      </c>
      <c r="L6" s="259"/>
      <c r="M6" s="259"/>
      <c r="N6" s="259"/>
      <c r="O6" s="259"/>
      <c r="P6" s="259"/>
      <c r="Q6" s="260"/>
      <c r="R6" s="258">
        <f>R7</f>
        <v>45166</v>
      </c>
      <c r="S6" s="259"/>
      <c r="T6" s="259"/>
      <c r="U6" s="259"/>
      <c r="V6" s="259"/>
      <c r="W6" s="259"/>
      <c r="X6" s="260"/>
      <c r="Y6" s="258">
        <f>Y7</f>
        <v>45173</v>
      </c>
      <c r="Z6" s="259"/>
      <c r="AA6" s="259"/>
      <c r="AB6" s="259"/>
      <c r="AC6" s="259"/>
      <c r="AD6" s="259"/>
      <c r="AE6" s="260"/>
      <c r="AF6" s="258">
        <f>AF7</f>
        <v>45180</v>
      </c>
      <c r="AG6" s="259"/>
      <c r="AH6" s="259"/>
      <c r="AI6" s="259"/>
      <c r="AJ6" s="259"/>
      <c r="AK6" s="259"/>
      <c r="AL6" s="260"/>
      <c r="AM6" s="258">
        <f>AM7</f>
        <v>45187</v>
      </c>
      <c r="AN6" s="259"/>
      <c r="AO6" s="259"/>
      <c r="AP6" s="259"/>
      <c r="AQ6" s="259"/>
      <c r="AR6" s="259"/>
      <c r="AS6" s="260"/>
      <c r="AT6" s="258">
        <f>AT7</f>
        <v>45194</v>
      </c>
      <c r="AU6" s="259"/>
      <c r="AV6" s="259"/>
      <c r="AW6" s="259"/>
      <c r="AX6" s="259"/>
      <c r="AY6" s="259"/>
      <c r="AZ6" s="260"/>
      <c r="BA6" s="258">
        <f>BA7</f>
        <v>45201</v>
      </c>
      <c r="BB6" s="259"/>
      <c r="BC6" s="259"/>
      <c r="BD6" s="259"/>
      <c r="BE6" s="259"/>
      <c r="BF6" s="259"/>
      <c r="BG6" s="260"/>
      <c r="BH6" s="258">
        <f>BH7</f>
        <v>45208</v>
      </c>
      <c r="BI6" s="259"/>
      <c r="BJ6" s="259"/>
      <c r="BK6" s="259"/>
      <c r="BL6" s="259"/>
      <c r="BM6" s="259"/>
      <c r="BN6" s="260"/>
    </row>
    <row r="7" spans="1:66" ht="15" customHeight="1" x14ac:dyDescent="0.25">
      <c r="A7" s="162" t="s">
        <v>473</v>
      </c>
      <c r="B7" s="162"/>
      <c r="C7" s="162"/>
      <c r="D7" s="164"/>
      <c r="E7" s="164"/>
      <c r="F7" s="164"/>
      <c r="G7" s="164"/>
      <c r="H7" s="164"/>
      <c r="I7" s="164"/>
      <c r="K7" s="165">
        <f>Início_do_projeto-WEEKDAY(Início_do_projeto,1)+2+7*(Semana_de_exibição-1)</f>
        <v>45159</v>
      </c>
      <c r="L7" s="166">
        <f t="shared" ref="L7:BN7" si="0">K7+1</f>
        <v>45160</v>
      </c>
      <c r="M7" s="166">
        <f t="shared" si="0"/>
        <v>45161</v>
      </c>
      <c r="N7" s="166">
        <f t="shared" si="0"/>
        <v>45162</v>
      </c>
      <c r="O7" s="166">
        <f t="shared" si="0"/>
        <v>45163</v>
      </c>
      <c r="P7" s="166">
        <f t="shared" si="0"/>
        <v>45164</v>
      </c>
      <c r="Q7" s="167">
        <f t="shared" si="0"/>
        <v>45165</v>
      </c>
      <c r="R7" s="165">
        <f t="shared" si="0"/>
        <v>45166</v>
      </c>
      <c r="S7" s="166">
        <f t="shared" si="0"/>
        <v>45167</v>
      </c>
      <c r="T7" s="166">
        <f t="shared" si="0"/>
        <v>45168</v>
      </c>
      <c r="U7" s="166">
        <f t="shared" si="0"/>
        <v>45169</v>
      </c>
      <c r="V7" s="166">
        <f t="shared" si="0"/>
        <v>45170</v>
      </c>
      <c r="W7" s="166">
        <f t="shared" si="0"/>
        <v>45171</v>
      </c>
      <c r="X7" s="167">
        <f t="shared" si="0"/>
        <v>45172</v>
      </c>
      <c r="Y7" s="165">
        <f t="shared" si="0"/>
        <v>45173</v>
      </c>
      <c r="Z7" s="166">
        <f t="shared" si="0"/>
        <v>45174</v>
      </c>
      <c r="AA7" s="166">
        <f t="shared" si="0"/>
        <v>45175</v>
      </c>
      <c r="AB7" s="166">
        <f t="shared" si="0"/>
        <v>45176</v>
      </c>
      <c r="AC7" s="166">
        <f t="shared" si="0"/>
        <v>45177</v>
      </c>
      <c r="AD7" s="166">
        <f t="shared" si="0"/>
        <v>45178</v>
      </c>
      <c r="AE7" s="167">
        <f t="shared" si="0"/>
        <v>45179</v>
      </c>
      <c r="AF7" s="165">
        <f t="shared" si="0"/>
        <v>45180</v>
      </c>
      <c r="AG7" s="166">
        <f t="shared" si="0"/>
        <v>45181</v>
      </c>
      <c r="AH7" s="166">
        <f t="shared" si="0"/>
        <v>45182</v>
      </c>
      <c r="AI7" s="166">
        <f t="shared" si="0"/>
        <v>45183</v>
      </c>
      <c r="AJ7" s="166">
        <f t="shared" si="0"/>
        <v>45184</v>
      </c>
      <c r="AK7" s="166">
        <f t="shared" si="0"/>
        <v>45185</v>
      </c>
      <c r="AL7" s="167">
        <f t="shared" si="0"/>
        <v>45186</v>
      </c>
      <c r="AM7" s="165">
        <f t="shared" si="0"/>
        <v>45187</v>
      </c>
      <c r="AN7" s="166">
        <f t="shared" si="0"/>
        <v>45188</v>
      </c>
      <c r="AO7" s="166">
        <f t="shared" si="0"/>
        <v>45189</v>
      </c>
      <c r="AP7" s="166">
        <f t="shared" si="0"/>
        <v>45190</v>
      </c>
      <c r="AQ7" s="166">
        <f t="shared" si="0"/>
        <v>45191</v>
      </c>
      <c r="AR7" s="166">
        <f t="shared" si="0"/>
        <v>45192</v>
      </c>
      <c r="AS7" s="167">
        <f t="shared" si="0"/>
        <v>45193</v>
      </c>
      <c r="AT7" s="165">
        <f t="shared" si="0"/>
        <v>45194</v>
      </c>
      <c r="AU7" s="166">
        <f t="shared" si="0"/>
        <v>45195</v>
      </c>
      <c r="AV7" s="166">
        <f t="shared" si="0"/>
        <v>45196</v>
      </c>
      <c r="AW7" s="166">
        <f t="shared" si="0"/>
        <v>45197</v>
      </c>
      <c r="AX7" s="166">
        <f t="shared" si="0"/>
        <v>45198</v>
      </c>
      <c r="AY7" s="166">
        <f t="shared" si="0"/>
        <v>45199</v>
      </c>
      <c r="AZ7" s="167">
        <f t="shared" si="0"/>
        <v>45200</v>
      </c>
      <c r="BA7" s="165">
        <f t="shared" si="0"/>
        <v>45201</v>
      </c>
      <c r="BB7" s="166">
        <f t="shared" si="0"/>
        <v>45202</v>
      </c>
      <c r="BC7" s="166">
        <f t="shared" si="0"/>
        <v>45203</v>
      </c>
      <c r="BD7" s="166">
        <f t="shared" si="0"/>
        <v>45204</v>
      </c>
      <c r="BE7" s="166">
        <f t="shared" si="0"/>
        <v>45205</v>
      </c>
      <c r="BF7" s="166">
        <f t="shared" si="0"/>
        <v>45206</v>
      </c>
      <c r="BG7" s="167">
        <f t="shared" si="0"/>
        <v>45207</v>
      </c>
      <c r="BH7" s="165">
        <f t="shared" si="0"/>
        <v>45208</v>
      </c>
      <c r="BI7" s="166">
        <f t="shared" si="0"/>
        <v>45209</v>
      </c>
      <c r="BJ7" s="166">
        <f t="shared" si="0"/>
        <v>45210</v>
      </c>
      <c r="BK7" s="166">
        <f t="shared" si="0"/>
        <v>45211</v>
      </c>
      <c r="BL7" s="166">
        <f t="shared" si="0"/>
        <v>45212</v>
      </c>
      <c r="BM7" s="166">
        <f t="shared" si="0"/>
        <v>45213</v>
      </c>
      <c r="BN7" s="167">
        <f t="shared" si="0"/>
        <v>45214</v>
      </c>
    </row>
    <row r="8" spans="1:66" ht="30" customHeight="1" x14ac:dyDescent="0.25">
      <c r="A8" s="162" t="s">
        <v>474</v>
      </c>
      <c r="B8" s="162"/>
      <c r="C8" s="162"/>
      <c r="D8" s="168" t="s">
        <v>475</v>
      </c>
      <c r="E8" s="169" t="s">
        <v>476</v>
      </c>
      <c r="F8" s="169" t="s">
        <v>477</v>
      </c>
      <c r="G8" s="169" t="s">
        <v>478</v>
      </c>
      <c r="H8" s="169" t="s">
        <v>479</v>
      </c>
      <c r="I8" s="169"/>
      <c r="J8" s="169" t="s">
        <v>480</v>
      </c>
      <c r="K8" s="170" t="str">
        <f t="shared" ref="K8:BN8" si="1">LEFT(TEXT(K7,"ddd"),1)</f>
        <v>s</v>
      </c>
      <c r="L8" s="170" t="str">
        <f t="shared" si="1"/>
        <v>t</v>
      </c>
      <c r="M8" s="170" t="str">
        <f t="shared" si="1"/>
        <v>q</v>
      </c>
      <c r="N8" s="170" t="str">
        <f t="shared" si="1"/>
        <v>q</v>
      </c>
      <c r="O8" s="170" t="str">
        <f t="shared" si="1"/>
        <v>s</v>
      </c>
      <c r="P8" s="170" t="str">
        <f t="shared" si="1"/>
        <v>s</v>
      </c>
      <c r="Q8" s="170" t="str">
        <f t="shared" si="1"/>
        <v>d</v>
      </c>
      <c r="R8" s="170" t="str">
        <f t="shared" si="1"/>
        <v>s</v>
      </c>
      <c r="S8" s="170" t="str">
        <f t="shared" si="1"/>
        <v>t</v>
      </c>
      <c r="T8" s="170" t="str">
        <f t="shared" si="1"/>
        <v>q</v>
      </c>
      <c r="U8" s="170" t="str">
        <f t="shared" si="1"/>
        <v>q</v>
      </c>
      <c r="V8" s="170" t="str">
        <f t="shared" si="1"/>
        <v>s</v>
      </c>
      <c r="W8" s="170" t="str">
        <f t="shared" si="1"/>
        <v>s</v>
      </c>
      <c r="X8" s="170" t="str">
        <f t="shared" si="1"/>
        <v>d</v>
      </c>
      <c r="Y8" s="170" t="str">
        <f t="shared" si="1"/>
        <v>s</v>
      </c>
      <c r="Z8" s="170" t="str">
        <f t="shared" si="1"/>
        <v>t</v>
      </c>
      <c r="AA8" s="170" t="str">
        <f t="shared" si="1"/>
        <v>q</v>
      </c>
      <c r="AB8" s="170" t="str">
        <f t="shared" si="1"/>
        <v>q</v>
      </c>
      <c r="AC8" s="170" t="str">
        <f t="shared" si="1"/>
        <v>s</v>
      </c>
      <c r="AD8" s="170" t="str">
        <f t="shared" si="1"/>
        <v>s</v>
      </c>
      <c r="AE8" s="170" t="str">
        <f t="shared" si="1"/>
        <v>d</v>
      </c>
      <c r="AF8" s="170" t="str">
        <f t="shared" si="1"/>
        <v>s</v>
      </c>
      <c r="AG8" s="170" t="str">
        <f t="shared" si="1"/>
        <v>t</v>
      </c>
      <c r="AH8" s="170" t="str">
        <f t="shared" si="1"/>
        <v>q</v>
      </c>
      <c r="AI8" s="170" t="str">
        <f t="shared" si="1"/>
        <v>q</v>
      </c>
      <c r="AJ8" s="170" t="str">
        <f t="shared" si="1"/>
        <v>s</v>
      </c>
      <c r="AK8" s="170" t="str">
        <f t="shared" si="1"/>
        <v>s</v>
      </c>
      <c r="AL8" s="170" t="str">
        <f t="shared" si="1"/>
        <v>d</v>
      </c>
      <c r="AM8" s="170" t="str">
        <f t="shared" si="1"/>
        <v>s</v>
      </c>
      <c r="AN8" s="170" t="str">
        <f t="shared" si="1"/>
        <v>t</v>
      </c>
      <c r="AO8" s="170" t="str">
        <f t="shared" si="1"/>
        <v>q</v>
      </c>
      <c r="AP8" s="170" t="str">
        <f t="shared" si="1"/>
        <v>q</v>
      </c>
      <c r="AQ8" s="170" t="str">
        <f t="shared" si="1"/>
        <v>s</v>
      </c>
      <c r="AR8" s="170" t="str">
        <f t="shared" si="1"/>
        <v>s</v>
      </c>
      <c r="AS8" s="170" t="str">
        <f t="shared" si="1"/>
        <v>d</v>
      </c>
      <c r="AT8" s="170" t="str">
        <f t="shared" si="1"/>
        <v>s</v>
      </c>
      <c r="AU8" s="170" t="str">
        <f t="shared" si="1"/>
        <v>t</v>
      </c>
      <c r="AV8" s="170" t="str">
        <f t="shared" si="1"/>
        <v>q</v>
      </c>
      <c r="AW8" s="170" t="str">
        <f t="shared" si="1"/>
        <v>q</v>
      </c>
      <c r="AX8" s="170" t="str">
        <f t="shared" si="1"/>
        <v>s</v>
      </c>
      <c r="AY8" s="170" t="str">
        <f t="shared" si="1"/>
        <v>s</v>
      </c>
      <c r="AZ8" s="170" t="str">
        <f t="shared" si="1"/>
        <v>d</v>
      </c>
      <c r="BA8" s="170" t="str">
        <f t="shared" si="1"/>
        <v>s</v>
      </c>
      <c r="BB8" s="170" t="str">
        <f t="shared" si="1"/>
        <v>t</v>
      </c>
      <c r="BC8" s="170" t="str">
        <f t="shared" si="1"/>
        <v>q</v>
      </c>
      <c r="BD8" s="170" t="str">
        <f t="shared" si="1"/>
        <v>q</v>
      </c>
      <c r="BE8" s="170" t="str">
        <f t="shared" si="1"/>
        <v>s</v>
      </c>
      <c r="BF8" s="170" t="str">
        <f t="shared" si="1"/>
        <v>s</v>
      </c>
      <c r="BG8" s="170" t="str">
        <f t="shared" si="1"/>
        <v>d</v>
      </c>
      <c r="BH8" s="170" t="str">
        <f t="shared" si="1"/>
        <v>s</v>
      </c>
      <c r="BI8" s="170" t="str">
        <f t="shared" si="1"/>
        <v>t</v>
      </c>
      <c r="BJ8" s="170" t="str">
        <f t="shared" si="1"/>
        <v>q</v>
      </c>
      <c r="BK8" s="170" t="str">
        <f t="shared" si="1"/>
        <v>q</v>
      </c>
      <c r="BL8" s="170" t="str">
        <f t="shared" si="1"/>
        <v>s</v>
      </c>
      <c r="BM8" s="170" t="str">
        <f t="shared" si="1"/>
        <v>s</v>
      </c>
      <c r="BN8" s="170" t="str">
        <f t="shared" si="1"/>
        <v>d</v>
      </c>
    </row>
    <row r="9" spans="1:66" ht="30" hidden="1" customHeight="1" x14ac:dyDescent="0.25">
      <c r="A9" s="157" t="s">
        <v>481</v>
      </c>
      <c r="B9" s="157"/>
      <c r="C9" s="157"/>
      <c r="E9" s="1"/>
      <c r="J9" s="15" t="str">
        <f t="shared" ref="J9:J35" si="2">IF(OR(ISBLANK(início_da_tarefa),ISBLANK(término_da_tarefa)),"",término_da_tarefa-início_da_tarefa+1)</f>
        <v/>
      </c>
      <c r="K9" s="171"/>
      <c r="L9" s="171"/>
      <c r="M9" s="171"/>
      <c r="N9" s="171"/>
      <c r="O9" s="171"/>
      <c r="P9" s="171"/>
      <c r="Q9" s="171"/>
      <c r="R9" s="171"/>
      <c r="S9" s="171"/>
      <c r="T9" s="171"/>
      <c r="U9" s="171"/>
      <c r="V9" s="171"/>
      <c r="W9" s="171"/>
      <c r="X9" s="171"/>
      <c r="Y9" s="171"/>
      <c r="Z9" s="171"/>
      <c r="AA9" s="171"/>
      <c r="AB9" s="171"/>
      <c r="AC9" s="171"/>
      <c r="AD9" s="171"/>
      <c r="AE9" s="171"/>
      <c r="AF9" s="171"/>
      <c r="AG9" s="171"/>
      <c r="AH9" s="171"/>
      <c r="AI9" s="171"/>
      <c r="AJ9" s="171"/>
      <c r="AK9" s="171"/>
      <c r="AL9" s="171"/>
      <c r="AM9" s="171"/>
      <c r="AN9" s="171"/>
      <c r="AO9" s="171"/>
      <c r="AP9" s="171"/>
      <c r="AQ9" s="171"/>
      <c r="AR9" s="171"/>
      <c r="AS9" s="171"/>
      <c r="AT9" s="171"/>
      <c r="AU9" s="171"/>
      <c r="AV9" s="171"/>
      <c r="AW9" s="171"/>
      <c r="AX9" s="171"/>
      <c r="AY9" s="171"/>
      <c r="AZ9" s="171"/>
      <c r="BA9" s="171"/>
      <c r="BB9" s="171"/>
      <c r="BC9" s="171"/>
      <c r="BD9" s="171"/>
      <c r="BE9" s="171"/>
      <c r="BF9" s="171"/>
      <c r="BG9" s="171"/>
      <c r="BH9" s="171"/>
      <c r="BI9" s="171"/>
      <c r="BJ9" s="171"/>
      <c r="BK9" s="171"/>
      <c r="BL9" s="171"/>
      <c r="BM9" s="171"/>
      <c r="BN9" s="171"/>
    </row>
    <row r="10" spans="1:66" ht="30" customHeight="1" x14ac:dyDescent="0.25">
      <c r="A10" s="162" t="s">
        <v>482</v>
      </c>
      <c r="B10" s="162"/>
      <c r="C10" s="162"/>
      <c r="D10" s="172" t="s">
        <v>101</v>
      </c>
      <c r="E10" s="173"/>
      <c r="F10" s="174"/>
      <c r="G10" s="175"/>
      <c r="H10" s="176"/>
      <c r="I10" s="177"/>
      <c r="J10" s="177" t="str">
        <f t="shared" si="2"/>
        <v/>
      </c>
      <c r="K10" s="171"/>
      <c r="L10" s="171"/>
      <c r="M10" s="171"/>
      <c r="N10" s="171"/>
      <c r="O10" s="171"/>
      <c r="P10" s="171"/>
      <c r="Q10" s="171"/>
      <c r="R10" s="171"/>
      <c r="S10" s="171"/>
      <c r="T10" s="171"/>
      <c r="U10" s="171"/>
      <c r="V10" s="171"/>
      <c r="W10" s="171"/>
      <c r="X10" s="171"/>
      <c r="Y10" s="171"/>
      <c r="Z10" s="171"/>
      <c r="AA10" s="171"/>
      <c r="AB10" s="171"/>
      <c r="AC10" s="171"/>
      <c r="AD10" s="171"/>
      <c r="AE10" s="171"/>
      <c r="AF10" s="171"/>
      <c r="AG10" s="171"/>
      <c r="AH10" s="171"/>
      <c r="AI10" s="171"/>
      <c r="AJ10" s="171"/>
      <c r="AK10" s="171"/>
      <c r="AL10" s="171"/>
      <c r="AM10" s="171"/>
      <c r="AN10" s="171"/>
      <c r="AO10" s="171"/>
      <c r="AP10" s="171"/>
      <c r="AQ10" s="171"/>
      <c r="AR10" s="171"/>
      <c r="AS10" s="171"/>
      <c r="AT10" s="171"/>
      <c r="AU10" s="171"/>
      <c r="AV10" s="171"/>
      <c r="AW10" s="171"/>
      <c r="AX10" s="171"/>
      <c r="AY10" s="171"/>
      <c r="AZ10" s="171"/>
      <c r="BA10" s="171"/>
      <c r="BB10" s="171"/>
      <c r="BC10" s="171"/>
      <c r="BD10" s="171"/>
      <c r="BE10" s="171"/>
      <c r="BF10" s="171"/>
      <c r="BG10" s="171"/>
      <c r="BH10" s="171"/>
      <c r="BI10" s="171"/>
      <c r="BJ10" s="171"/>
      <c r="BK10" s="171"/>
      <c r="BL10" s="171"/>
      <c r="BM10" s="171"/>
      <c r="BN10" s="171"/>
    </row>
    <row r="11" spans="1:66" ht="30" customHeight="1" x14ac:dyDescent="0.25">
      <c r="A11" s="162" t="s">
        <v>483</v>
      </c>
      <c r="B11" s="162"/>
      <c r="C11" s="162"/>
      <c r="D11" s="178" t="s">
        <v>484</v>
      </c>
      <c r="E11" s="179"/>
      <c r="F11" s="180"/>
      <c r="G11" s="181">
        <f>Início_do_projeto</f>
        <v>45160</v>
      </c>
      <c r="H11" s="181">
        <f>G11+3</f>
        <v>45163</v>
      </c>
      <c r="I11" s="177"/>
      <c r="J11" s="177" t="str">
        <f t="shared" si="2"/>
        <v/>
      </c>
      <c r="K11" s="171"/>
      <c r="L11" s="171"/>
      <c r="M11" s="171"/>
      <c r="N11" s="171"/>
      <c r="O11" s="171"/>
      <c r="P11" s="171"/>
      <c r="Q11" s="171"/>
      <c r="R11" s="171"/>
      <c r="S11" s="171"/>
      <c r="T11" s="171"/>
      <c r="U11" s="171"/>
      <c r="V11" s="171"/>
      <c r="W11" s="171"/>
      <c r="X11" s="171"/>
      <c r="Y11" s="171"/>
      <c r="Z11" s="171"/>
      <c r="AA11" s="171"/>
      <c r="AB11" s="171"/>
      <c r="AC11" s="171"/>
      <c r="AD11" s="171"/>
      <c r="AE11" s="171"/>
      <c r="AF11" s="171"/>
      <c r="AG11" s="171"/>
      <c r="AH11" s="171"/>
      <c r="AI11" s="171"/>
      <c r="AJ11" s="171"/>
      <c r="AK11" s="171"/>
      <c r="AL11" s="171"/>
      <c r="AM11" s="171"/>
      <c r="AN11" s="171"/>
      <c r="AO11" s="171"/>
      <c r="AP11" s="171"/>
      <c r="AQ11" s="171"/>
      <c r="AR11" s="171"/>
      <c r="AS11" s="171"/>
      <c r="AT11" s="171"/>
      <c r="AU11" s="171"/>
      <c r="AV11" s="171"/>
      <c r="AW11" s="171"/>
      <c r="AX11" s="171"/>
      <c r="AY11" s="171"/>
      <c r="AZ11" s="171"/>
      <c r="BA11" s="171"/>
      <c r="BB11" s="171"/>
      <c r="BC11" s="171"/>
      <c r="BD11" s="171"/>
      <c r="BE11" s="171"/>
      <c r="BF11" s="171"/>
      <c r="BG11" s="171"/>
      <c r="BH11" s="171"/>
      <c r="BI11" s="171"/>
      <c r="BJ11" s="171"/>
      <c r="BK11" s="171"/>
      <c r="BL11" s="171"/>
      <c r="BM11" s="171"/>
      <c r="BN11" s="171"/>
    </row>
    <row r="12" spans="1:66" ht="30" customHeight="1" x14ac:dyDescent="0.25">
      <c r="A12" s="162" t="s">
        <v>485</v>
      </c>
      <c r="B12" s="162"/>
      <c r="C12" s="162"/>
      <c r="D12" s="178" t="s">
        <v>486</v>
      </c>
      <c r="E12" s="179"/>
      <c r="F12" s="180"/>
      <c r="G12" s="181"/>
      <c r="H12" s="181"/>
      <c r="I12" s="177"/>
      <c r="J12" s="177" t="str">
        <f t="shared" si="2"/>
        <v/>
      </c>
      <c r="K12" s="171"/>
      <c r="L12" s="171"/>
      <c r="M12" s="171"/>
      <c r="N12" s="171"/>
      <c r="O12" s="171"/>
      <c r="P12" s="171"/>
      <c r="Q12" s="171"/>
      <c r="R12" s="171"/>
      <c r="S12" s="171"/>
      <c r="T12" s="171"/>
      <c r="U12" s="171"/>
      <c r="V12" s="171"/>
      <c r="W12" s="182"/>
      <c r="X12" s="182"/>
      <c r="Y12" s="171"/>
      <c r="Z12" s="171"/>
      <c r="AA12" s="171"/>
      <c r="AB12" s="171"/>
      <c r="AC12" s="171"/>
      <c r="AD12" s="171"/>
      <c r="AE12" s="171"/>
      <c r="AF12" s="171"/>
      <c r="AG12" s="171"/>
      <c r="AH12" s="171"/>
      <c r="AI12" s="171"/>
      <c r="AJ12" s="171"/>
      <c r="AK12" s="171"/>
      <c r="AL12" s="171"/>
      <c r="AM12" s="171"/>
      <c r="AN12" s="171"/>
      <c r="AO12" s="171"/>
      <c r="AP12" s="171"/>
      <c r="AQ12" s="171"/>
      <c r="AR12" s="171"/>
      <c r="AS12" s="171"/>
      <c r="AT12" s="171"/>
      <c r="AU12" s="171"/>
      <c r="AV12" s="171"/>
      <c r="AW12" s="171"/>
      <c r="AX12" s="171"/>
      <c r="AY12" s="171"/>
      <c r="AZ12" s="171"/>
      <c r="BA12" s="171"/>
      <c r="BB12" s="171"/>
      <c r="BC12" s="171"/>
      <c r="BD12" s="171"/>
      <c r="BE12" s="171"/>
      <c r="BF12" s="171"/>
      <c r="BG12" s="171"/>
      <c r="BH12" s="171"/>
      <c r="BI12" s="171"/>
      <c r="BJ12" s="171"/>
      <c r="BK12" s="171"/>
      <c r="BL12" s="171"/>
      <c r="BM12" s="171"/>
      <c r="BN12" s="171"/>
    </row>
    <row r="13" spans="1:66" ht="30" customHeight="1" x14ac:dyDescent="0.25">
      <c r="A13" s="157"/>
      <c r="B13" s="157"/>
      <c r="C13" s="157"/>
      <c r="D13" s="178" t="s">
        <v>487</v>
      </c>
      <c r="E13" s="179"/>
      <c r="F13" s="180"/>
      <c r="G13" s="181"/>
      <c r="H13" s="181"/>
      <c r="I13" s="177"/>
      <c r="J13" s="177" t="str">
        <f t="shared" si="2"/>
        <v/>
      </c>
      <c r="K13" s="171"/>
      <c r="L13" s="171"/>
      <c r="M13" s="171"/>
      <c r="N13" s="171"/>
      <c r="O13" s="171"/>
      <c r="P13" s="171"/>
      <c r="Q13" s="171"/>
      <c r="R13" s="171"/>
      <c r="S13" s="171"/>
      <c r="T13" s="171"/>
      <c r="U13" s="171"/>
      <c r="V13" s="171"/>
      <c r="W13" s="171"/>
      <c r="X13" s="171"/>
      <c r="Y13" s="171"/>
      <c r="Z13" s="171"/>
      <c r="AA13" s="171"/>
      <c r="AB13" s="171"/>
      <c r="AC13" s="171"/>
      <c r="AD13" s="171"/>
      <c r="AE13" s="171"/>
      <c r="AF13" s="171"/>
      <c r="AG13" s="171"/>
      <c r="AH13" s="171"/>
      <c r="AI13" s="171"/>
      <c r="AJ13" s="171"/>
      <c r="AK13" s="171"/>
      <c r="AL13" s="171"/>
      <c r="AM13" s="171"/>
      <c r="AN13" s="171"/>
      <c r="AO13" s="171"/>
      <c r="AP13" s="171"/>
      <c r="AQ13" s="171"/>
      <c r="AR13" s="171"/>
      <c r="AS13" s="171"/>
      <c r="AT13" s="171"/>
      <c r="AU13" s="171"/>
      <c r="AV13" s="171"/>
      <c r="AW13" s="171"/>
      <c r="AX13" s="171"/>
      <c r="AY13" s="171"/>
      <c r="AZ13" s="171"/>
      <c r="BA13" s="171"/>
      <c r="BB13" s="171"/>
      <c r="BC13" s="171"/>
      <c r="BD13" s="171"/>
      <c r="BE13" s="171"/>
      <c r="BF13" s="171"/>
      <c r="BG13" s="171"/>
      <c r="BH13" s="171"/>
      <c r="BI13" s="171"/>
      <c r="BJ13" s="171"/>
      <c r="BK13" s="171"/>
      <c r="BL13" s="171"/>
      <c r="BM13" s="171"/>
      <c r="BN13" s="171"/>
    </row>
    <row r="14" spans="1:66" ht="30" customHeight="1" x14ac:dyDescent="0.25">
      <c r="A14" s="157"/>
      <c r="B14" s="157"/>
      <c r="C14" s="157"/>
      <c r="D14" s="178" t="s">
        <v>488</v>
      </c>
      <c r="E14" s="179"/>
      <c r="F14" s="180"/>
      <c r="G14" s="181"/>
      <c r="H14" s="181"/>
      <c r="I14" s="177"/>
      <c r="J14" s="177" t="str">
        <f t="shared" si="2"/>
        <v/>
      </c>
      <c r="K14" s="171"/>
      <c r="L14" s="171"/>
      <c r="M14" s="171"/>
      <c r="N14" s="171"/>
      <c r="O14" s="171"/>
      <c r="P14" s="171"/>
      <c r="Q14" s="171"/>
      <c r="R14" s="171"/>
      <c r="S14" s="171"/>
      <c r="T14" s="171"/>
      <c r="U14" s="171"/>
      <c r="V14" s="171"/>
      <c r="W14" s="171"/>
      <c r="X14" s="171"/>
      <c r="Y14" s="171"/>
      <c r="Z14" s="171"/>
      <c r="AA14" s="182"/>
      <c r="AB14" s="171"/>
      <c r="AC14" s="171"/>
      <c r="AD14" s="171"/>
      <c r="AE14" s="171"/>
      <c r="AF14" s="171"/>
      <c r="AG14" s="171"/>
      <c r="AH14" s="171"/>
      <c r="AI14" s="171"/>
      <c r="AJ14" s="171"/>
      <c r="AK14" s="171"/>
      <c r="AL14" s="171"/>
      <c r="AM14" s="171"/>
      <c r="AN14" s="171"/>
      <c r="AO14" s="171"/>
      <c r="AP14" s="171"/>
      <c r="AQ14" s="171"/>
      <c r="AR14" s="171"/>
      <c r="AS14" s="171"/>
      <c r="AT14" s="171"/>
      <c r="AU14" s="171"/>
      <c r="AV14" s="171"/>
      <c r="AW14" s="171"/>
      <c r="AX14" s="171"/>
      <c r="AY14" s="171"/>
      <c r="AZ14" s="171"/>
      <c r="BA14" s="171"/>
      <c r="BB14" s="171"/>
      <c r="BC14" s="171"/>
      <c r="BD14" s="171"/>
      <c r="BE14" s="171"/>
      <c r="BF14" s="171"/>
      <c r="BG14" s="171"/>
      <c r="BH14" s="171"/>
      <c r="BI14" s="171"/>
      <c r="BJ14" s="171"/>
      <c r="BK14" s="171"/>
      <c r="BL14" s="171"/>
      <c r="BM14" s="171"/>
      <c r="BN14" s="171"/>
    </row>
    <row r="15" spans="1:66" ht="30" customHeight="1" x14ac:dyDescent="0.25">
      <c r="A15" s="157"/>
      <c r="B15" s="157"/>
      <c r="C15" s="157"/>
      <c r="D15" s="178" t="s">
        <v>489</v>
      </c>
      <c r="E15" s="179"/>
      <c r="F15" s="180"/>
      <c r="G15" s="181"/>
      <c r="H15" s="181"/>
      <c r="I15" s="177"/>
      <c r="J15" s="177" t="str">
        <f t="shared" si="2"/>
        <v/>
      </c>
      <c r="K15" s="171"/>
      <c r="L15" s="171"/>
      <c r="M15" s="171"/>
      <c r="N15" s="171"/>
      <c r="O15" s="171"/>
      <c r="P15" s="171"/>
      <c r="Q15" s="171"/>
      <c r="R15" s="171"/>
      <c r="S15" s="171"/>
      <c r="T15" s="171"/>
      <c r="U15" s="171"/>
      <c r="V15" s="171"/>
      <c r="W15" s="171"/>
      <c r="X15" s="171"/>
      <c r="Y15" s="171"/>
      <c r="Z15" s="171"/>
      <c r="AA15" s="171"/>
      <c r="AB15" s="171"/>
      <c r="AC15" s="171"/>
      <c r="AD15" s="171"/>
      <c r="AE15" s="171"/>
      <c r="AF15" s="171"/>
      <c r="AG15" s="171"/>
      <c r="AH15" s="171"/>
      <c r="AI15" s="171"/>
      <c r="AJ15" s="171"/>
      <c r="AK15" s="171"/>
      <c r="AL15" s="171"/>
      <c r="AM15" s="171"/>
      <c r="AN15" s="171"/>
      <c r="AO15" s="171"/>
      <c r="AP15" s="171"/>
      <c r="AQ15" s="171"/>
      <c r="AR15" s="171"/>
      <c r="AS15" s="171"/>
      <c r="AT15" s="171"/>
      <c r="AU15" s="171"/>
      <c r="AV15" s="171"/>
      <c r="AW15" s="171"/>
      <c r="AX15" s="171"/>
      <c r="AY15" s="171"/>
      <c r="AZ15" s="171"/>
      <c r="BA15" s="171"/>
      <c r="BB15" s="171"/>
      <c r="BC15" s="171"/>
      <c r="BD15" s="171"/>
      <c r="BE15" s="171"/>
      <c r="BF15" s="171"/>
      <c r="BG15" s="171"/>
      <c r="BH15" s="171"/>
      <c r="BI15" s="171"/>
      <c r="BJ15" s="171"/>
      <c r="BK15" s="171"/>
      <c r="BL15" s="171"/>
      <c r="BM15" s="171"/>
      <c r="BN15" s="171"/>
    </row>
    <row r="16" spans="1:66" ht="30" customHeight="1" x14ac:dyDescent="0.25">
      <c r="A16" s="162" t="s">
        <v>490</v>
      </c>
      <c r="B16" s="162"/>
      <c r="C16" s="162"/>
      <c r="D16" s="183" t="s">
        <v>491</v>
      </c>
      <c r="E16" s="184"/>
      <c r="F16" s="185"/>
      <c r="G16" s="186"/>
      <c r="H16" s="187"/>
      <c r="I16" s="177"/>
      <c r="J16" s="177" t="str">
        <f t="shared" si="2"/>
        <v/>
      </c>
      <c r="K16" s="171"/>
      <c r="L16" s="171"/>
      <c r="M16" s="171"/>
      <c r="N16" s="171"/>
      <c r="O16" s="171"/>
      <c r="P16" s="171"/>
      <c r="Q16" s="171"/>
      <c r="R16" s="171"/>
      <c r="S16" s="171"/>
      <c r="T16" s="171"/>
      <c r="U16" s="171"/>
      <c r="V16" s="171"/>
      <c r="W16" s="171"/>
      <c r="X16" s="171"/>
      <c r="Y16" s="171"/>
      <c r="Z16" s="171"/>
      <c r="AA16" s="171"/>
      <c r="AB16" s="171"/>
      <c r="AC16" s="171"/>
      <c r="AD16" s="171"/>
      <c r="AE16" s="171"/>
      <c r="AF16" s="171"/>
      <c r="AG16" s="171"/>
      <c r="AH16" s="171"/>
      <c r="AI16" s="171"/>
      <c r="AJ16" s="171"/>
      <c r="AK16" s="171"/>
      <c r="AL16" s="171"/>
      <c r="AM16" s="171"/>
      <c r="AN16" s="171"/>
      <c r="AO16" s="171"/>
      <c r="AP16" s="171"/>
      <c r="AQ16" s="171"/>
      <c r="AR16" s="171"/>
      <c r="AS16" s="171"/>
      <c r="AT16" s="171"/>
      <c r="AU16" s="171"/>
      <c r="AV16" s="171"/>
      <c r="AW16" s="171"/>
      <c r="AX16" s="171"/>
      <c r="AY16" s="171"/>
      <c r="AZ16" s="171"/>
      <c r="BA16" s="171"/>
      <c r="BB16" s="171"/>
      <c r="BC16" s="171"/>
      <c r="BD16" s="171"/>
      <c r="BE16" s="171"/>
      <c r="BF16" s="171"/>
      <c r="BG16" s="171"/>
      <c r="BH16" s="171"/>
      <c r="BI16" s="171"/>
      <c r="BJ16" s="171"/>
      <c r="BK16" s="171"/>
      <c r="BL16" s="171"/>
      <c r="BM16" s="171"/>
      <c r="BN16" s="171"/>
    </row>
    <row r="17" spans="1:66" ht="30" customHeight="1" x14ac:dyDescent="0.25">
      <c r="A17" s="162"/>
      <c r="B17" s="162"/>
      <c r="C17" s="162"/>
      <c r="D17" s="188" t="s">
        <v>492</v>
      </c>
      <c r="E17" s="189"/>
      <c r="F17" s="190"/>
      <c r="G17" s="191"/>
      <c r="H17" s="191"/>
      <c r="I17" s="177"/>
      <c r="J17" s="177" t="str">
        <f t="shared" si="2"/>
        <v/>
      </c>
      <c r="K17" s="171"/>
      <c r="L17" s="171"/>
      <c r="M17" s="171"/>
      <c r="N17" s="171"/>
      <c r="O17" s="171"/>
      <c r="P17" s="171"/>
      <c r="Q17" s="171"/>
      <c r="R17" s="171"/>
      <c r="S17" s="171"/>
      <c r="T17" s="171"/>
      <c r="U17" s="171"/>
      <c r="V17" s="171"/>
      <c r="W17" s="171"/>
      <c r="X17" s="171"/>
      <c r="Y17" s="171"/>
      <c r="Z17" s="171"/>
      <c r="AA17" s="171"/>
      <c r="AB17" s="171"/>
      <c r="AC17" s="171"/>
      <c r="AD17" s="171"/>
      <c r="AE17" s="171"/>
      <c r="AF17" s="171"/>
      <c r="AG17" s="171"/>
      <c r="AH17" s="171"/>
      <c r="AI17" s="171"/>
      <c r="AJ17" s="171"/>
      <c r="AK17" s="171"/>
      <c r="AL17" s="171"/>
      <c r="AM17" s="171"/>
      <c r="AN17" s="171"/>
      <c r="AO17" s="171"/>
      <c r="AP17" s="171"/>
      <c r="AQ17" s="171"/>
      <c r="AR17" s="171"/>
      <c r="AS17" s="171"/>
      <c r="AT17" s="171"/>
      <c r="AU17" s="171"/>
      <c r="AV17" s="171"/>
      <c r="AW17" s="171"/>
      <c r="AX17" s="171"/>
      <c r="AY17" s="171"/>
      <c r="AZ17" s="171"/>
      <c r="BA17" s="171"/>
      <c r="BB17" s="171"/>
      <c r="BC17" s="171"/>
      <c r="BD17" s="171"/>
      <c r="BE17" s="171"/>
      <c r="BF17" s="171"/>
      <c r="BG17" s="171"/>
      <c r="BH17" s="171"/>
      <c r="BI17" s="171"/>
      <c r="BJ17" s="171"/>
      <c r="BK17" s="171"/>
      <c r="BL17" s="171"/>
      <c r="BM17" s="171"/>
      <c r="BN17" s="171"/>
    </row>
    <row r="18" spans="1:66" ht="30" customHeight="1" x14ac:dyDescent="0.25">
      <c r="A18" s="157"/>
      <c r="B18" s="157"/>
      <c r="C18" s="157"/>
      <c r="D18" s="188" t="s">
        <v>486</v>
      </c>
      <c r="E18" s="189"/>
      <c r="F18" s="190"/>
      <c r="G18" s="191"/>
      <c r="H18" s="191"/>
      <c r="I18" s="177"/>
      <c r="J18" s="177" t="str">
        <f t="shared" si="2"/>
        <v/>
      </c>
      <c r="K18" s="171"/>
      <c r="L18" s="171"/>
      <c r="M18" s="171"/>
      <c r="N18" s="171"/>
      <c r="O18" s="171"/>
      <c r="P18" s="171"/>
      <c r="Q18" s="171"/>
      <c r="R18" s="171"/>
      <c r="S18" s="171"/>
      <c r="T18" s="171"/>
      <c r="U18" s="171"/>
      <c r="V18" s="171"/>
      <c r="W18" s="182"/>
      <c r="X18" s="182"/>
      <c r="Y18" s="171"/>
      <c r="Z18" s="171"/>
      <c r="AA18" s="171"/>
      <c r="AB18" s="171"/>
      <c r="AC18" s="171"/>
      <c r="AD18" s="171"/>
      <c r="AE18" s="171"/>
      <c r="AF18" s="171"/>
      <c r="AG18" s="171"/>
      <c r="AH18" s="171"/>
      <c r="AI18" s="171"/>
      <c r="AJ18" s="171"/>
      <c r="AK18" s="171"/>
      <c r="AL18" s="171"/>
      <c r="AM18" s="171"/>
      <c r="AN18" s="171"/>
      <c r="AO18" s="171"/>
      <c r="AP18" s="171"/>
      <c r="AQ18" s="171"/>
      <c r="AR18" s="171"/>
      <c r="AS18" s="171"/>
      <c r="AT18" s="171"/>
      <c r="AU18" s="171"/>
      <c r="AV18" s="171"/>
      <c r="AW18" s="171"/>
      <c r="AX18" s="171"/>
      <c r="AY18" s="171"/>
      <c r="AZ18" s="171"/>
      <c r="BA18" s="171"/>
      <c r="BB18" s="171"/>
      <c r="BC18" s="171"/>
      <c r="BD18" s="171"/>
      <c r="BE18" s="171"/>
      <c r="BF18" s="171"/>
      <c r="BG18" s="171"/>
      <c r="BH18" s="171"/>
      <c r="BI18" s="171"/>
      <c r="BJ18" s="171"/>
      <c r="BK18" s="171"/>
      <c r="BL18" s="171"/>
      <c r="BM18" s="171"/>
      <c r="BN18" s="171"/>
    </row>
    <row r="19" spans="1:66" ht="30" customHeight="1" x14ac:dyDescent="0.25">
      <c r="A19" s="157"/>
      <c r="B19" s="157"/>
      <c r="C19" s="157"/>
      <c r="D19" s="188" t="s">
        <v>487</v>
      </c>
      <c r="E19" s="189"/>
      <c r="F19" s="190"/>
      <c r="G19" s="191"/>
      <c r="H19" s="191"/>
      <c r="I19" s="177"/>
      <c r="J19" s="177" t="str">
        <f t="shared" si="2"/>
        <v/>
      </c>
      <c r="K19" s="171"/>
      <c r="L19" s="171"/>
      <c r="M19" s="171"/>
      <c r="N19" s="171"/>
      <c r="O19" s="171"/>
      <c r="P19" s="171"/>
      <c r="Q19" s="171"/>
      <c r="R19" s="171"/>
      <c r="S19" s="171"/>
      <c r="T19" s="171"/>
      <c r="U19" s="171"/>
      <c r="V19" s="171"/>
      <c r="W19" s="171"/>
      <c r="X19" s="171"/>
      <c r="Y19" s="171"/>
      <c r="Z19" s="171"/>
      <c r="AA19" s="171"/>
      <c r="AB19" s="171"/>
      <c r="AC19" s="171"/>
      <c r="AD19" s="171"/>
      <c r="AE19" s="171"/>
      <c r="AF19" s="171"/>
      <c r="AG19" s="171"/>
      <c r="AH19" s="171"/>
      <c r="AI19" s="171"/>
      <c r="AJ19" s="171"/>
      <c r="AK19" s="171"/>
      <c r="AL19" s="171"/>
      <c r="AM19" s="171"/>
      <c r="AN19" s="171"/>
      <c r="AO19" s="171"/>
      <c r="AP19" s="171"/>
      <c r="AQ19" s="171"/>
      <c r="AR19" s="171"/>
      <c r="AS19" s="171"/>
      <c r="AT19" s="171"/>
      <c r="AU19" s="171"/>
      <c r="AV19" s="171"/>
      <c r="AW19" s="171"/>
      <c r="AX19" s="171"/>
      <c r="AY19" s="171"/>
      <c r="AZ19" s="171"/>
      <c r="BA19" s="171"/>
      <c r="BB19" s="171"/>
      <c r="BC19" s="171"/>
      <c r="BD19" s="171"/>
      <c r="BE19" s="171"/>
      <c r="BF19" s="171"/>
      <c r="BG19" s="171"/>
      <c r="BH19" s="171"/>
      <c r="BI19" s="171"/>
      <c r="BJ19" s="171"/>
      <c r="BK19" s="171"/>
      <c r="BL19" s="171"/>
      <c r="BM19" s="171"/>
      <c r="BN19" s="171"/>
    </row>
    <row r="20" spans="1:66" ht="30" customHeight="1" x14ac:dyDescent="0.25">
      <c r="A20" s="157"/>
      <c r="B20" s="157"/>
      <c r="C20" s="157"/>
      <c r="D20" s="188" t="s">
        <v>488</v>
      </c>
      <c r="E20" s="189"/>
      <c r="F20" s="190"/>
      <c r="G20" s="191"/>
      <c r="H20" s="191"/>
      <c r="I20" s="177"/>
      <c r="J20" s="177" t="str">
        <f t="shared" si="2"/>
        <v/>
      </c>
      <c r="K20" s="171"/>
      <c r="L20" s="171"/>
      <c r="M20" s="171"/>
      <c r="N20" s="171"/>
      <c r="O20" s="171"/>
      <c r="P20" s="171"/>
      <c r="Q20" s="171"/>
      <c r="R20" s="171"/>
      <c r="S20" s="171"/>
      <c r="T20" s="171"/>
      <c r="U20" s="171"/>
      <c r="V20" s="171"/>
      <c r="W20" s="171"/>
      <c r="X20" s="171"/>
      <c r="Y20" s="171"/>
      <c r="Z20" s="171"/>
      <c r="AA20" s="182"/>
      <c r="AB20" s="171"/>
      <c r="AC20" s="171"/>
      <c r="AD20" s="171"/>
      <c r="AE20" s="171"/>
      <c r="AF20" s="171"/>
      <c r="AG20" s="171"/>
      <c r="AH20" s="171"/>
      <c r="AI20" s="171"/>
      <c r="AJ20" s="171"/>
      <c r="AK20" s="171"/>
      <c r="AL20" s="171"/>
      <c r="AM20" s="171"/>
      <c r="AN20" s="171"/>
      <c r="AO20" s="171"/>
      <c r="AP20" s="171"/>
      <c r="AQ20" s="171"/>
      <c r="AR20" s="171"/>
      <c r="AS20" s="171"/>
      <c r="AT20" s="171"/>
      <c r="AU20" s="171"/>
      <c r="AV20" s="171"/>
      <c r="AW20" s="171"/>
      <c r="AX20" s="171"/>
      <c r="AY20" s="171"/>
      <c r="AZ20" s="171"/>
      <c r="BA20" s="171"/>
      <c r="BB20" s="171"/>
      <c r="BC20" s="171"/>
      <c r="BD20" s="171"/>
      <c r="BE20" s="171"/>
      <c r="BF20" s="171"/>
      <c r="BG20" s="171"/>
      <c r="BH20" s="171"/>
      <c r="BI20" s="171"/>
      <c r="BJ20" s="171"/>
      <c r="BK20" s="171"/>
      <c r="BL20" s="171"/>
      <c r="BM20" s="171"/>
      <c r="BN20" s="171"/>
    </row>
    <row r="21" spans="1:66" ht="30" customHeight="1" x14ac:dyDescent="0.25">
      <c r="A21" s="157"/>
      <c r="B21" s="157"/>
      <c r="C21" s="157"/>
      <c r="D21" s="188" t="s">
        <v>489</v>
      </c>
      <c r="E21" s="189"/>
      <c r="F21" s="190"/>
      <c r="G21" s="191"/>
      <c r="H21" s="191"/>
      <c r="I21" s="177"/>
      <c r="J21" s="177" t="str">
        <f t="shared" si="2"/>
        <v/>
      </c>
      <c r="K21" s="171"/>
      <c r="L21" s="171"/>
      <c r="M21" s="171"/>
      <c r="N21" s="171"/>
      <c r="O21" s="171"/>
      <c r="P21" s="171"/>
      <c r="Q21" s="171"/>
      <c r="R21" s="171"/>
      <c r="S21" s="171"/>
      <c r="T21" s="171"/>
      <c r="U21" s="171"/>
      <c r="V21" s="171"/>
      <c r="W21" s="171"/>
      <c r="X21" s="171"/>
      <c r="Y21" s="171"/>
      <c r="Z21" s="171"/>
      <c r="AA21" s="171"/>
      <c r="AB21" s="171"/>
      <c r="AC21" s="171"/>
      <c r="AD21" s="171"/>
      <c r="AE21" s="171"/>
      <c r="AF21" s="171"/>
      <c r="AG21" s="171"/>
      <c r="AH21" s="171"/>
      <c r="AI21" s="171"/>
      <c r="AJ21" s="171"/>
      <c r="AK21" s="171"/>
      <c r="AL21" s="171"/>
      <c r="AM21" s="171"/>
      <c r="AN21" s="171"/>
      <c r="AO21" s="171"/>
      <c r="AP21" s="171"/>
      <c r="AQ21" s="171"/>
      <c r="AR21" s="171"/>
      <c r="AS21" s="171"/>
      <c r="AT21" s="171"/>
      <c r="AU21" s="171"/>
      <c r="AV21" s="171"/>
      <c r="AW21" s="171"/>
      <c r="AX21" s="171"/>
      <c r="AY21" s="171"/>
      <c r="AZ21" s="171"/>
      <c r="BA21" s="171"/>
      <c r="BB21" s="171"/>
      <c r="BC21" s="171"/>
      <c r="BD21" s="171"/>
      <c r="BE21" s="171"/>
      <c r="BF21" s="171"/>
      <c r="BG21" s="171"/>
      <c r="BH21" s="171"/>
      <c r="BI21" s="171"/>
      <c r="BJ21" s="171"/>
      <c r="BK21" s="171"/>
      <c r="BL21" s="171"/>
      <c r="BM21" s="171"/>
      <c r="BN21" s="171"/>
    </row>
    <row r="22" spans="1:66" ht="30" customHeight="1" x14ac:dyDescent="0.25">
      <c r="A22" s="157" t="s">
        <v>493</v>
      </c>
      <c r="B22" s="157"/>
      <c r="C22" s="157"/>
      <c r="D22" s="192" t="s">
        <v>494</v>
      </c>
      <c r="E22" s="193"/>
      <c r="F22" s="194"/>
      <c r="G22" s="195"/>
      <c r="H22" s="196"/>
      <c r="I22" s="177"/>
      <c r="J22" s="177" t="str">
        <f t="shared" si="2"/>
        <v/>
      </c>
      <c r="K22" s="171"/>
      <c r="L22" s="171"/>
      <c r="M22" s="171"/>
      <c r="N22" s="171"/>
      <c r="O22" s="171"/>
      <c r="P22" s="171"/>
      <c r="Q22" s="171"/>
      <c r="R22" s="171"/>
      <c r="S22" s="171"/>
      <c r="T22" s="171"/>
      <c r="U22" s="171"/>
      <c r="V22" s="171"/>
      <c r="W22" s="171"/>
      <c r="X22" s="171"/>
      <c r="Y22" s="171"/>
      <c r="Z22" s="171"/>
      <c r="AA22" s="171"/>
      <c r="AB22" s="171"/>
      <c r="AC22" s="171"/>
      <c r="AD22" s="171"/>
      <c r="AE22" s="171"/>
      <c r="AF22" s="171"/>
      <c r="AG22" s="171"/>
      <c r="AH22" s="171"/>
      <c r="AI22" s="171"/>
      <c r="AJ22" s="171"/>
      <c r="AK22" s="171"/>
      <c r="AL22" s="171"/>
      <c r="AM22" s="171"/>
      <c r="AN22" s="171"/>
      <c r="AO22" s="171"/>
      <c r="AP22" s="171"/>
      <c r="AQ22" s="171"/>
      <c r="AR22" s="171"/>
      <c r="AS22" s="171"/>
      <c r="AT22" s="171"/>
      <c r="AU22" s="171"/>
      <c r="AV22" s="171"/>
      <c r="AW22" s="171"/>
      <c r="AX22" s="171"/>
      <c r="AY22" s="171"/>
      <c r="AZ22" s="171"/>
      <c r="BA22" s="171"/>
      <c r="BB22" s="171"/>
      <c r="BC22" s="171"/>
      <c r="BD22" s="171"/>
      <c r="BE22" s="171"/>
      <c r="BF22" s="171"/>
      <c r="BG22" s="171"/>
      <c r="BH22" s="171"/>
      <c r="BI22" s="171"/>
      <c r="BJ22" s="171"/>
      <c r="BK22" s="171"/>
      <c r="BL22" s="171"/>
      <c r="BM22" s="171"/>
      <c r="BN22" s="171"/>
    </row>
    <row r="23" spans="1:66" ht="30" customHeight="1" x14ac:dyDescent="0.25">
      <c r="A23" s="157"/>
      <c r="B23" s="157"/>
      <c r="C23" s="157"/>
      <c r="D23" s="197" t="s">
        <v>492</v>
      </c>
      <c r="E23" s="198"/>
      <c r="F23" s="199"/>
      <c r="G23" s="200"/>
      <c r="H23" s="200"/>
      <c r="I23" s="177"/>
      <c r="J23" s="177" t="str">
        <f t="shared" si="2"/>
        <v/>
      </c>
      <c r="K23" s="171"/>
      <c r="L23" s="171"/>
      <c r="M23" s="171"/>
      <c r="N23" s="171"/>
      <c r="O23" s="171"/>
      <c r="P23" s="171"/>
      <c r="Q23" s="171"/>
      <c r="R23" s="171"/>
      <c r="S23" s="171"/>
      <c r="T23" s="171"/>
      <c r="U23" s="171"/>
      <c r="V23" s="171"/>
      <c r="W23" s="171"/>
      <c r="X23" s="171"/>
      <c r="Y23" s="171"/>
      <c r="Z23" s="171"/>
      <c r="AA23" s="171"/>
      <c r="AB23" s="171"/>
      <c r="AC23" s="171"/>
      <c r="AD23" s="171"/>
      <c r="AE23" s="171"/>
      <c r="AF23" s="171"/>
      <c r="AG23" s="171"/>
      <c r="AH23" s="171"/>
      <c r="AI23" s="171"/>
      <c r="AJ23" s="171"/>
      <c r="AK23" s="171"/>
      <c r="AL23" s="171"/>
      <c r="AM23" s="171"/>
      <c r="AN23" s="171"/>
      <c r="AO23" s="171"/>
      <c r="AP23" s="171"/>
      <c r="AQ23" s="171"/>
      <c r="AR23" s="171"/>
      <c r="AS23" s="171"/>
      <c r="AT23" s="171"/>
      <c r="AU23" s="171"/>
      <c r="AV23" s="171"/>
      <c r="AW23" s="171"/>
      <c r="AX23" s="171"/>
      <c r="AY23" s="171"/>
      <c r="AZ23" s="171"/>
      <c r="BA23" s="171"/>
      <c r="BB23" s="171"/>
      <c r="BC23" s="171"/>
      <c r="BD23" s="171"/>
      <c r="BE23" s="171"/>
      <c r="BF23" s="171"/>
      <c r="BG23" s="171"/>
      <c r="BH23" s="171"/>
      <c r="BI23" s="171"/>
      <c r="BJ23" s="171"/>
      <c r="BK23" s="171"/>
      <c r="BL23" s="171"/>
      <c r="BM23" s="171"/>
      <c r="BN23" s="171"/>
    </row>
    <row r="24" spans="1:66" ht="30" customHeight="1" x14ac:dyDescent="0.25">
      <c r="A24" s="157"/>
      <c r="B24" s="157"/>
      <c r="C24" s="157"/>
      <c r="D24" s="197" t="s">
        <v>486</v>
      </c>
      <c r="E24" s="198"/>
      <c r="F24" s="199"/>
      <c r="G24" s="200"/>
      <c r="H24" s="200"/>
      <c r="I24" s="177"/>
      <c r="J24" s="177" t="str">
        <f t="shared" si="2"/>
        <v/>
      </c>
      <c r="K24" s="171"/>
      <c r="L24" s="171"/>
      <c r="M24" s="171"/>
      <c r="N24" s="171"/>
      <c r="O24" s="171"/>
      <c r="P24" s="171"/>
      <c r="Q24" s="171"/>
      <c r="R24" s="171"/>
      <c r="S24" s="171"/>
      <c r="T24" s="171"/>
      <c r="U24" s="171"/>
      <c r="V24" s="171"/>
      <c r="W24" s="171"/>
      <c r="X24" s="171"/>
      <c r="Y24" s="171"/>
      <c r="Z24" s="171"/>
      <c r="AA24" s="171"/>
      <c r="AB24" s="171"/>
      <c r="AC24" s="171"/>
      <c r="AD24" s="171"/>
      <c r="AE24" s="171"/>
      <c r="AF24" s="171"/>
      <c r="AG24" s="171"/>
      <c r="AH24" s="171"/>
      <c r="AI24" s="171"/>
      <c r="AJ24" s="171"/>
      <c r="AK24" s="171"/>
      <c r="AL24" s="171"/>
      <c r="AM24" s="171"/>
      <c r="AN24" s="171"/>
      <c r="AO24" s="171"/>
      <c r="AP24" s="171"/>
      <c r="AQ24" s="171"/>
      <c r="AR24" s="171"/>
      <c r="AS24" s="171"/>
      <c r="AT24" s="171"/>
      <c r="AU24" s="171"/>
      <c r="AV24" s="171"/>
      <c r="AW24" s="171"/>
      <c r="AX24" s="171"/>
      <c r="AY24" s="171"/>
      <c r="AZ24" s="171"/>
      <c r="BA24" s="171"/>
      <c r="BB24" s="171"/>
      <c r="BC24" s="171"/>
      <c r="BD24" s="171"/>
      <c r="BE24" s="171"/>
      <c r="BF24" s="171"/>
      <c r="BG24" s="171"/>
      <c r="BH24" s="171"/>
      <c r="BI24" s="171"/>
      <c r="BJ24" s="171"/>
      <c r="BK24" s="171"/>
      <c r="BL24" s="171"/>
      <c r="BM24" s="171"/>
      <c r="BN24" s="171"/>
    </row>
    <row r="25" spans="1:66" ht="30" customHeight="1" x14ac:dyDescent="0.25">
      <c r="A25" s="157"/>
      <c r="B25" s="157"/>
      <c r="C25" s="157"/>
      <c r="D25" s="197" t="s">
        <v>487</v>
      </c>
      <c r="E25" s="198"/>
      <c r="F25" s="199"/>
      <c r="G25" s="200"/>
      <c r="H25" s="200"/>
      <c r="I25" s="177"/>
      <c r="J25" s="177" t="str">
        <f t="shared" si="2"/>
        <v/>
      </c>
      <c r="K25" s="171"/>
      <c r="L25" s="171"/>
      <c r="M25" s="171"/>
      <c r="N25" s="171"/>
      <c r="O25" s="171"/>
      <c r="P25" s="171"/>
      <c r="Q25" s="171"/>
      <c r="R25" s="171"/>
      <c r="S25" s="171"/>
      <c r="T25" s="171"/>
      <c r="U25" s="171"/>
      <c r="V25" s="171"/>
      <c r="W25" s="171"/>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71"/>
      <c r="AX25" s="171"/>
      <c r="AY25" s="171"/>
      <c r="AZ25" s="171"/>
      <c r="BA25" s="171"/>
      <c r="BB25" s="171"/>
      <c r="BC25" s="171"/>
      <c r="BD25" s="171"/>
      <c r="BE25" s="171"/>
      <c r="BF25" s="171"/>
      <c r="BG25" s="171"/>
      <c r="BH25" s="171"/>
      <c r="BI25" s="171"/>
      <c r="BJ25" s="171"/>
      <c r="BK25" s="171"/>
      <c r="BL25" s="171"/>
      <c r="BM25" s="171"/>
      <c r="BN25" s="171"/>
    </row>
    <row r="26" spans="1:66" ht="30" customHeight="1" x14ac:dyDescent="0.25">
      <c r="A26" s="157"/>
      <c r="B26" s="157"/>
      <c r="C26" s="157"/>
      <c r="D26" s="197" t="s">
        <v>488</v>
      </c>
      <c r="E26" s="198"/>
      <c r="F26" s="199"/>
      <c r="G26" s="200"/>
      <c r="H26" s="200"/>
      <c r="I26" s="177"/>
      <c r="J26" s="177" t="str">
        <f t="shared" si="2"/>
        <v/>
      </c>
      <c r="K26" s="171"/>
      <c r="L26" s="171"/>
      <c r="M26" s="171"/>
      <c r="N26" s="171"/>
      <c r="O26" s="171"/>
      <c r="P26" s="171"/>
      <c r="Q26" s="171"/>
      <c r="R26" s="171"/>
      <c r="S26" s="171"/>
      <c r="T26" s="171"/>
      <c r="U26" s="171"/>
      <c r="V26" s="171"/>
      <c r="W26" s="171"/>
      <c r="X26" s="171"/>
      <c r="Y26" s="171"/>
      <c r="Z26" s="171"/>
      <c r="AA26" s="171"/>
      <c r="AB26" s="171"/>
      <c r="AC26" s="171"/>
      <c r="AD26" s="171"/>
      <c r="AE26" s="171"/>
      <c r="AF26" s="171"/>
      <c r="AG26" s="171"/>
      <c r="AH26" s="171"/>
      <c r="AI26" s="171"/>
      <c r="AJ26" s="171"/>
      <c r="AK26" s="171"/>
      <c r="AL26" s="171"/>
      <c r="AM26" s="171"/>
      <c r="AN26" s="171"/>
      <c r="AO26" s="171"/>
      <c r="AP26" s="171"/>
      <c r="AQ26" s="171"/>
      <c r="AR26" s="171"/>
      <c r="AS26" s="171"/>
      <c r="AT26" s="171"/>
      <c r="AU26" s="171"/>
      <c r="AV26" s="171"/>
      <c r="AW26" s="171"/>
      <c r="AX26" s="171"/>
      <c r="AY26" s="171"/>
      <c r="AZ26" s="171"/>
      <c r="BA26" s="171"/>
      <c r="BB26" s="171"/>
      <c r="BC26" s="171"/>
      <c r="BD26" s="171"/>
      <c r="BE26" s="171"/>
      <c r="BF26" s="171"/>
      <c r="BG26" s="171"/>
      <c r="BH26" s="171"/>
      <c r="BI26" s="171"/>
      <c r="BJ26" s="171"/>
      <c r="BK26" s="171"/>
      <c r="BL26" s="171"/>
      <c r="BM26" s="171"/>
      <c r="BN26" s="171"/>
    </row>
    <row r="27" spans="1:66" ht="30" customHeight="1" x14ac:dyDescent="0.25">
      <c r="A27" s="157"/>
      <c r="B27" s="157"/>
      <c r="C27" s="157"/>
      <c r="D27" s="197" t="s">
        <v>489</v>
      </c>
      <c r="E27" s="198"/>
      <c r="F27" s="199"/>
      <c r="G27" s="200"/>
      <c r="H27" s="200"/>
      <c r="I27" s="177"/>
      <c r="J27" s="177" t="str">
        <f t="shared" si="2"/>
        <v/>
      </c>
      <c r="K27" s="171"/>
      <c r="L27" s="171"/>
      <c r="M27" s="171"/>
      <c r="N27" s="171"/>
      <c r="O27" s="171"/>
      <c r="P27" s="171"/>
      <c r="Q27" s="171"/>
      <c r="R27" s="171"/>
      <c r="S27" s="171"/>
      <c r="T27" s="171"/>
      <c r="U27" s="171"/>
      <c r="V27" s="171"/>
      <c r="W27" s="171"/>
      <c r="X27" s="171"/>
      <c r="Y27" s="171"/>
      <c r="Z27" s="171"/>
      <c r="AA27" s="171"/>
      <c r="AB27" s="171"/>
      <c r="AC27" s="171"/>
      <c r="AD27" s="171"/>
      <c r="AE27" s="171"/>
      <c r="AF27" s="171"/>
      <c r="AG27" s="171"/>
      <c r="AH27" s="171"/>
      <c r="AI27" s="171"/>
      <c r="AJ27" s="171"/>
      <c r="AK27" s="171"/>
      <c r="AL27" s="171"/>
      <c r="AM27" s="171"/>
      <c r="AN27" s="171"/>
      <c r="AO27" s="171"/>
      <c r="AP27" s="171"/>
      <c r="AQ27" s="171"/>
      <c r="AR27" s="171"/>
      <c r="AS27" s="171"/>
      <c r="AT27" s="171"/>
      <c r="AU27" s="171"/>
      <c r="AV27" s="171"/>
      <c r="AW27" s="171"/>
      <c r="AX27" s="171"/>
      <c r="AY27" s="171"/>
      <c r="AZ27" s="171"/>
      <c r="BA27" s="171"/>
      <c r="BB27" s="171"/>
      <c r="BC27" s="171"/>
      <c r="BD27" s="171"/>
      <c r="BE27" s="171"/>
      <c r="BF27" s="171"/>
      <c r="BG27" s="171"/>
      <c r="BH27" s="171"/>
      <c r="BI27" s="171"/>
      <c r="BJ27" s="171"/>
      <c r="BK27" s="171"/>
      <c r="BL27" s="171"/>
      <c r="BM27" s="171"/>
      <c r="BN27" s="171"/>
    </row>
    <row r="28" spans="1:66" ht="30" customHeight="1" x14ac:dyDescent="0.25">
      <c r="A28" s="157" t="s">
        <v>493</v>
      </c>
      <c r="B28" s="157"/>
      <c r="C28" s="157"/>
      <c r="D28" s="201" t="s">
        <v>495</v>
      </c>
      <c r="E28" s="202"/>
      <c r="F28" s="203"/>
      <c r="G28" s="204"/>
      <c r="H28" s="205"/>
      <c r="I28" s="177"/>
      <c r="J28" s="177" t="str">
        <f t="shared" si="2"/>
        <v/>
      </c>
      <c r="K28" s="171"/>
      <c r="L28" s="171"/>
      <c r="M28" s="171"/>
      <c r="N28" s="171"/>
      <c r="O28" s="171"/>
      <c r="P28" s="171"/>
      <c r="Q28" s="171"/>
      <c r="R28" s="171"/>
      <c r="S28" s="171"/>
      <c r="T28" s="171"/>
      <c r="U28" s="171"/>
      <c r="V28" s="171"/>
      <c r="W28" s="171"/>
      <c r="X28" s="171"/>
      <c r="Y28" s="171"/>
      <c r="Z28" s="171"/>
      <c r="AA28" s="171"/>
      <c r="AB28" s="171"/>
      <c r="AC28" s="171"/>
      <c r="AD28" s="171"/>
      <c r="AE28" s="171"/>
      <c r="AF28" s="171"/>
      <c r="AG28" s="171"/>
      <c r="AH28" s="171"/>
      <c r="AI28" s="171"/>
      <c r="AJ28" s="171"/>
      <c r="AK28" s="171"/>
      <c r="AL28" s="171"/>
      <c r="AM28" s="171"/>
      <c r="AN28" s="171"/>
      <c r="AO28" s="171"/>
      <c r="AP28" s="171"/>
      <c r="AQ28" s="171"/>
      <c r="AR28" s="171"/>
      <c r="AS28" s="171"/>
      <c r="AT28" s="171"/>
      <c r="AU28" s="171"/>
      <c r="AV28" s="171"/>
      <c r="AW28" s="171"/>
      <c r="AX28" s="171"/>
      <c r="AY28" s="171"/>
      <c r="AZ28" s="171"/>
      <c r="BA28" s="171"/>
      <c r="BB28" s="171"/>
      <c r="BC28" s="171"/>
      <c r="BD28" s="171"/>
      <c r="BE28" s="171"/>
      <c r="BF28" s="171"/>
      <c r="BG28" s="171"/>
      <c r="BH28" s="171"/>
      <c r="BI28" s="171"/>
      <c r="BJ28" s="171"/>
      <c r="BK28" s="171"/>
      <c r="BL28" s="171"/>
      <c r="BM28" s="171"/>
      <c r="BN28" s="171"/>
    </row>
    <row r="29" spans="1:66" ht="30" customHeight="1" x14ac:dyDescent="0.25">
      <c r="A29" s="157"/>
      <c r="B29" s="157"/>
      <c r="C29" s="157"/>
      <c r="D29" s="206" t="s">
        <v>492</v>
      </c>
      <c r="E29" s="207"/>
      <c r="F29" s="208"/>
      <c r="G29" s="209" t="s">
        <v>496</v>
      </c>
      <c r="H29" s="209" t="s">
        <v>496</v>
      </c>
      <c r="I29" s="177"/>
      <c r="J29" s="177" t="str">
        <f t="shared" si="2"/>
        <v/>
      </c>
      <c r="K29" s="171"/>
      <c r="L29" s="171"/>
      <c r="M29" s="171"/>
      <c r="N29" s="171"/>
      <c r="O29" s="171"/>
      <c r="P29" s="171"/>
      <c r="Q29" s="171"/>
      <c r="R29" s="171"/>
      <c r="S29" s="171"/>
      <c r="T29" s="171"/>
      <c r="U29" s="171"/>
      <c r="V29" s="171"/>
      <c r="W29" s="171"/>
      <c r="X29" s="171"/>
      <c r="Y29" s="171"/>
      <c r="Z29" s="171"/>
      <c r="AA29" s="171"/>
      <c r="AB29" s="171"/>
      <c r="AC29" s="171"/>
      <c r="AD29" s="171"/>
      <c r="AE29" s="171"/>
      <c r="AF29" s="171"/>
      <c r="AG29" s="171"/>
      <c r="AH29" s="171"/>
      <c r="AI29" s="171"/>
      <c r="AJ29" s="171"/>
      <c r="AK29" s="171"/>
      <c r="AL29" s="171"/>
      <c r="AM29" s="171"/>
      <c r="AN29" s="171"/>
      <c r="AO29" s="171"/>
      <c r="AP29" s="171"/>
      <c r="AQ29" s="171"/>
      <c r="AR29" s="171"/>
      <c r="AS29" s="171"/>
      <c r="AT29" s="171"/>
      <c r="AU29" s="171"/>
      <c r="AV29" s="171"/>
      <c r="AW29" s="171"/>
      <c r="AX29" s="171"/>
      <c r="AY29" s="171"/>
      <c r="AZ29" s="171"/>
      <c r="BA29" s="171"/>
      <c r="BB29" s="171"/>
      <c r="BC29" s="171"/>
      <c r="BD29" s="171"/>
      <c r="BE29" s="171"/>
      <c r="BF29" s="171"/>
      <c r="BG29" s="171"/>
      <c r="BH29" s="171"/>
      <c r="BI29" s="171"/>
      <c r="BJ29" s="171"/>
      <c r="BK29" s="171"/>
      <c r="BL29" s="171"/>
      <c r="BM29" s="171"/>
      <c r="BN29" s="171"/>
    </row>
    <row r="30" spans="1:66" ht="30" customHeight="1" x14ac:dyDescent="0.25">
      <c r="A30" s="157"/>
      <c r="B30" s="157"/>
      <c r="C30" s="157"/>
      <c r="D30" s="206" t="s">
        <v>486</v>
      </c>
      <c r="E30" s="207"/>
      <c r="F30" s="208"/>
      <c r="G30" s="209" t="s">
        <v>496</v>
      </c>
      <c r="H30" s="209" t="s">
        <v>496</v>
      </c>
      <c r="I30" s="177"/>
      <c r="J30" s="177" t="str">
        <f t="shared" si="2"/>
        <v/>
      </c>
      <c r="K30" s="171"/>
      <c r="L30" s="171"/>
      <c r="M30" s="171"/>
      <c r="N30" s="171"/>
      <c r="O30" s="171"/>
      <c r="P30" s="171"/>
      <c r="Q30" s="171"/>
      <c r="R30" s="171"/>
      <c r="S30" s="171"/>
      <c r="T30" s="171"/>
      <c r="U30" s="171"/>
      <c r="V30" s="171"/>
      <c r="W30" s="171"/>
      <c r="X30" s="171"/>
      <c r="Y30" s="171"/>
      <c r="Z30" s="171"/>
      <c r="AA30" s="171"/>
      <c r="AB30" s="171"/>
      <c r="AC30" s="171"/>
      <c r="AD30" s="171"/>
      <c r="AE30" s="171"/>
      <c r="AF30" s="171"/>
      <c r="AG30" s="171"/>
      <c r="AH30" s="171"/>
      <c r="AI30" s="171"/>
      <c r="AJ30" s="171"/>
      <c r="AK30" s="171"/>
      <c r="AL30" s="171"/>
      <c r="AM30" s="171"/>
      <c r="AN30" s="171"/>
      <c r="AO30" s="171"/>
      <c r="AP30" s="171"/>
      <c r="AQ30" s="171"/>
      <c r="AR30" s="171"/>
      <c r="AS30" s="171"/>
      <c r="AT30" s="171"/>
      <c r="AU30" s="171"/>
      <c r="AV30" s="171"/>
      <c r="AW30" s="171"/>
      <c r="AX30" s="171"/>
      <c r="AY30" s="171"/>
      <c r="AZ30" s="171"/>
      <c r="BA30" s="171"/>
      <c r="BB30" s="171"/>
      <c r="BC30" s="171"/>
      <c r="BD30" s="171"/>
      <c r="BE30" s="171"/>
      <c r="BF30" s="171"/>
      <c r="BG30" s="171"/>
      <c r="BH30" s="171"/>
      <c r="BI30" s="171"/>
      <c r="BJ30" s="171"/>
      <c r="BK30" s="171"/>
      <c r="BL30" s="171"/>
      <c r="BM30" s="171"/>
      <c r="BN30" s="171"/>
    </row>
    <row r="31" spans="1:66" ht="30" customHeight="1" x14ac:dyDescent="0.25">
      <c r="A31" s="157"/>
      <c r="B31" s="157"/>
      <c r="C31" s="157"/>
      <c r="D31" s="206" t="s">
        <v>487</v>
      </c>
      <c r="E31" s="207"/>
      <c r="F31" s="208"/>
      <c r="G31" s="209" t="s">
        <v>496</v>
      </c>
      <c r="H31" s="209" t="s">
        <v>496</v>
      </c>
      <c r="I31" s="177"/>
      <c r="J31" s="177" t="str">
        <f t="shared" si="2"/>
        <v/>
      </c>
      <c r="K31" s="171"/>
      <c r="L31" s="171"/>
      <c r="M31" s="171"/>
      <c r="N31" s="171"/>
      <c r="O31" s="171"/>
      <c r="P31" s="171"/>
      <c r="Q31" s="171"/>
      <c r="R31" s="171"/>
      <c r="S31" s="171"/>
      <c r="T31" s="171"/>
      <c r="U31" s="171"/>
      <c r="V31" s="171"/>
      <c r="W31" s="171"/>
      <c r="X31" s="171"/>
      <c r="Y31" s="171"/>
      <c r="Z31" s="171"/>
      <c r="AA31" s="171"/>
      <c r="AB31" s="171"/>
      <c r="AC31" s="171"/>
      <c r="AD31" s="171"/>
      <c r="AE31" s="171"/>
      <c r="AF31" s="171"/>
      <c r="AG31" s="171"/>
      <c r="AH31" s="171"/>
      <c r="AI31" s="171"/>
      <c r="AJ31" s="171"/>
      <c r="AK31" s="171"/>
      <c r="AL31" s="171"/>
      <c r="AM31" s="171"/>
      <c r="AN31" s="171"/>
      <c r="AO31" s="171"/>
      <c r="AP31" s="171"/>
      <c r="AQ31" s="171"/>
      <c r="AR31" s="171"/>
      <c r="AS31" s="171"/>
      <c r="AT31" s="171"/>
      <c r="AU31" s="171"/>
      <c r="AV31" s="171"/>
      <c r="AW31" s="171"/>
      <c r="AX31" s="171"/>
      <c r="AY31" s="171"/>
      <c r="AZ31" s="171"/>
      <c r="BA31" s="171"/>
      <c r="BB31" s="171"/>
      <c r="BC31" s="171"/>
      <c r="BD31" s="171"/>
      <c r="BE31" s="171"/>
      <c r="BF31" s="171"/>
      <c r="BG31" s="171"/>
      <c r="BH31" s="171"/>
      <c r="BI31" s="171"/>
      <c r="BJ31" s="171"/>
      <c r="BK31" s="171"/>
      <c r="BL31" s="171"/>
      <c r="BM31" s="171"/>
      <c r="BN31" s="171"/>
    </row>
    <row r="32" spans="1:66" ht="30" customHeight="1" x14ac:dyDescent="0.25">
      <c r="A32" s="157"/>
      <c r="B32" s="157"/>
      <c r="C32" s="157"/>
      <c r="D32" s="206" t="s">
        <v>488</v>
      </c>
      <c r="E32" s="207"/>
      <c r="F32" s="208"/>
      <c r="G32" s="209" t="s">
        <v>496</v>
      </c>
      <c r="H32" s="209" t="s">
        <v>496</v>
      </c>
      <c r="I32" s="177"/>
      <c r="J32" s="177" t="str">
        <f t="shared" si="2"/>
        <v/>
      </c>
      <c r="K32" s="171"/>
      <c r="L32" s="171"/>
      <c r="M32" s="171"/>
      <c r="N32" s="171"/>
      <c r="O32" s="171"/>
      <c r="P32" s="171"/>
      <c r="Q32" s="171"/>
      <c r="R32" s="171"/>
      <c r="S32" s="171"/>
      <c r="T32" s="171"/>
      <c r="U32" s="171"/>
      <c r="V32" s="171"/>
      <c r="W32" s="171"/>
      <c r="X32" s="171"/>
      <c r="Y32" s="171"/>
      <c r="Z32" s="171"/>
      <c r="AA32" s="171"/>
      <c r="AB32" s="171"/>
      <c r="AC32" s="171"/>
      <c r="AD32" s="171"/>
      <c r="AE32" s="171"/>
      <c r="AF32" s="171"/>
      <c r="AG32" s="171"/>
      <c r="AH32" s="171"/>
      <c r="AI32" s="171"/>
      <c r="AJ32" s="171"/>
      <c r="AK32" s="171"/>
      <c r="AL32" s="171"/>
      <c r="AM32" s="171"/>
      <c r="AN32" s="171"/>
      <c r="AO32" s="171"/>
      <c r="AP32" s="171"/>
      <c r="AQ32" s="171"/>
      <c r="AR32" s="171"/>
      <c r="AS32" s="171"/>
      <c r="AT32" s="171"/>
      <c r="AU32" s="171"/>
      <c r="AV32" s="171"/>
      <c r="AW32" s="171"/>
      <c r="AX32" s="171"/>
      <c r="AY32" s="171"/>
      <c r="AZ32" s="171"/>
      <c r="BA32" s="171"/>
      <c r="BB32" s="171"/>
      <c r="BC32" s="171"/>
      <c r="BD32" s="171"/>
      <c r="BE32" s="171"/>
      <c r="BF32" s="171"/>
      <c r="BG32" s="171"/>
      <c r="BH32" s="171"/>
      <c r="BI32" s="171"/>
      <c r="BJ32" s="171"/>
      <c r="BK32" s="171"/>
      <c r="BL32" s="171"/>
      <c r="BM32" s="171"/>
      <c r="BN32" s="171"/>
    </row>
    <row r="33" spans="1:66" ht="30" customHeight="1" x14ac:dyDescent="0.25">
      <c r="A33" s="157"/>
      <c r="B33" s="157"/>
      <c r="C33" s="157"/>
      <c r="D33" s="206" t="s">
        <v>489</v>
      </c>
      <c r="E33" s="207"/>
      <c r="F33" s="208"/>
      <c r="G33" s="209" t="s">
        <v>496</v>
      </c>
      <c r="H33" s="209" t="s">
        <v>496</v>
      </c>
      <c r="I33" s="177"/>
      <c r="J33" s="177" t="str">
        <f t="shared" si="2"/>
        <v/>
      </c>
      <c r="K33" s="171"/>
      <c r="L33" s="171"/>
      <c r="M33" s="171"/>
      <c r="N33" s="171"/>
      <c r="O33" s="171"/>
      <c r="P33" s="171"/>
      <c r="Q33" s="171"/>
      <c r="R33" s="171"/>
      <c r="S33" s="171"/>
      <c r="T33" s="171"/>
      <c r="U33" s="171"/>
      <c r="V33" s="171"/>
      <c r="W33" s="171"/>
      <c r="X33" s="171"/>
      <c r="Y33" s="171"/>
      <c r="Z33" s="171"/>
      <c r="AA33" s="171"/>
      <c r="AB33" s="171"/>
      <c r="AC33" s="171"/>
      <c r="AD33" s="171"/>
      <c r="AE33" s="171"/>
      <c r="AF33" s="171"/>
      <c r="AG33" s="171"/>
      <c r="AH33" s="171"/>
      <c r="AI33" s="171"/>
      <c r="AJ33" s="171"/>
      <c r="AK33" s="171"/>
      <c r="AL33" s="171"/>
      <c r="AM33" s="171"/>
      <c r="AN33" s="171"/>
      <c r="AO33" s="171"/>
      <c r="AP33" s="171"/>
      <c r="AQ33" s="171"/>
      <c r="AR33" s="171"/>
      <c r="AS33" s="171"/>
      <c r="AT33" s="171"/>
      <c r="AU33" s="171"/>
      <c r="AV33" s="171"/>
      <c r="AW33" s="171"/>
      <c r="AX33" s="171"/>
      <c r="AY33" s="171"/>
      <c r="AZ33" s="171"/>
      <c r="BA33" s="171"/>
      <c r="BB33" s="171"/>
      <c r="BC33" s="171"/>
      <c r="BD33" s="171"/>
      <c r="BE33" s="171"/>
      <c r="BF33" s="171"/>
      <c r="BG33" s="171"/>
      <c r="BH33" s="171"/>
      <c r="BI33" s="171"/>
      <c r="BJ33" s="171"/>
      <c r="BK33" s="171"/>
      <c r="BL33" s="171"/>
      <c r="BM33" s="171"/>
      <c r="BN33" s="171"/>
    </row>
    <row r="34" spans="1:66" ht="30" customHeight="1" x14ac:dyDescent="0.25">
      <c r="A34" s="157" t="s">
        <v>497</v>
      </c>
      <c r="B34" s="157"/>
      <c r="C34" s="157"/>
      <c r="D34" s="210"/>
      <c r="E34" s="177"/>
      <c r="F34" s="211"/>
      <c r="G34" s="212"/>
      <c r="H34" s="212"/>
      <c r="I34" s="177"/>
      <c r="J34" s="177" t="str">
        <f t="shared" si="2"/>
        <v/>
      </c>
      <c r="K34" s="171"/>
      <c r="L34" s="171"/>
      <c r="M34" s="171"/>
      <c r="N34" s="171"/>
      <c r="O34" s="171"/>
      <c r="P34" s="171"/>
      <c r="Q34" s="171"/>
      <c r="R34" s="171"/>
      <c r="S34" s="171"/>
      <c r="T34" s="171"/>
      <c r="U34" s="171"/>
      <c r="V34" s="171"/>
      <c r="W34" s="171"/>
      <c r="X34" s="171"/>
      <c r="Y34" s="171"/>
      <c r="Z34" s="171"/>
      <c r="AA34" s="171"/>
      <c r="AB34" s="171"/>
      <c r="AC34" s="171"/>
      <c r="AD34" s="171"/>
      <c r="AE34" s="171"/>
      <c r="AF34" s="171"/>
      <c r="AG34" s="171"/>
      <c r="AH34" s="171"/>
      <c r="AI34" s="171"/>
      <c r="AJ34" s="171"/>
      <c r="AK34" s="171"/>
      <c r="AL34" s="171"/>
      <c r="AM34" s="171"/>
      <c r="AN34" s="171"/>
      <c r="AO34" s="171"/>
      <c r="AP34" s="171"/>
      <c r="AQ34" s="171"/>
      <c r="AR34" s="171"/>
      <c r="AS34" s="171"/>
      <c r="AT34" s="171"/>
      <c r="AU34" s="171"/>
      <c r="AV34" s="171"/>
      <c r="AW34" s="171"/>
      <c r="AX34" s="171"/>
      <c r="AY34" s="171"/>
      <c r="AZ34" s="171"/>
      <c r="BA34" s="171"/>
      <c r="BB34" s="171"/>
      <c r="BC34" s="171"/>
      <c r="BD34" s="171"/>
      <c r="BE34" s="171"/>
      <c r="BF34" s="171"/>
      <c r="BG34" s="171"/>
      <c r="BH34" s="171"/>
      <c r="BI34" s="171"/>
      <c r="BJ34" s="171"/>
      <c r="BK34" s="171"/>
      <c r="BL34" s="171"/>
      <c r="BM34" s="171"/>
      <c r="BN34" s="171"/>
    </row>
    <row r="35" spans="1:66" ht="30" customHeight="1" x14ac:dyDescent="0.25">
      <c r="A35" s="162" t="s">
        <v>498</v>
      </c>
      <c r="B35" s="162"/>
      <c r="C35" s="162"/>
      <c r="D35" s="213" t="s">
        <v>499</v>
      </c>
      <c r="E35" s="214"/>
      <c r="F35" s="215"/>
      <c r="G35" s="216"/>
      <c r="H35" s="217"/>
      <c r="I35" s="218"/>
      <c r="J35" s="218" t="str">
        <f t="shared" si="2"/>
        <v/>
      </c>
      <c r="K35" s="219"/>
      <c r="L35" s="219"/>
      <c r="M35" s="219"/>
      <c r="N35" s="219"/>
      <c r="O35" s="219"/>
      <c r="P35" s="219"/>
      <c r="Q35" s="219"/>
      <c r="R35" s="219"/>
      <c r="S35" s="219"/>
      <c r="T35" s="219"/>
      <c r="U35" s="219"/>
      <c r="V35" s="219"/>
      <c r="W35" s="219"/>
      <c r="X35" s="219"/>
      <c r="Y35" s="219"/>
      <c r="Z35" s="219"/>
      <c r="AA35" s="219"/>
      <c r="AB35" s="219"/>
      <c r="AC35" s="219"/>
      <c r="AD35" s="219"/>
      <c r="AE35" s="219"/>
      <c r="AF35" s="219"/>
      <c r="AG35" s="219"/>
      <c r="AH35" s="219"/>
      <c r="AI35" s="219"/>
      <c r="AJ35" s="219"/>
      <c r="AK35" s="219"/>
      <c r="AL35" s="219"/>
      <c r="AM35" s="219"/>
      <c r="AN35" s="219"/>
      <c r="AO35" s="219"/>
      <c r="AP35" s="219"/>
      <c r="AQ35" s="219"/>
      <c r="AR35" s="219"/>
      <c r="AS35" s="219"/>
      <c r="AT35" s="219"/>
      <c r="AU35" s="219"/>
      <c r="AV35" s="219"/>
      <c r="AW35" s="219"/>
      <c r="AX35" s="219"/>
      <c r="AY35" s="219"/>
      <c r="AZ35" s="219"/>
      <c r="BA35" s="219"/>
      <c r="BB35" s="219"/>
      <c r="BC35" s="219"/>
      <c r="BD35" s="219"/>
      <c r="BE35" s="219"/>
      <c r="BF35" s="219"/>
      <c r="BG35" s="219"/>
      <c r="BH35" s="219"/>
      <c r="BI35" s="219"/>
      <c r="BJ35" s="219"/>
      <c r="BK35" s="219"/>
      <c r="BL35" s="219"/>
      <c r="BM35" s="219"/>
      <c r="BN35" s="219"/>
    </row>
    <row r="36" spans="1:66" ht="30" customHeight="1" x14ac:dyDescent="0.25">
      <c r="A36" s="157"/>
      <c r="B36" s="157"/>
      <c r="C36" s="157"/>
      <c r="G36" s="18"/>
      <c r="I36" s="220"/>
    </row>
    <row r="37" spans="1:66" ht="30" customHeight="1" x14ac:dyDescent="0.25">
      <c r="A37" s="157"/>
      <c r="B37" s="157"/>
      <c r="C37" s="157"/>
      <c r="E37" s="221"/>
      <c r="G37" s="18"/>
      <c r="H37" s="222"/>
    </row>
    <row r="38" spans="1:66" ht="30" customHeight="1" x14ac:dyDescent="0.25">
      <c r="A38" s="157"/>
      <c r="B38" s="157"/>
      <c r="C38" s="157"/>
      <c r="E38" s="223"/>
      <c r="G38" s="18"/>
    </row>
    <row r="39" spans="1:66" ht="15.75" customHeight="1" x14ac:dyDescent="0.25">
      <c r="A39" s="157"/>
      <c r="B39" s="157"/>
      <c r="C39" s="157"/>
      <c r="G39" s="18"/>
    </row>
    <row r="40" spans="1:66" ht="15.75" customHeight="1" x14ac:dyDescent="0.25">
      <c r="A40" s="157"/>
      <c r="B40" s="157"/>
      <c r="C40" s="157"/>
      <c r="G40" s="18"/>
    </row>
    <row r="41" spans="1:66" ht="15.75" customHeight="1" x14ac:dyDescent="0.25">
      <c r="A41" s="157"/>
      <c r="B41" s="157"/>
      <c r="C41" s="157"/>
      <c r="G41" s="18"/>
    </row>
    <row r="42" spans="1:66" ht="15.75" customHeight="1" x14ac:dyDescent="0.25">
      <c r="A42" s="157"/>
      <c r="B42" s="157"/>
      <c r="C42" s="157"/>
      <c r="G42" s="18"/>
    </row>
    <row r="43" spans="1:66" ht="15.75" customHeight="1" x14ac:dyDescent="0.25">
      <c r="A43" s="157"/>
      <c r="B43" s="157"/>
      <c r="C43" s="157"/>
      <c r="G43" s="18"/>
    </row>
    <row r="44" spans="1:66" ht="15.75" customHeight="1" x14ac:dyDescent="0.25">
      <c r="A44" s="157"/>
      <c r="B44" s="157"/>
      <c r="C44" s="157"/>
      <c r="G44" s="18"/>
    </row>
    <row r="45" spans="1:66" ht="15.75" customHeight="1" x14ac:dyDescent="0.25">
      <c r="A45" s="157"/>
      <c r="B45" s="157"/>
      <c r="C45" s="157"/>
      <c r="G45" s="18"/>
    </row>
    <row r="46" spans="1:66" ht="15.75" customHeight="1" x14ac:dyDescent="0.25">
      <c r="A46" s="157"/>
      <c r="B46" s="157"/>
      <c r="C46" s="157"/>
      <c r="G46" s="18"/>
    </row>
    <row r="47" spans="1:66" ht="15.75" customHeight="1" x14ac:dyDescent="0.25">
      <c r="A47" s="157"/>
      <c r="B47" s="157"/>
      <c r="C47" s="157"/>
      <c r="G47" s="18"/>
    </row>
    <row r="48" spans="1:66" ht="15.75" customHeight="1" x14ac:dyDescent="0.25">
      <c r="A48" s="157"/>
      <c r="B48" s="157"/>
      <c r="C48" s="157"/>
      <c r="G48" s="18"/>
    </row>
    <row r="49" spans="1:7" ht="15.75" customHeight="1" x14ac:dyDescent="0.25">
      <c r="A49" s="157"/>
      <c r="B49" s="157"/>
      <c r="C49" s="157"/>
      <c r="G49" s="18"/>
    </row>
    <row r="50" spans="1:7" ht="15.75" customHeight="1" x14ac:dyDescent="0.25">
      <c r="A50" s="157"/>
      <c r="B50" s="157"/>
      <c r="C50" s="157"/>
      <c r="G50" s="18"/>
    </row>
    <row r="51" spans="1:7" ht="15.75" customHeight="1" x14ac:dyDescent="0.25">
      <c r="A51" s="157"/>
      <c r="B51" s="157"/>
      <c r="C51" s="157"/>
      <c r="G51" s="18"/>
    </row>
    <row r="52" spans="1:7" ht="15.75" customHeight="1" x14ac:dyDescent="0.25">
      <c r="A52" s="157"/>
      <c r="B52" s="157"/>
      <c r="C52" s="157"/>
      <c r="G52" s="18"/>
    </row>
    <row r="53" spans="1:7" ht="15.75" customHeight="1" x14ac:dyDescent="0.25">
      <c r="A53" s="157"/>
      <c r="B53" s="157"/>
      <c r="C53" s="157"/>
      <c r="G53" s="18"/>
    </row>
    <row r="54" spans="1:7" ht="15.75" customHeight="1" x14ac:dyDescent="0.25">
      <c r="A54" s="157"/>
      <c r="B54" s="157"/>
      <c r="C54" s="157"/>
      <c r="G54" s="18"/>
    </row>
    <row r="55" spans="1:7" ht="15.75" customHeight="1" x14ac:dyDescent="0.25">
      <c r="A55" s="157"/>
      <c r="B55" s="157"/>
      <c r="C55" s="157"/>
      <c r="G55" s="18"/>
    </row>
    <row r="56" spans="1:7" ht="15.75" customHeight="1" x14ac:dyDescent="0.25">
      <c r="A56" s="157"/>
      <c r="B56" s="157"/>
      <c r="C56" s="157"/>
      <c r="G56" s="18"/>
    </row>
    <row r="57" spans="1:7" ht="15.75" customHeight="1" x14ac:dyDescent="0.25">
      <c r="A57" s="157"/>
      <c r="B57" s="157"/>
      <c r="C57" s="157"/>
      <c r="G57" s="18"/>
    </row>
    <row r="58" spans="1:7" ht="15.75" customHeight="1" x14ac:dyDescent="0.25">
      <c r="A58" s="157"/>
      <c r="B58" s="157"/>
      <c r="C58" s="157"/>
      <c r="G58" s="18"/>
    </row>
    <row r="59" spans="1:7" ht="15.75" customHeight="1" x14ac:dyDescent="0.25">
      <c r="A59" s="157"/>
      <c r="B59" s="157"/>
      <c r="C59" s="157"/>
      <c r="G59" s="18"/>
    </row>
    <row r="60" spans="1:7" ht="15.75" customHeight="1" x14ac:dyDescent="0.25">
      <c r="A60" s="157"/>
      <c r="B60" s="157"/>
      <c r="C60" s="157"/>
      <c r="G60" s="18"/>
    </row>
    <row r="61" spans="1:7" ht="15.75" customHeight="1" x14ac:dyDescent="0.25">
      <c r="A61" s="157"/>
      <c r="B61" s="157"/>
      <c r="C61" s="157"/>
      <c r="G61" s="18"/>
    </row>
    <row r="62" spans="1:7" ht="15.75" customHeight="1" x14ac:dyDescent="0.25">
      <c r="A62" s="157"/>
      <c r="B62" s="157"/>
      <c r="C62" s="157"/>
      <c r="G62" s="18"/>
    </row>
    <row r="63" spans="1:7" ht="15.75" customHeight="1" x14ac:dyDescent="0.25">
      <c r="A63" s="157"/>
      <c r="B63" s="157"/>
      <c r="C63" s="157"/>
      <c r="G63" s="18"/>
    </row>
    <row r="64" spans="1:7" ht="15.75" customHeight="1" x14ac:dyDescent="0.25">
      <c r="A64" s="157"/>
      <c r="B64" s="157"/>
      <c r="C64" s="157"/>
      <c r="G64" s="18"/>
    </row>
    <row r="65" spans="1:7" ht="15.75" customHeight="1" x14ac:dyDescent="0.25">
      <c r="A65" s="157"/>
      <c r="B65" s="157"/>
      <c r="C65" s="157"/>
      <c r="G65" s="18"/>
    </row>
    <row r="66" spans="1:7" ht="15.75" customHeight="1" x14ac:dyDescent="0.25">
      <c r="A66" s="157"/>
      <c r="B66" s="157"/>
      <c r="C66" s="157"/>
      <c r="G66" s="18"/>
    </row>
    <row r="67" spans="1:7" ht="15.75" customHeight="1" x14ac:dyDescent="0.25">
      <c r="A67" s="157"/>
      <c r="B67" s="157"/>
      <c r="C67" s="157"/>
      <c r="G67" s="18"/>
    </row>
    <row r="68" spans="1:7" ht="15.75" customHeight="1" x14ac:dyDescent="0.25">
      <c r="A68" s="157"/>
      <c r="B68" s="157"/>
      <c r="C68" s="157"/>
      <c r="G68" s="18"/>
    </row>
    <row r="69" spans="1:7" ht="15.75" customHeight="1" x14ac:dyDescent="0.25">
      <c r="A69" s="157"/>
      <c r="B69" s="157"/>
      <c r="C69" s="157"/>
      <c r="G69" s="18"/>
    </row>
    <row r="70" spans="1:7" ht="15.75" customHeight="1" x14ac:dyDescent="0.25">
      <c r="A70" s="157"/>
      <c r="B70" s="157"/>
      <c r="C70" s="157"/>
      <c r="G70" s="18"/>
    </row>
    <row r="71" spans="1:7" ht="15.75" customHeight="1" x14ac:dyDescent="0.25">
      <c r="A71" s="157"/>
      <c r="B71" s="157"/>
      <c r="C71" s="157"/>
      <c r="G71" s="18"/>
    </row>
    <row r="72" spans="1:7" ht="15.75" customHeight="1" x14ac:dyDescent="0.25">
      <c r="A72" s="157"/>
      <c r="B72" s="157"/>
      <c r="C72" s="157"/>
      <c r="G72" s="18"/>
    </row>
    <row r="73" spans="1:7" ht="15.75" customHeight="1" x14ac:dyDescent="0.25">
      <c r="A73" s="157"/>
      <c r="B73" s="157"/>
      <c r="C73" s="157"/>
      <c r="G73" s="18"/>
    </row>
    <row r="74" spans="1:7" ht="15.75" customHeight="1" x14ac:dyDescent="0.25">
      <c r="A74" s="157"/>
      <c r="B74" s="157"/>
      <c r="C74" s="157"/>
      <c r="G74" s="18"/>
    </row>
    <row r="75" spans="1:7" ht="15.75" customHeight="1" x14ac:dyDescent="0.25">
      <c r="A75" s="157"/>
      <c r="B75" s="157"/>
      <c r="C75" s="157"/>
      <c r="G75" s="18"/>
    </row>
    <row r="76" spans="1:7" ht="15.75" customHeight="1" x14ac:dyDescent="0.25">
      <c r="A76" s="157"/>
      <c r="B76" s="157"/>
      <c r="C76" s="157"/>
      <c r="G76" s="18"/>
    </row>
    <row r="77" spans="1:7" ht="15.75" customHeight="1" x14ac:dyDescent="0.25">
      <c r="A77" s="157"/>
      <c r="B77" s="157"/>
      <c r="C77" s="157"/>
      <c r="G77" s="18"/>
    </row>
    <row r="78" spans="1:7" ht="15.75" customHeight="1" x14ac:dyDescent="0.25">
      <c r="A78" s="157"/>
      <c r="B78" s="157"/>
      <c r="C78" s="157"/>
      <c r="G78" s="18"/>
    </row>
    <row r="79" spans="1:7" ht="15.75" customHeight="1" x14ac:dyDescent="0.25">
      <c r="A79" s="157"/>
      <c r="B79" s="157"/>
      <c r="C79" s="157"/>
      <c r="G79" s="18"/>
    </row>
    <row r="80" spans="1:7" ht="15.75" customHeight="1" x14ac:dyDescent="0.25">
      <c r="A80" s="157"/>
      <c r="B80" s="157"/>
      <c r="C80" s="157"/>
      <c r="G80" s="18"/>
    </row>
    <row r="81" spans="1:7" ht="15.75" customHeight="1" x14ac:dyDescent="0.25">
      <c r="A81" s="157"/>
      <c r="B81" s="157"/>
      <c r="C81" s="157"/>
      <c r="G81" s="18"/>
    </row>
    <row r="82" spans="1:7" ht="15.75" customHeight="1" x14ac:dyDescent="0.25">
      <c r="A82" s="157"/>
      <c r="B82" s="157"/>
      <c r="C82" s="157"/>
      <c r="G82" s="18"/>
    </row>
    <row r="83" spans="1:7" ht="15.75" customHeight="1" x14ac:dyDescent="0.25">
      <c r="A83" s="157"/>
      <c r="B83" s="157"/>
      <c r="C83" s="157"/>
      <c r="G83" s="18"/>
    </row>
    <row r="84" spans="1:7" ht="15.75" customHeight="1" x14ac:dyDescent="0.25">
      <c r="A84" s="157"/>
      <c r="B84" s="157"/>
      <c r="C84" s="157"/>
      <c r="G84" s="18"/>
    </row>
    <row r="85" spans="1:7" ht="15.75" customHeight="1" x14ac:dyDescent="0.25">
      <c r="A85" s="157"/>
      <c r="B85" s="157"/>
      <c r="C85" s="157"/>
      <c r="G85" s="18"/>
    </row>
    <row r="86" spans="1:7" ht="15.75" customHeight="1" x14ac:dyDescent="0.25">
      <c r="A86" s="157"/>
      <c r="B86" s="157"/>
      <c r="C86" s="157"/>
      <c r="G86" s="18"/>
    </row>
    <row r="87" spans="1:7" ht="15.75" customHeight="1" x14ac:dyDescent="0.25">
      <c r="A87" s="157"/>
      <c r="B87" s="157"/>
      <c r="C87" s="157"/>
      <c r="G87" s="18"/>
    </row>
    <row r="88" spans="1:7" ht="15.75" customHeight="1" x14ac:dyDescent="0.25">
      <c r="A88" s="157"/>
      <c r="B88" s="157"/>
      <c r="C88" s="157"/>
      <c r="G88" s="18"/>
    </row>
    <row r="89" spans="1:7" ht="15.75" customHeight="1" x14ac:dyDescent="0.25">
      <c r="A89" s="157"/>
      <c r="B89" s="157"/>
      <c r="C89" s="157"/>
      <c r="G89" s="18"/>
    </row>
    <row r="90" spans="1:7" ht="15.75" customHeight="1" x14ac:dyDescent="0.25">
      <c r="A90" s="157"/>
      <c r="B90" s="157"/>
      <c r="C90" s="157"/>
      <c r="G90" s="18"/>
    </row>
    <row r="91" spans="1:7" ht="15.75" customHeight="1" x14ac:dyDescent="0.25">
      <c r="A91" s="157"/>
      <c r="B91" s="157"/>
      <c r="C91" s="157"/>
      <c r="G91" s="18"/>
    </row>
    <row r="92" spans="1:7" ht="15.75" customHeight="1" x14ac:dyDescent="0.25">
      <c r="A92" s="157"/>
      <c r="B92" s="157"/>
      <c r="C92" s="157"/>
      <c r="G92" s="18"/>
    </row>
    <row r="93" spans="1:7" ht="15.75" customHeight="1" x14ac:dyDescent="0.25">
      <c r="A93" s="157"/>
      <c r="B93" s="157"/>
      <c r="C93" s="157"/>
      <c r="G93" s="18"/>
    </row>
    <row r="94" spans="1:7" ht="15.75" customHeight="1" x14ac:dyDescent="0.25">
      <c r="A94" s="157"/>
      <c r="B94" s="157"/>
      <c r="C94" s="157"/>
      <c r="G94" s="18"/>
    </row>
    <row r="95" spans="1:7" ht="15.75" customHeight="1" x14ac:dyDescent="0.25">
      <c r="A95" s="157"/>
      <c r="B95" s="157"/>
      <c r="C95" s="157"/>
      <c r="G95" s="18"/>
    </row>
    <row r="96" spans="1:7" ht="15.75" customHeight="1" x14ac:dyDescent="0.25">
      <c r="A96" s="157"/>
      <c r="B96" s="157"/>
      <c r="C96" s="157"/>
      <c r="G96" s="18"/>
    </row>
    <row r="97" spans="1:7" ht="15.75" customHeight="1" x14ac:dyDescent="0.25">
      <c r="A97" s="157"/>
      <c r="B97" s="157"/>
      <c r="C97" s="157"/>
      <c r="G97" s="18"/>
    </row>
    <row r="98" spans="1:7" ht="15.75" customHeight="1" x14ac:dyDescent="0.25">
      <c r="A98" s="157"/>
      <c r="B98" s="157"/>
      <c r="C98" s="157"/>
      <c r="G98" s="18"/>
    </row>
    <row r="99" spans="1:7" ht="15.75" customHeight="1" x14ac:dyDescent="0.25">
      <c r="A99" s="157"/>
      <c r="B99" s="157"/>
      <c r="C99" s="157"/>
      <c r="G99" s="18"/>
    </row>
    <row r="100" spans="1:7" ht="15.75" customHeight="1" x14ac:dyDescent="0.25">
      <c r="A100" s="157"/>
      <c r="B100" s="157"/>
      <c r="C100" s="157"/>
      <c r="G100" s="18"/>
    </row>
    <row r="101" spans="1:7" ht="15.75" customHeight="1" x14ac:dyDescent="0.25">
      <c r="A101" s="157"/>
      <c r="B101" s="157"/>
      <c r="C101" s="157"/>
      <c r="G101" s="18"/>
    </row>
    <row r="102" spans="1:7" ht="15.75" customHeight="1" x14ac:dyDescent="0.25">
      <c r="A102" s="157"/>
      <c r="B102" s="157"/>
      <c r="C102" s="157"/>
      <c r="G102" s="18"/>
    </row>
    <row r="103" spans="1:7" ht="15.75" customHeight="1" x14ac:dyDescent="0.25">
      <c r="A103" s="157"/>
      <c r="B103" s="157"/>
      <c r="C103" s="157"/>
      <c r="G103" s="18"/>
    </row>
    <row r="104" spans="1:7" ht="15.75" customHeight="1" x14ac:dyDescent="0.25">
      <c r="A104" s="157"/>
      <c r="B104" s="157"/>
      <c r="C104" s="157"/>
      <c r="G104" s="18"/>
    </row>
    <row r="105" spans="1:7" ht="15.75" customHeight="1" x14ac:dyDescent="0.25">
      <c r="A105" s="157"/>
      <c r="B105" s="157"/>
      <c r="C105" s="157"/>
      <c r="G105" s="18"/>
    </row>
    <row r="106" spans="1:7" ht="15.75" customHeight="1" x14ac:dyDescent="0.25">
      <c r="A106" s="157"/>
      <c r="B106" s="157"/>
      <c r="C106" s="157"/>
      <c r="G106" s="18"/>
    </row>
    <row r="107" spans="1:7" ht="15.75" customHeight="1" x14ac:dyDescent="0.25">
      <c r="A107" s="157"/>
      <c r="B107" s="157"/>
      <c r="C107" s="157"/>
      <c r="G107" s="18"/>
    </row>
    <row r="108" spans="1:7" ht="15.75" customHeight="1" x14ac:dyDescent="0.25">
      <c r="A108" s="157"/>
      <c r="B108" s="157"/>
      <c r="C108" s="157"/>
      <c r="G108" s="18"/>
    </row>
    <row r="109" spans="1:7" ht="15.75" customHeight="1" x14ac:dyDescent="0.25">
      <c r="A109" s="157"/>
      <c r="B109" s="157"/>
      <c r="C109" s="157"/>
      <c r="G109" s="18"/>
    </row>
    <row r="110" spans="1:7" ht="15.75" customHeight="1" x14ac:dyDescent="0.25">
      <c r="A110" s="157"/>
      <c r="B110" s="157"/>
      <c r="C110" s="157"/>
      <c r="G110" s="18"/>
    </row>
    <row r="111" spans="1:7" ht="15.75" customHeight="1" x14ac:dyDescent="0.25">
      <c r="A111" s="157"/>
      <c r="B111" s="157"/>
      <c r="C111" s="157"/>
      <c r="G111" s="18"/>
    </row>
    <row r="112" spans="1:7" ht="15.75" customHeight="1" x14ac:dyDescent="0.25">
      <c r="A112" s="157"/>
      <c r="B112" s="157"/>
      <c r="C112" s="157"/>
      <c r="G112" s="18"/>
    </row>
    <row r="113" spans="1:7" ht="15.75" customHeight="1" x14ac:dyDescent="0.25">
      <c r="A113" s="157"/>
      <c r="B113" s="157"/>
      <c r="C113" s="157"/>
      <c r="G113" s="18"/>
    </row>
    <row r="114" spans="1:7" ht="15.75" customHeight="1" x14ac:dyDescent="0.25">
      <c r="A114" s="157"/>
      <c r="B114" s="157"/>
      <c r="C114" s="157"/>
      <c r="G114" s="18"/>
    </row>
    <row r="115" spans="1:7" ht="15.75" customHeight="1" x14ac:dyDescent="0.25">
      <c r="A115" s="157"/>
      <c r="B115" s="157"/>
      <c r="C115" s="157"/>
      <c r="G115" s="18"/>
    </row>
    <row r="116" spans="1:7" ht="15.75" customHeight="1" x14ac:dyDescent="0.25">
      <c r="A116" s="157"/>
      <c r="B116" s="157"/>
      <c r="C116" s="157"/>
      <c r="G116" s="18"/>
    </row>
    <row r="117" spans="1:7" ht="15.75" customHeight="1" x14ac:dyDescent="0.25">
      <c r="A117" s="157"/>
      <c r="B117" s="157"/>
      <c r="C117" s="157"/>
      <c r="G117" s="18"/>
    </row>
    <row r="118" spans="1:7" ht="15.75" customHeight="1" x14ac:dyDescent="0.25">
      <c r="A118" s="157"/>
      <c r="B118" s="157"/>
      <c r="C118" s="157"/>
      <c r="G118" s="18"/>
    </row>
    <row r="119" spans="1:7" ht="15.75" customHeight="1" x14ac:dyDescent="0.25">
      <c r="A119" s="157"/>
      <c r="B119" s="157"/>
      <c r="C119" s="157"/>
      <c r="G119" s="18"/>
    </row>
    <row r="120" spans="1:7" ht="15.75" customHeight="1" x14ac:dyDescent="0.25">
      <c r="A120" s="157"/>
      <c r="B120" s="157"/>
      <c r="C120" s="157"/>
      <c r="G120" s="18"/>
    </row>
    <row r="121" spans="1:7" ht="15.75" customHeight="1" x14ac:dyDescent="0.25">
      <c r="A121" s="157"/>
      <c r="B121" s="157"/>
      <c r="C121" s="157"/>
      <c r="G121" s="18"/>
    </row>
    <row r="122" spans="1:7" ht="15.75" customHeight="1" x14ac:dyDescent="0.25">
      <c r="A122" s="157"/>
      <c r="B122" s="157"/>
      <c r="C122" s="157"/>
      <c r="G122" s="18"/>
    </row>
    <row r="123" spans="1:7" ht="15.75" customHeight="1" x14ac:dyDescent="0.25">
      <c r="A123" s="157"/>
      <c r="B123" s="157"/>
      <c r="C123" s="157"/>
      <c r="G123" s="18"/>
    </row>
    <row r="124" spans="1:7" ht="15.75" customHeight="1" x14ac:dyDescent="0.25">
      <c r="A124" s="157"/>
      <c r="B124" s="157"/>
      <c r="C124" s="157"/>
      <c r="G124" s="18"/>
    </row>
    <row r="125" spans="1:7" ht="15.75" customHeight="1" x14ac:dyDescent="0.25">
      <c r="A125" s="157"/>
      <c r="B125" s="157"/>
      <c r="C125" s="157"/>
      <c r="G125" s="18"/>
    </row>
    <row r="126" spans="1:7" ht="15.75" customHeight="1" x14ac:dyDescent="0.25">
      <c r="A126" s="157"/>
      <c r="B126" s="157"/>
      <c r="C126" s="157"/>
      <c r="G126" s="18"/>
    </row>
    <row r="127" spans="1:7" ht="15.75" customHeight="1" x14ac:dyDescent="0.25">
      <c r="A127" s="157"/>
      <c r="B127" s="157"/>
      <c r="C127" s="157"/>
      <c r="G127" s="18"/>
    </row>
    <row r="128" spans="1:7" ht="15.75" customHeight="1" x14ac:dyDescent="0.25">
      <c r="A128" s="157"/>
      <c r="B128" s="157"/>
      <c r="C128" s="157"/>
      <c r="G128" s="18"/>
    </row>
    <row r="129" spans="1:7" ht="15.75" customHeight="1" x14ac:dyDescent="0.25">
      <c r="A129" s="157"/>
      <c r="B129" s="157"/>
      <c r="C129" s="157"/>
      <c r="G129" s="18"/>
    </row>
    <row r="130" spans="1:7" ht="15.75" customHeight="1" x14ac:dyDescent="0.25">
      <c r="A130" s="157"/>
      <c r="B130" s="157"/>
      <c r="C130" s="157"/>
      <c r="G130" s="18"/>
    </row>
    <row r="131" spans="1:7" ht="15.75" customHeight="1" x14ac:dyDescent="0.25">
      <c r="A131" s="157"/>
      <c r="B131" s="157"/>
      <c r="C131" s="157"/>
      <c r="G131" s="18"/>
    </row>
    <row r="132" spans="1:7" ht="15.75" customHeight="1" x14ac:dyDescent="0.25">
      <c r="A132" s="157"/>
      <c r="B132" s="157"/>
      <c r="C132" s="157"/>
      <c r="G132" s="18"/>
    </row>
    <row r="133" spans="1:7" ht="15.75" customHeight="1" x14ac:dyDescent="0.25">
      <c r="A133" s="157"/>
      <c r="B133" s="157"/>
      <c r="C133" s="157"/>
      <c r="G133" s="18"/>
    </row>
    <row r="134" spans="1:7" ht="15.75" customHeight="1" x14ac:dyDescent="0.25">
      <c r="A134" s="157"/>
      <c r="B134" s="157"/>
      <c r="C134" s="157"/>
      <c r="G134" s="18"/>
    </row>
    <row r="135" spans="1:7" ht="15.75" customHeight="1" x14ac:dyDescent="0.25">
      <c r="A135" s="157"/>
      <c r="B135" s="157"/>
      <c r="C135" s="157"/>
      <c r="G135" s="18"/>
    </row>
    <row r="136" spans="1:7" ht="15.75" customHeight="1" x14ac:dyDescent="0.25">
      <c r="A136" s="157"/>
      <c r="B136" s="157"/>
      <c r="C136" s="157"/>
      <c r="G136" s="18"/>
    </row>
    <row r="137" spans="1:7" ht="15.75" customHeight="1" x14ac:dyDescent="0.25">
      <c r="A137" s="157"/>
      <c r="B137" s="157"/>
      <c r="C137" s="157"/>
      <c r="G137" s="18"/>
    </row>
    <row r="138" spans="1:7" ht="15.75" customHeight="1" x14ac:dyDescent="0.25">
      <c r="A138" s="157"/>
      <c r="B138" s="157"/>
      <c r="C138" s="157"/>
      <c r="G138" s="18"/>
    </row>
    <row r="139" spans="1:7" ht="15.75" customHeight="1" x14ac:dyDescent="0.25">
      <c r="A139" s="157"/>
      <c r="B139" s="157"/>
      <c r="C139" s="157"/>
      <c r="G139" s="18"/>
    </row>
    <row r="140" spans="1:7" ht="15.75" customHeight="1" x14ac:dyDescent="0.25">
      <c r="A140" s="157"/>
      <c r="B140" s="157"/>
      <c r="C140" s="157"/>
      <c r="G140" s="18"/>
    </row>
    <row r="141" spans="1:7" ht="15.75" customHeight="1" x14ac:dyDescent="0.25">
      <c r="A141" s="157"/>
      <c r="B141" s="157"/>
      <c r="C141" s="157"/>
      <c r="G141" s="18"/>
    </row>
    <row r="142" spans="1:7" ht="15.75" customHeight="1" x14ac:dyDescent="0.25">
      <c r="A142" s="157"/>
      <c r="B142" s="157"/>
      <c r="C142" s="157"/>
      <c r="G142" s="18"/>
    </row>
    <row r="143" spans="1:7" ht="15.75" customHeight="1" x14ac:dyDescent="0.25">
      <c r="A143" s="157"/>
      <c r="B143" s="157"/>
      <c r="C143" s="157"/>
      <c r="G143" s="18"/>
    </row>
    <row r="144" spans="1:7" ht="15.75" customHeight="1" x14ac:dyDescent="0.25">
      <c r="A144" s="157"/>
      <c r="B144" s="157"/>
      <c r="C144" s="157"/>
      <c r="G144" s="18"/>
    </row>
    <row r="145" spans="1:7" ht="15.75" customHeight="1" x14ac:dyDescent="0.25">
      <c r="A145" s="157"/>
      <c r="B145" s="157"/>
      <c r="C145" s="157"/>
      <c r="G145" s="18"/>
    </row>
    <row r="146" spans="1:7" ht="15.75" customHeight="1" x14ac:dyDescent="0.25">
      <c r="A146" s="157"/>
      <c r="B146" s="157"/>
      <c r="C146" s="157"/>
      <c r="G146" s="18"/>
    </row>
    <row r="147" spans="1:7" ht="15.75" customHeight="1" x14ac:dyDescent="0.25">
      <c r="A147" s="157"/>
      <c r="B147" s="157"/>
      <c r="C147" s="157"/>
      <c r="G147" s="18"/>
    </row>
    <row r="148" spans="1:7" ht="15.75" customHeight="1" x14ac:dyDescent="0.25">
      <c r="A148" s="157"/>
      <c r="B148" s="157"/>
      <c r="C148" s="157"/>
      <c r="G148" s="18"/>
    </row>
    <row r="149" spans="1:7" ht="15.75" customHeight="1" x14ac:dyDescent="0.25">
      <c r="A149" s="157"/>
      <c r="B149" s="157"/>
      <c r="C149" s="157"/>
      <c r="G149" s="18"/>
    </row>
    <row r="150" spans="1:7" ht="15.75" customHeight="1" x14ac:dyDescent="0.25">
      <c r="A150" s="157"/>
      <c r="B150" s="157"/>
      <c r="C150" s="157"/>
      <c r="G150" s="18"/>
    </row>
    <row r="151" spans="1:7" ht="15.75" customHeight="1" x14ac:dyDescent="0.25">
      <c r="A151" s="157"/>
      <c r="B151" s="157"/>
      <c r="C151" s="157"/>
      <c r="G151" s="18"/>
    </row>
    <row r="152" spans="1:7" ht="15.75" customHeight="1" x14ac:dyDescent="0.25">
      <c r="A152" s="157"/>
      <c r="B152" s="157"/>
      <c r="C152" s="157"/>
      <c r="G152" s="18"/>
    </row>
    <row r="153" spans="1:7" ht="15.75" customHeight="1" x14ac:dyDescent="0.25">
      <c r="A153" s="157"/>
      <c r="B153" s="157"/>
      <c r="C153" s="157"/>
      <c r="G153" s="18"/>
    </row>
    <row r="154" spans="1:7" ht="15.75" customHeight="1" x14ac:dyDescent="0.25">
      <c r="A154" s="157"/>
      <c r="B154" s="157"/>
      <c r="C154" s="157"/>
      <c r="G154" s="18"/>
    </row>
    <row r="155" spans="1:7" ht="15.75" customHeight="1" x14ac:dyDescent="0.25">
      <c r="A155" s="157"/>
      <c r="B155" s="157"/>
      <c r="C155" s="157"/>
      <c r="G155" s="18"/>
    </row>
    <row r="156" spans="1:7" ht="15.75" customHeight="1" x14ac:dyDescent="0.25">
      <c r="A156" s="157"/>
      <c r="B156" s="157"/>
      <c r="C156" s="157"/>
      <c r="G156" s="18"/>
    </row>
    <row r="157" spans="1:7" ht="15.75" customHeight="1" x14ac:dyDescent="0.25">
      <c r="A157" s="157"/>
      <c r="B157" s="157"/>
      <c r="C157" s="157"/>
      <c r="G157" s="18"/>
    </row>
    <row r="158" spans="1:7" ht="15.75" customHeight="1" x14ac:dyDescent="0.25">
      <c r="A158" s="157"/>
      <c r="B158" s="157"/>
      <c r="C158" s="157"/>
      <c r="G158" s="18"/>
    </row>
    <row r="159" spans="1:7" ht="15.75" customHeight="1" x14ac:dyDescent="0.25">
      <c r="A159" s="157"/>
      <c r="B159" s="157"/>
      <c r="C159" s="157"/>
      <c r="G159" s="18"/>
    </row>
    <row r="160" spans="1:7" ht="15.75" customHeight="1" x14ac:dyDescent="0.25">
      <c r="A160" s="157"/>
      <c r="B160" s="157"/>
      <c r="C160" s="157"/>
      <c r="G160" s="18"/>
    </row>
    <row r="161" spans="1:7" ht="15.75" customHeight="1" x14ac:dyDescent="0.25">
      <c r="A161" s="157"/>
      <c r="B161" s="157"/>
      <c r="C161" s="157"/>
      <c r="G161" s="18"/>
    </row>
    <row r="162" spans="1:7" ht="15.75" customHeight="1" x14ac:dyDescent="0.25">
      <c r="A162" s="157"/>
      <c r="B162" s="157"/>
      <c r="C162" s="157"/>
      <c r="G162" s="18"/>
    </row>
    <row r="163" spans="1:7" ht="15.75" customHeight="1" x14ac:dyDescent="0.25">
      <c r="A163" s="157"/>
      <c r="B163" s="157"/>
      <c r="C163" s="157"/>
      <c r="G163" s="18"/>
    </row>
    <row r="164" spans="1:7" ht="15.75" customHeight="1" x14ac:dyDescent="0.25">
      <c r="A164" s="157"/>
      <c r="B164" s="157"/>
      <c r="C164" s="157"/>
      <c r="G164" s="18"/>
    </row>
    <row r="165" spans="1:7" ht="15.75" customHeight="1" x14ac:dyDescent="0.25">
      <c r="A165" s="157"/>
      <c r="B165" s="157"/>
      <c r="C165" s="157"/>
      <c r="G165" s="18"/>
    </row>
    <row r="166" spans="1:7" ht="15.75" customHeight="1" x14ac:dyDescent="0.25">
      <c r="A166" s="157"/>
      <c r="B166" s="157"/>
      <c r="C166" s="157"/>
      <c r="G166" s="18"/>
    </row>
    <row r="167" spans="1:7" ht="15.75" customHeight="1" x14ac:dyDescent="0.25">
      <c r="A167" s="157"/>
      <c r="B167" s="157"/>
      <c r="C167" s="157"/>
      <c r="G167" s="18"/>
    </row>
    <row r="168" spans="1:7" ht="15.75" customHeight="1" x14ac:dyDescent="0.25">
      <c r="A168" s="157"/>
      <c r="B168" s="157"/>
      <c r="C168" s="157"/>
      <c r="G168" s="18"/>
    </row>
    <row r="169" spans="1:7" ht="15.75" customHeight="1" x14ac:dyDescent="0.25">
      <c r="A169" s="157"/>
      <c r="B169" s="157"/>
      <c r="C169" s="157"/>
      <c r="G169" s="18"/>
    </row>
    <row r="170" spans="1:7" ht="15.75" customHeight="1" x14ac:dyDescent="0.25">
      <c r="A170" s="157"/>
      <c r="B170" s="157"/>
      <c r="C170" s="157"/>
      <c r="G170" s="18"/>
    </row>
    <row r="171" spans="1:7" ht="15.75" customHeight="1" x14ac:dyDescent="0.25">
      <c r="A171" s="157"/>
      <c r="B171" s="157"/>
      <c r="C171" s="157"/>
      <c r="G171" s="18"/>
    </row>
    <row r="172" spans="1:7" ht="15.75" customHeight="1" x14ac:dyDescent="0.25">
      <c r="A172" s="157"/>
      <c r="B172" s="157"/>
      <c r="C172" s="157"/>
      <c r="G172" s="18"/>
    </row>
    <row r="173" spans="1:7" ht="15.75" customHeight="1" x14ac:dyDescent="0.25">
      <c r="A173" s="157"/>
      <c r="B173" s="157"/>
      <c r="C173" s="157"/>
      <c r="G173" s="18"/>
    </row>
    <row r="174" spans="1:7" ht="15.75" customHeight="1" x14ac:dyDescent="0.25">
      <c r="A174" s="157"/>
      <c r="B174" s="157"/>
      <c r="C174" s="157"/>
      <c r="G174" s="18"/>
    </row>
    <row r="175" spans="1:7" ht="15.75" customHeight="1" x14ac:dyDescent="0.25">
      <c r="A175" s="157"/>
      <c r="B175" s="157"/>
      <c r="C175" s="157"/>
      <c r="G175" s="18"/>
    </row>
    <row r="176" spans="1:7" ht="15.75" customHeight="1" x14ac:dyDescent="0.25">
      <c r="A176" s="157"/>
      <c r="B176" s="157"/>
      <c r="C176" s="157"/>
      <c r="G176" s="18"/>
    </row>
    <row r="177" spans="1:7" ht="15.75" customHeight="1" x14ac:dyDescent="0.25">
      <c r="A177" s="157"/>
      <c r="B177" s="157"/>
      <c r="C177" s="157"/>
      <c r="G177" s="18"/>
    </row>
    <row r="178" spans="1:7" ht="15.75" customHeight="1" x14ac:dyDescent="0.25">
      <c r="A178" s="157"/>
      <c r="B178" s="157"/>
      <c r="C178" s="157"/>
      <c r="G178" s="18"/>
    </row>
    <row r="179" spans="1:7" ht="15.75" customHeight="1" x14ac:dyDescent="0.25">
      <c r="A179" s="157"/>
      <c r="B179" s="157"/>
      <c r="C179" s="157"/>
      <c r="G179" s="18"/>
    </row>
    <row r="180" spans="1:7" ht="15.75" customHeight="1" x14ac:dyDescent="0.25">
      <c r="A180" s="157"/>
      <c r="B180" s="157"/>
      <c r="C180" s="157"/>
      <c r="G180" s="18"/>
    </row>
    <row r="181" spans="1:7" ht="15.75" customHeight="1" x14ac:dyDescent="0.25">
      <c r="A181" s="157"/>
      <c r="B181" s="157"/>
      <c r="C181" s="157"/>
      <c r="G181" s="18"/>
    </row>
    <row r="182" spans="1:7" ht="15.75" customHeight="1" x14ac:dyDescent="0.25">
      <c r="A182" s="157"/>
      <c r="B182" s="157"/>
      <c r="C182" s="157"/>
      <c r="G182" s="18"/>
    </row>
    <row r="183" spans="1:7" ht="15.75" customHeight="1" x14ac:dyDescent="0.25">
      <c r="A183" s="157"/>
      <c r="B183" s="157"/>
      <c r="C183" s="157"/>
      <c r="G183" s="18"/>
    </row>
    <row r="184" spans="1:7" ht="15.75" customHeight="1" x14ac:dyDescent="0.25">
      <c r="A184" s="157"/>
      <c r="B184" s="157"/>
      <c r="C184" s="157"/>
      <c r="G184" s="18"/>
    </row>
    <row r="185" spans="1:7" ht="15.75" customHeight="1" x14ac:dyDescent="0.25">
      <c r="A185" s="157"/>
      <c r="B185" s="157"/>
      <c r="C185" s="157"/>
      <c r="G185" s="18"/>
    </row>
    <row r="186" spans="1:7" ht="15.75" customHeight="1" x14ac:dyDescent="0.25">
      <c r="A186" s="157"/>
      <c r="B186" s="157"/>
      <c r="C186" s="157"/>
      <c r="G186" s="18"/>
    </row>
    <row r="187" spans="1:7" ht="15.75" customHeight="1" x14ac:dyDescent="0.25">
      <c r="A187" s="157"/>
      <c r="B187" s="157"/>
      <c r="C187" s="157"/>
      <c r="G187" s="18"/>
    </row>
    <row r="188" spans="1:7" ht="15.75" customHeight="1" x14ac:dyDescent="0.25">
      <c r="A188" s="157"/>
      <c r="B188" s="157"/>
      <c r="C188" s="157"/>
      <c r="G188" s="18"/>
    </row>
    <row r="189" spans="1:7" ht="15.75" customHeight="1" x14ac:dyDescent="0.25">
      <c r="A189" s="157"/>
      <c r="B189" s="157"/>
      <c r="C189" s="157"/>
      <c r="G189" s="18"/>
    </row>
    <row r="190" spans="1:7" ht="15.75" customHeight="1" x14ac:dyDescent="0.25">
      <c r="A190" s="157"/>
      <c r="B190" s="157"/>
      <c r="C190" s="157"/>
      <c r="G190" s="18"/>
    </row>
    <row r="191" spans="1:7" ht="15.75" customHeight="1" x14ac:dyDescent="0.25">
      <c r="A191" s="157"/>
      <c r="B191" s="157"/>
      <c r="C191" s="157"/>
      <c r="G191" s="18"/>
    </row>
    <row r="192" spans="1:7" ht="15.75" customHeight="1" x14ac:dyDescent="0.25">
      <c r="A192" s="157"/>
      <c r="B192" s="157"/>
      <c r="C192" s="157"/>
      <c r="G192" s="18"/>
    </row>
    <row r="193" spans="1:7" ht="15.75" customHeight="1" x14ac:dyDescent="0.25">
      <c r="A193" s="157"/>
      <c r="B193" s="157"/>
      <c r="C193" s="157"/>
      <c r="G193" s="18"/>
    </row>
    <row r="194" spans="1:7" ht="15.75" customHeight="1" x14ac:dyDescent="0.25">
      <c r="A194" s="157"/>
      <c r="B194" s="157"/>
      <c r="C194" s="157"/>
      <c r="G194" s="18"/>
    </row>
    <row r="195" spans="1:7" ht="15.75" customHeight="1" x14ac:dyDescent="0.25">
      <c r="A195" s="157"/>
      <c r="B195" s="157"/>
      <c r="C195" s="157"/>
      <c r="G195" s="18"/>
    </row>
    <row r="196" spans="1:7" ht="15.75" customHeight="1" x14ac:dyDescent="0.25">
      <c r="A196" s="157"/>
      <c r="B196" s="157"/>
      <c r="C196" s="157"/>
      <c r="G196" s="18"/>
    </row>
    <row r="197" spans="1:7" ht="15.75" customHeight="1" x14ac:dyDescent="0.25">
      <c r="A197" s="157"/>
      <c r="B197" s="157"/>
      <c r="C197" s="157"/>
      <c r="G197" s="18"/>
    </row>
    <row r="198" spans="1:7" ht="15.75" customHeight="1" x14ac:dyDescent="0.25">
      <c r="A198" s="157"/>
      <c r="B198" s="157"/>
      <c r="C198" s="157"/>
      <c r="G198" s="18"/>
    </row>
    <row r="199" spans="1:7" ht="15.75" customHeight="1" x14ac:dyDescent="0.25">
      <c r="A199" s="157"/>
      <c r="B199" s="157"/>
      <c r="C199" s="157"/>
      <c r="G199" s="18"/>
    </row>
    <row r="200" spans="1:7" ht="15.75" customHeight="1" x14ac:dyDescent="0.25">
      <c r="A200" s="157"/>
      <c r="B200" s="157"/>
      <c r="C200" s="157"/>
      <c r="G200" s="18"/>
    </row>
    <row r="201" spans="1:7" ht="15.75" customHeight="1" x14ac:dyDescent="0.25">
      <c r="A201" s="157"/>
      <c r="B201" s="157"/>
      <c r="C201" s="157"/>
      <c r="G201" s="18"/>
    </row>
    <row r="202" spans="1:7" ht="15.75" customHeight="1" x14ac:dyDescent="0.25">
      <c r="A202" s="157"/>
      <c r="B202" s="157"/>
      <c r="C202" s="157"/>
      <c r="G202" s="18"/>
    </row>
    <row r="203" spans="1:7" ht="15.75" customHeight="1" x14ac:dyDescent="0.25">
      <c r="A203" s="157"/>
      <c r="B203" s="157"/>
      <c r="C203" s="157"/>
      <c r="G203" s="18"/>
    </row>
    <row r="204" spans="1:7" ht="15.75" customHeight="1" x14ac:dyDescent="0.25">
      <c r="A204" s="157"/>
      <c r="B204" s="157"/>
      <c r="C204" s="157"/>
      <c r="G204" s="18"/>
    </row>
    <row r="205" spans="1:7" ht="15.75" customHeight="1" x14ac:dyDescent="0.25">
      <c r="A205" s="157"/>
      <c r="B205" s="157"/>
      <c r="C205" s="157"/>
      <c r="G205" s="18"/>
    </row>
    <row r="206" spans="1:7" ht="15.75" customHeight="1" x14ac:dyDescent="0.25">
      <c r="A206" s="157"/>
      <c r="B206" s="157"/>
      <c r="C206" s="157"/>
      <c r="G206" s="18"/>
    </row>
    <row r="207" spans="1:7" ht="15.75" customHeight="1" x14ac:dyDescent="0.25">
      <c r="A207" s="157"/>
      <c r="B207" s="157"/>
      <c r="C207" s="157"/>
      <c r="G207" s="18"/>
    </row>
    <row r="208" spans="1:7" ht="15.75" customHeight="1" x14ac:dyDescent="0.25">
      <c r="A208" s="157"/>
      <c r="B208" s="157"/>
      <c r="C208" s="157"/>
      <c r="G208" s="18"/>
    </row>
    <row r="209" spans="1:7" ht="15.75" customHeight="1" x14ac:dyDescent="0.25">
      <c r="A209" s="157"/>
      <c r="B209" s="157"/>
      <c r="C209" s="157"/>
      <c r="G209" s="18"/>
    </row>
    <row r="210" spans="1:7" ht="15.75" customHeight="1" x14ac:dyDescent="0.25">
      <c r="A210" s="157"/>
      <c r="B210" s="157"/>
      <c r="C210" s="157"/>
      <c r="G210" s="18"/>
    </row>
    <row r="211" spans="1:7" ht="15.75" customHeight="1" x14ac:dyDescent="0.25">
      <c r="A211" s="157"/>
      <c r="B211" s="157"/>
      <c r="C211" s="157"/>
      <c r="G211" s="18"/>
    </row>
    <row r="212" spans="1:7" ht="15.75" customHeight="1" x14ac:dyDescent="0.25">
      <c r="A212" s="157"/>
      <c r="B212" s="157"/>
      <c r="C212" s="157"/>
      <c r="G212" s="18"/>
    </row>
    <row r="213" spans="1:7" ht="15.75" customHeight="1" x14ac:dyDescent="0.25">
      <c r="A213" s="157"/>
      <c r="B213" s="157"/>
      <c r="C213" s="157"/>
      <c r="G213" s="18"/>
    </row>
    <row r="214" spans="1:7" ht="15.75" customHeight="1" x14ac:dyDescent="0.25">
      <c r="A214" s="157"/>
      <c r="B214" s="157"/>
      <c r="C214" s="157"/>
      <c r="G214" s="18"/>
    </row>
    <row r="215" spans="1:7" ht="15.75" customHeight="1" x14ac:dyDescent="0.25">
      <c r="A215" s="157"/>
      <c r="B215" s="157"/>
      <c r="C215" s="157"/>
      <c r="G215" s="18"/>
    </row>
    <row r="216" spans="1:7" ht="15.75" customHeight="1" x14ac:dyDescent="0.25">
      <c r="A216" s="157"/>
      <c r="B216" s="157"/>
      <c r="C216" s="157"/>
      <c r="G216" s="18"/>
    </row>
    <row r="217" spans="1:7" ht="15.75" customHeight="1" x14ac:dyDescent="0.25">
      <c r="A217" s="157"/>
      <c r="B217" s="157"/>
      <c r="C217" s="157"/>
      <c r="G217" s="18"/>
    </row>
    <row r="218" spans="1:7" ht="15.75" customHeight="1" x14ac:dyDescent="0.25">
      <c r="A218" s="157"/>
      <c r="B218" s="157"/>
      <c r="C218" s="157"/>
      <c r="G218" s="18"/>
    </row>
    <row r="219" spans="1:7" ht="15.75" customHeight="1" x14ac:dyDescent="0.25">
      <c r="A219" s="157"/>
      <c r="B219" s="157"/>
      <c r="C219" s="157"/>
      <c r="G219" s="18"/>
    </row>
    <row r="220" spans="1:7" ht="15.75" customHeight="1" x14ac:dyDescent="0.25">
      <c r="A220" s="157"/>
      <c r="B220" s="157"/>
      <c r="C220" s="157"/>
      <c r="G220" s="18"/>
    </row>
    <row r="221" spans="1:7" ht="15.75" customHeight="1" x14ac:dyDescent="0.25">
      <c r="A221" s="157"/>
      <c r="B221" s="157"/>
      <c r="C221" s="157"/>
      <c r="G221" s="18"/>
    </row>
    <row r="222" spans="1:7" ht="15.75" customHeight="1" x14ac:dyDescent="0.25">
      <c r="A222" s="157"/>
      <c r="B222" s="157"/>
      <c r="C222" s="157"/>
      <c r="G222" s="18"/>
    </row>
    <row r="223" spans="1:7" ht="15.75" customHeight="1" x14ac:dyDescent="0.25">
      <c r="A223" s="157"/>
      <c r="B223" s="157"/>
      <c r="C223" s="157"/>
      <c r="G223" s="18"/>
    </row>
    <row r="224" spans="1:7" ht="15.75" customHeight="1" x14ac:dyDescent="0.25">
      <c r="A224" s="157"/>
      <c r="B224" s="157"/>
      <c r="C224" s="157"/>
      <c r="G224" s="18"/>
    </row>
    <row r="225" spans="1:7" ht="15.75" customHeight="1" x14ac:dyDescent="0.25">
      <c r="A225" s="157"/>
      <c r="B225" s="157"/>
      <c r="C225" s="157"/>
      <c r="G225" s="18"/>
    </row>
    <row r="226" spans="1:7" ht="15.75" customHeight="1" x14ac:dyDescent="0.25">
      <c r="A226" s="157"/>
      <c r="B226" s="157"/>
      <c r="C226" s="157"/>
      <c r="G226" s="18"/>
    </row>
    <row r="227" spans="1:7" ht="15.75" customHeight="1" x14ac:dyDescent="0.25">
      <c r="A227" s="157"/>
      <c r="B227" s="157"/>
      <c r="C227" s="157"/>
      <c r="G227" s="18"/>
    </row>
    <row r="228" spans="1:7" ht="15.75" customHeight="1" x14ac:dyDescent="0.25">
      <c r="A228" s="157"/>
      <c r="B228" s="157"/>
      <c r="C228" s="157"/>
      <c r="G228" s="18"/>
    </row>
    <row r="229" spans="1:7" ht="15.75" customHeight="1" x14ac:dyDescent="0.25">
      <c r="A229" s="157"/>
      <c r="B229" s="157"/>
      <c r="C229" s="157"/>
      <c r="G229" s="18"/>
    </row>
    <row r="230" spans="1:7" ht="15.75" customHeight="1" x14ac:dyDescent="0.25">
      <c r="A230" s="157"/>
      <c r="B230" s="157"/>
      <c r="C230" s="157"/>
      <c r="G230" s="18"/>
    </row>
    <row r="231" spans="1:7" ht="15.75" customHeight="1" x14ac:dyDescent="0.25">
      <c r="A231" s="157"/>
      <c r="B231" s="157"/>
      <c r="C231" s="157"/>
      <c r="G231" s="18"/>
    </row>
    <row r="232" spans="1:7" ht="15.75" customHeight="1" x14ac:dyDescent="0.25">
      <c r="A232" s="157"/>
      <c r="B232" s="157"/>
      <c r="C232" s="157"/>
      <c r="G232" s="18"/>
    </row>
    <row r="233" spans="1:7" ht="15.75" customHeight="1" x14ac:dyDescent="0.25">
      <c r="A233" s="157"/>
      <c r="B233" s="157"/>
      <c r="C233" s="157"/>
      <c r="G233" s="18"/>
    </row>
    <row r="234" spans="1:7" ht="15.75" customHeight="1" x14ac:dyDescent="0.25">
      <c r="A234" s="157"/>
      <c r="B234" s="157"/>
      <c r="C234" s="157"/>
      <c r="G234" s="18"/>
    </row>
    <row r="235" spans="1:7" ht="15.75" customHeight="1" x14ac:dyDescent="0.25">
      <c r="A235" s="157"/>
      <c r="B235" s="157"/>
      <c r="C235" s="157"/>
      <c r="G235" s="18"/>
    </row>
    <row r="236" spans="1:7" ht="15.75" customHeight="1" x14ac:dyDescent="0.25">
      <c r="A236" s="157"/>
      <c r="B236" s="157"/>
      <c r="C236" s="157"/>
      <c r="G236" s="18"/>
    </row>
    <row r="237" spans="1:7" ht="15.75" customHeight="1" x14ac:dyDescent="0.25">
      <c r="A237" s="157"/>
      <c r="B237" s="157"/>
      <c r="C237" s="157"/>
      <c r="G237" s="18"/>
    </row>
    <row r="238" spans="1:7" ht="15.75" customHeight="1" x14ac:dyDescent="0.25">
      <c r="A238" s="157"/>
      <c r="B238" s="157"/>
      <c r="C238" s="157"/>
      <c r="G238" s="18"/>
    </row>
    <row r="239" spans="1:7" ht="15.75" customHeight="1" x14ac:dyDescent="0.25">
      <c r="A239" s="157"/>
      <c r="B239" s="157"/>
      <c r="C239" s="157"/>
      <c r="G239" s="18"/>
    </row>
    <row r="240" spans="1:7" ht="15.75" customHeight="1" x14ac:dyDescent="0.25">
      <c r="A240" s="157"/>
      <c r="B240" s="157"/>
      <c r="C240" s="157"/>
      <c r="G240" s="18"/>
    </row>
    <row r="241" spans="1:7" ht="15.75" customHeight="1" x14ac:dyDescent="0.25">
      <c r="A241" s="157"/>
      <c r="B241" s="157"/>
      <c r="C241" s="157"/>
      <c r="G241" s="18"/>
    </row>
    <row r="242" spans="1:7" ht="15.75" customHeight="1" x14ac:dyDescent="0.25">
      <c r="A242" s="157"/>
      <c r="B242" s="157"/>
      <c r="C242" s="157"/>
      <c r="G242" s="18"/>
    </row>
    <row r="243" spans="1:7" ht="15.75" customHeight="1" x14ac:dyDescent="0.25">
      <c r="A243" s="157"/>
      <c r="B243" s="157"/>
      <c r="C243" s="157"/>
      <c r="G243" s="18"/>
    </row>
    <row r="244" spans="1:7" ht="15.75" customHeight="1" x14ac:dyDescent="0.25">
      <c r="A244" s="157"/>
      <c r="B244" s="157"/>
      <c r="C244" s="157"/>
      <c r="G244" s="18"/>
    </row>
    <row r="245" spans="1:7" ht="15.75" customHeight="1" x14ac:dyDescent="0.25">
      <c r="A245" s="157"/>
      <c r="B245" s="157"/>
      <c r="C245" s="157"/>
      <c r="G245" s="18"/>
    </row>
    <row r="246" spans="1:7" ht="15.75" customHeight="1" x14ac:dyDescent="0.25">
      <c r="A246" s="157"/>
      <c r="B246" s="157"/>
      <c r="C246" s="157"/>
      <c r="G246" s="18"/>
    </row>
    <row r="247" spans="1:7" ht="15.75" customHeight="1" x14ac:dyDescent="0.25">
      <c r="A247" s="157"/>
      <c r="B247" s="157"/>
      <c r="C247" s="157"/>
      <c r="G247" s="18"/>
    </row>
    <row r="248" spans="1:7" ht="15.75" customHeight="1" x14ac:dyDescent="0.25">
      <c r="A248" s="157"/>
      <c r="B248" s="157"/>
      <c r="C248" s="157"/>
      <c r="G248" s="18"/>
    </row>
    <row r="249" spans="1:7" ht="15.75" customHeight="1" x14ac:dyDescent="0.25">
      <c r="A249" s="157"/>
      <c r="B249" s="157"/>
      <c r="C249" s="157"/>
      <c r="G249" s="18"/>
    </row>
    <row r="250" spans="1:7" ht="15.75" customHeight="1" x14ac:dyDescent="0.25">
      <c r="A250" s="157"/>
      <c r="B250" s="157"/>
      <c r="C250" s="157"/>
      <c r="G250" s="18"/>
    </row>
    <row r="251" spans="1:7" ht="15.75" customHeight="1" x14ac:dyDescent="0.25">
      <c r="A251" s="157"/>
      <c r="B251" s="157"/>
      <c r="C251" s="157"/>
      <c r="G251" s="18"/>
    </row>
    <row r="252" spans="1:7" ht="15.75" customHeight="1" x14ac:dyDescent="0.25">
      <c r="A252" s="157"/>
      <c r="B252" s="157"/>
      <c r="C252" s="157"/>
      <c r="G252" s="18"/>
    </row>
    <row r="253" spans="1:7" ht="15.75" customHeight="1" x14ac:dyDescent="0.25">
      <c r="A253" s="157"/>
      <c r="B253" s="157"/>
      <c r="C253" s="157"/>
      <c r="G253" s="18"/>
    </row>
    <row r="254" spans="1:7" ht="15.75" customHeight="1" x14ac:dyDescent="0.25">
      <c r="A254" s="157"/>
      <c r="B254" s="157"/>
      <c r="C254" s="157"/>
      <c r="G254" s="18"/>
    </row>
    <row r="255" spans="1:7" ht="15.75" customHeight="1" x14ac:dyDescent="0.25">
      <c r="A255" s="157"/>
      <c r="B255" s="157"/>
      <c r="C255" s="157"/>
      <c r="G255" s="18"/>
    </row>
    <row r="256" spans="1:7" ht="15.75" customHeight="1" x14ac:dyDescent="0.25">
      <c r="A256" s="157"/>
      <c r="B256" s="157"/>
      <c r="C256" s="157"/>
      <c r="G256" s="18"/>
    </row>
    <row r="257" spans="1:7" ht="15.75" customHeight="1" x14ac:dyDescent="0.25">
      <c r="A257" s="157"/>
      <c r="B257" s="157"/>
      <c r="C257" s="157"/>
      <c r="G257" s="18"/>
    </row>
    <row r="258" spans="1:7" ht="15.75" customHeight="1" x14ac:dyDescent="0.25">
      <c r="A258" s="157"/>
      <c r="B258" s="157"/>
      <c r="C258" s="157"/>
      <c r="G258" s="18"/>
    </row>
    <row r="259" spans="1:7" ht="15.75" customHeight="1" x14ac:dyDescent="0.25">
      <c r="A259" s="157"/>
      <c r="B259" s="157"/>
      <c r="C259" s="157"/>
      <c r="G259" s="18"/>
    </row>
    <row r="260" spans="1:7" ht="15.75" customHeight="1" x14ac:dyDescent="0.25">
      <c r="A260" s="157"/>
      <c r="B260" s="157"/>
      <c r="C260" s="157"/>
      <c r="G260" s="18"/>
    </row>
    <row r="261" spans="1:7" ht="15.75" customHeight="1" x14ac:dyDescent="0.25">
      <c r="A261" s="157"/>
      <c r="B261" s="157"/>
      <c r="C261" s="157"/>
      <c r="G261" s="18"/>
    </row>
    <row r="262" spans="1:7" ht="15.75" customHeight="1" x14ac:dyDescent="0.25">
      <c r="A262" s="157"/>
      <c r="B262" s="157"/>
      <c r="C262" s="157"/>
      <c r="G262" s="18"/>
    </row>
    <row r="263" spans="1:7" ht="15.75" customHeight="1" x14ac:dyDescent="0.25">
      <c r="A263" s="157"/>
      <c r="B263" s="157"/>
      <c r="C263" s="157"/>
      <c r="G263" s="18"/>
    </row>
    <row r="264" spans="1:7" ht="15.75" customHeight="1" x14ac:dyDescent="0.25">
      <c r="A264" s="157"/>
      <c r="B264" s="157"/>
      <c r="C264" s="157"/>
      <c r="G264" s="18"/>
    </row>
    <row r="265" spans="1:7" ht="15.75" customHeight="1" x14ac:dyDescent="0.25">
      <c r="A265" s="157"/>
      <c r="B265" s="157"/>
      <c r="C265" s="157"/>
      <c r="G265" s="18"/>
    </row>
    <row r="266" spans="1:7" ht="15.75" customHeight="1" x14ac:dyDescent="0.25">
      <c r="A266" s="157"/>
      <c r="B266" s="157"/>
      <c r="C266" s="157"/>
      <c r="G266" s="18"/>
    </row>
    <row r="267" spans="1:7" ht="15.75" customHeight="1" x14ac:dyDescent="0.25">
      <c r="A267" s="157"/>
      <c r="B267" s="157"/>
      <c r="C267" s="157"/>
      <c r="G267" s="18"/>
    </row>
    <row r="268" spans="1:7" ht="15.75" customHeight="1" x14ac:dyDescent="0.25">
      <c r="A268" s="157"/>
      <c r="B268" s="157"/>
      <c r="C268" s="157"/>
      <c r="G268" s="18"/>
    </row>
    <row r="269" spans="1:7" ht="15.75" customHeight="1" x14ac:dyDescent="0.25">
      <c r="A269" s="157"/>
      <c r="B269" s="157"/>
      <c r="C269" s="157"/>
      <c r="G269" s="18"/>
    </row>
    <row r="270" spans="1:7" ht="15.75" customHeight="1" x14ac:dyDescent="0.25">
      <c r="A270" s="157"/>
      <c r="B270" s="157"/>
      <c r="C270" s="157"/>
      <c r="G270" s="18"/>
    </row>
    <row r="271" spans="1:7" ht="15.75" customHeight="1" x14ac:dyDescent="0.25">
      <c r="A271" s="157"/>
      <c r="B271" s="157"/>
      <c r="C271" s="157"/>
      <c r="G271" s="18"/>
    </row>
    <row r="272" spans="1:7" ht="15.75" customHeight="1" x14ac:dyDescent="0.25">
      <c r="A272" s="157"/>
      <c r="B272" s="157"/>
      <c r="C272" s="157"/>
      <c r="G272" s="18"/>
    </row>
    <row r="273" spans="1:7" ht="15.75" customHeight="1" x14ac:dyDescent="0.25">
      <c r="A273" s="157"/>
      <c r="B273" s="157"/>
      <c r="C273" s="157"/>
      <c r="G273" s="18"/>
    </row>
    <row r="274" spans="1:7" ht="15.75" customHeight="1" x14ac:dyDescent="0.25">
      <c r="A274" s="157"/>
      <c r="B274" s="157"/>
      <c r="C274" s="157"/>
      <c r="G274" s="18"/>
    </row>
    <row r="275" spans="1:7" ht="15.75" customHeight="1" x14ac:dyDescent="0.25">
      <c r="A275" s="157"/>
      <c r="B275" s="157"/>
      <c r="C275" s="157"/>
      <c r="G275" s="18"/>
    </row>
    <row r="276" spans="1:7" ht="15.75" customHeight="1" x14ac:dyDescent="0.25">
      <c r="A276" s="157"/>
      <c r="B276" s="157"/>
      <c r="C276" s="157"/>
      <c r="G276" s="18"/>
    </row>
    <row r="277" spans="1:7" ht="15.75" customHeight="1" x14ac:dyDescent="0.25">
      <c r="A277" s="157"/>
      <c r="B277" s="157"/>
      <c r="C277" s="157"/>
      <c r="G277" s="18"/>
    </row>
    <row r="278" spans="1:7" ht="15.75" customHeight="1" x14ac:dyDescent="0.25">
      <c r="A278" s="157"/>
      <c r="B278" s="157"/>
      <c r="C278" s="157"/>
      <c r="G278" s="18"/>
    </row>
    <row r="279" spans="1:7" ht="15.75" customHeight="1" x14ac:dyDescent="0.25">
      <c r="A279" s="157"/>
      <c r="B279" s="157"/>
      <c r="C279" s="157"/>
      <c r="G279" s="18"/>
    </row>
    <row r="280" spans="1:7" ht="15.75" customHeight="1" x14ac:dyDescent="0.25">
      <c r="A280" s="157"/>
      <c r="B280" s="157"/>
      <c r="C280" s="157"/>
      <c r="G280" s="18"/>
    </row>
    <row r="281" spans="1:7" ht="15.75" customHeight="1" x14ac:dyDescent="0.25">
      <c r="A281" s="157"/>
      <c r="B281" s="157"/>
      <c r="C281" s="157"/>
      <c r="G281" s="18"/>
    </row>
    <row r="282" spans="1:7" ht="15.75" customHeight="1" x14ac:dyDescent="0.25">
      <c r="A282" s="157"/>
      <c r="B282" s="157"/>
      <c r="C282" s="157"/>
      <c r="G282" s="18"/>
    </row>
    <row r="283" spans="1:7" ht="15.75" customHeight="1" x14ac:dyDescent="0.25">
      <c r="A283" s="157"/>
      <c r="B283" s="157"/>
      <c r="C283" s="157"/>
      <c r="G283" s="18"/>
    </row>
    <row r="284" spans="1:7" ht="15.75" customHeight="1" x14ac:dyDescent="0.25">
      <c r="A284" s="157"/>
      <c r="B284" s="157"/>
      <c r="C284" s="157"/>
      <c r="G284" s="18"/>
    </row>
    <row r="285" spans="1:7" ht="15.75" customHeight="1" x14ac:dyDescent="0.25">
      <c r="A285" s="157"/>
      <c r="B285" s="157"/>
      <c r="C285" s="157"/>
      <c r="G285" s="18"/>
    </row>
    <row r="286" spans="1:7" ht="15.75" customHeight="1" x14ac:dyDescent="0.25">
      <c r="A286" s="157"/>
      <c r="B286" s="157"/>
      <c r="C286" s="157"/>
      <c r="G286" s="18"/>
    </row>
    <row r="287" spans="1:7" ht="15.75" customHeight="1" x14ac:dyDescent="0.25">
      <c r="A287" s="157"/>
      <c r="B287" s="157"/>
      <c r="C287" s="157"/>
      <c r="G287" s="18"/>
    </row>
    <row r="288" spans="1:7" ht="15.75" customHeight="1" x14ac:dyDescent="0.25">
      <c r="A288" s="157"/>
      <c r="B288" s="157"/>
      <c r="C288" s="157"/>
      <c r="G288" s="18"/>
    </row>
    <row r="289" spans="1:7" ht="15.75" customHeight="1" x14ac:dyDescent="0.25">
      <c r="A289" s="157"/>
      <c r="B289" s="157"/>
      <c r="C289" s="157"/>
      <c r="G289" s="18"/>
    </row>
    <row r="290" spans="1:7" ht="15.75" customHeight="1" x14ac:dyDescent="0.25">
      <c r="A290" s="157"/>
      <c r="B290" s="157"/>
      <c r="C290" s="157"/>
      <c r="G290" s="18"/>
    </row>
    <row r="291" spans="1:7" ht="15.75" customHeight="1" x14ac:dyDescent="0.25">
      <c r="A291" s="157"/>
      <c r="B291" s="157"/>
      <c r="C291" s="157"/>
      <c r="G291" s="18"/>
    </row>
    <row r="292" spans="1:7" ht="15.75" customHeight="1" x14ac:dyDescent="0.25">
      <c r="A292" s="157"/>
      <c r="B292" s="157"/>
      <c r="C292" s="157"/>
      <c r="G292" s="18"/>
    </row>
    <row r="293" spans="1:7" ht="15.75" customHeight="1" x14ac:dyDescent="0.25">
      <c r="A293" s="157"/>
      <c r="B293" s="157"/>
      <c r="C293" s="157"/>
      <c r="G293" s="18"/>
    </row>
    <row r="294" spans="1:7" ht="15.75" customHeight="1" x14ac:dyDescent="0.25">
      <c r="A294" s="157"/>
      <c r="B294" s="157"/>
      <c r="C294" s="157"/>
      <c r="G294" s="18"/>
    </row>
    <row r="295" spans="1:7" ht="15.75" customHeight="1" x14ac:dyDescent="0.25">
      <c r="A295" s="157"/>
      <c r="B295" s="157"/>
      <c r="C295" s="157"/>
      <c r="G295" s="18"/>
    </row>
    <row r="296" spans="1:7" ht="15.75" customHeight="1" x14ac:dyDescent="0.25">
      <c r="A296" s="157"/>
      <c r="B296" s="157"/>
      <c r="C296" s="157"/>
      <c r="G296" s="18"/>
    </row>
    <row r="297" spans="1:7" ht="15.75" customHeight="1" x14ac:dyDescent="0.25">
      <c r="A297" s="157"/>
      <c r="B297" s="157"/>
      <c r="C297" s="157"/>
      <c r="G297" s="18"/>
    </row>
    <row r="298" spans="1:7" ht="15.75" customHeight="1" x14ac:dyDescent="0.25">
      <c r="A298" s="157"/>
      <c r="B298" s="157"/>
      <c r="C298" s="157"/>
      <c r="G298" s="18"/>
    </row>
    <row r="299" spans="1:7" ht="15.75" customHeight="1" x14ac:dyDescent="0.25">
      <c r="A299" s="157"/>
      <c r="B299" s="157"/>
      <c r="C299" s="157"/>
      <c r="G299" s="18"/>
    </row>
    <row r="300" spans="1:7" ht="15.75" customHeight="1" x14ac:dyDescent="0.25">
      <c r="A300" s="157"/>
      <c r="B300" s="157"/>
      <c r="C300" s="157"/>
      <c r="G300" s="18"/>
    </row>
    <row r="301" spans="1:7" ht="15.75" customHeight="1" x14ac:dyDescent="0.25">
      <c r="A301" s="157"/>
      <c r="B301" s="157"/>
      <c r="C301" s="157"/>
      <c r="G301" s="18"/>
    </row>
    <row r="302" spans="1:7" ht="15.75" customHeight="1" x14ac:dyDescent="0.25">
      <c r="A302" s="157"/>
      <c r="B302" s="157"/>
      <c r="C302" s="157"/>
      <c r="G302" s="18"/>
    </row>
    <row r="303" spans="1:7" ht="15.75" customHeight="1" x14ac:dyDescent="0.25">
      <c r="A303" s="157"/>
      <c r="B303" s="157"/>
      <c r="C303" s="157"/>
      <c r="G303" s="18"/>
    </row>
    <row r="304" spans="1:7" ht="15.75" customHeight="1" x14ac:dyDescent="0.25">
      <c r="A304" s="157"/>
      <c r="B304" s="157"/>
      <c r="C304" s="157"/>
      <c r="G304" s="18"/>
    </row>
    <row r="305" spans="1:7" ht="15.75" customHeight="1" x14ac:dyDescent="0.25">
      <c r="A305" s="157"/>
      <c r="B305" s="157"/>
      <c r="C305" s="157"/>
      <c r="G305" s="18"/>
    </row>
    <row r="306" spans="1:7" ht="15.75" customHeight="1" x14ac:dyDescent="0.25">
      <c r="A306" s="157"/>
      <c r="B306" s="157"/>
      <c r="C306" s="157"/>
      <c r="G306" s="18"/>
    </row>
    <row r="307" spans="1:7" ht="15.75" customHeight="1" x14ac:dyDescent="0.25">
      <c r="A307" s="157"/>
      <c r="B307" s="157"/>
      <c r="C307" s="157"/>
      <c r="G307" s="18"/>
    </row>
    <row r="308" spans="1:7" ht="15.75" customHeight="1" x14ac:dyDescent="0.25">
      <c r="A308" s="157"/>
      <c r="B308" s="157"/>
      <c r="C308" s="157"/>
      <c r="G308" s="18"/>
    </row>
    <row r="309" spans="1:7" ht="15.75" customHeight="1" x14ac:dyDescent="0.25">
      <c r="A309" s="157"/>
      <c r="B309" s="157"/>
      <c r="C309" s="157"/>
      <c r="G309" s="18"/>
    </row>
    <row r="310" spans="1:7" ht="15.75" customHeight="1" x14ac:dyDescent="0.25">
      <c r="A310" s="157"/>
      <c r="B310" s="157"/>
      <c r="C310" s="157"/>
      <c r="G310" s="18"/>
    </row>
    <row r="311" spans="1:7" ht="15.75" customHeight="1" x14ac:dyDescent="0.25">
      <c r="A311" s="157"/>
      <c r="B311" s="157"/>
      <c r="C311" s="157"/>
      <c r="G311" s="18"/>
    </row>
    <row r="312" spans="1:7" ht="15.75" customHeight="1" x14ac:dyDescent="0.25">
      <c r="A312" s="157"/>
      <c r="B312" s="157"/>
      <c r="C312" s="157"/>
      <c r="G312" s="18"/>
    </row>
    <row r="313" spans="1:7" ht="15.75" customHeight="1" x14ac:dyDescent="0.25">
      <c r="A313" s="157"/>
      <c r="B313" s="157"/>
      <c r="C313" s="157"/>
      <c r="G313" s="18"/>
    </row>
    <row r="314" spans="1:7" ht="15.75" customHeight="1" x14ac:dyDescent="0.25">
      <c r="A314" s="157"/>
      <c r="B314" s="157"/>
      <c r="C314" s="157"/>
      <c r="G314" s="18"/>
    </row>
    <row r="315" spans="1:7" ht="15.75" customHeight="1" x14ac:dyDescent="0.25">
      <c r="A315" s="157"/>
      <c r="B315" s="157"/>
      <c r="C315" s="157"/>
      <c r="G315" s="18"/>
    </row>
    <row r="316" spans="1:7" ht="15.75" customHeight="1" x14ac:dyDescent="0.25">
      <c r="A316" s="157"/>
      <c r="B316" s="157"/>
      <c r="C316" s="157"/>
      <c r="G316" s="18"/>
    </row>
    <row r="317" spans="1:7" ht="15.75" customHeight="1" x14ac:dyDescent="0.25">
      <c r="A317" s="157"/>
      <c r="B317" s="157"/>
      <c r="C317" s="157"/>
      <c r="G317" s="18"/>
    </row>
    <row r="318" spans="1:7" ht="15.75" customHeight="1" x14ac:dyDescent="0.25">
      <c r="A318" s="157"/>
      <c r="B318" s="157"/>
      <c r="C318" s="157"/>
      <c r="G318" s="18"/>
    </row>
    <row r="319" spans="1:7" ht="15.75" customHeight="1" x14ac:dyDescent="0.25">
      <c r="A319" s="157"/>
      <c r="B319" s="157"/>
      <c r="C319" s="157"/>
      <c r="G319" s="18"/>
    </row>
    <row r="320" spans="1:7" ht="15.75" customHeight="1" x14ac:dyDescent="0.25">
      <c r="A320" s="157"/>
      <c r="B320" s="157"/>
      <c r="C320" s="157"/>
      <c r="G320" s="18"/>
    </row>
    <row r="321" spans="1:7" ht="15.75" customHeight="1" x14ac:dyDescent="0.25">
      <c r="A321" s="157"/>
      <c r="B321" s="157"/>
      <c r="C321" s="157"/>
      <c r="G321" s="18"/>
    </row>
    <row r="322" spans="1:7" ht="15.75" customHeight="1" x14ac:dyDescent="0.25">
      <c r="A322" s="157"/>
      <c r="B322" s="157"/>
      <c r="C322" s="157"/>
      <c r="G322" s="18"/>
    </row>
    <row r="323" spans="1:7" ht="15.75" customHeight="1" x14ac:dyDescent="0.25">
      <c r="A323" s="157"/>
      <c r="B323" s="157"/>
      <c r="C323" s="157"/>
      <c r="G323" s="18"/>
    </row>
    <row r="324" spans="1:7" ht="15.75" customHeight="1" x14ac:dyDescent="0.25">
      <c r="A324" s="157"/>
      <c r="B324" s="157"/>
      <c r="C324" s="157"/>
      <c r="G324" s="18"/>
    </row>
    <row r="325" spans="1:7" ht="15.75" customHeight="1" x14ac:dyDescent="0.25">
      <c r="A325" s="157"/>
      <c r="B325" s="157"/>
      <c r="C325" s="157"/>
      <c r="G325" s="18"/>
    </row>
    <row r="326" spans="1:7" ht="15.75" customHeight="1" x14ac:dyDescent="0.25">
      <c r="A326" s="157"/>
      <c r="B326" s="157"/>
      <c r="C326" s="157"/>
      <c r="G326" s="18"/>
    </row>
    <row r="327" spans="1:7" ht="15.75" customHeight="1" x14ac:dyDescent="0.25">
      <c r="A327" s="157"/>
      <c r="B327" s="157"/>
      <c r="C327" s="157"/>
      <c r="G327" s="18"/>
    </row>
    <row r="328" spans="1:7" ht="15.75" customHeight="1" x14ac:dyDescent="0.25">
      <c r="A328" s="157"/>
      <c r="B328" s="157"/>
      <c r="C328" s="157"/>
      <c r="G328" s="18"/>
    </row>
    <row r="329" spans="1:7" ht="15.75" customHeight="1" x14ac:dyDescent="0.25">
      <c r="A329" s="157"/>
      <c r="B329" s="157"/>
      <c r="C329" s="157"/>
      <c r="G329" s="18"/>
    </row>
    <row r="330" spans="1:7" ht="15.75" customHeight="1" x14ac:dyDescent="0.25">
      <c r="A330" s="157"/>
      <c r="B330" s="157"/>
      <c r="C330" s="157"/>
      <c r="G330" s="18"/>
    </row>
    <row r="331" spans="1:7" ht="15.75" customHeight="1" x14ac:dyDescent="0.25">
      <c r="A331" s="157"/>
      <c r="B331" s="157"/>
      <c r="C331" s="157"/>
      <c r="G331" s="18"/>
    </row>
    <row r="332" spans="1:7" ht="15.75" customHeight="1" x14ac:dyDescent="0.25">
      <c r="A332" s="157"/>
      <c r="B332" s="157"/>
      <c r="C332" s="157"/>
      <c r="G332" s="18"/>
    </row>
    <row r="333" spans="1:7" ht="15.75" customHeight="1" x14ac:dyDescent="0.25">
      <c r="A333" s="157"/>
      <c r="B333" s="157"/>
      <c r="C333" s="157"/>
      <c r="G333" s="18"/>
    </row>
    <row r="334" spans="1:7" ht="15.75" customHeight="1" x14ac:dyDescent="0.25">
      <c r="A334" s="157"/>
      <c r="B334" s="157"/>
      <c r="C334" s="157"/>
      <c r="G334" s="18"/>
    </row>
    <row r="335" spans="1:7" ht="15.75" customHeight="1" x14ac:dyDescent="0.25">
      <c r="A335" s="157"/>
      <c r="B335" s="157"/>
      <c r="C335" s="157"/>
      <c r="G335" s="18"/>
    </row>
    <row r="336" spans="1:7" ht="15.75" customHeight="1" x14ac:dyDescent="0.25">
      <c r="A336" s="157"/>
      <c r="B336" s="157"/>
      <c r="C336" s="157"/>
      <c r="G336" s="18"/>
    </row>
    <row r="337" spans="1:7" ht="15.75" customHeight="1" x14ac:dyDescent="0.25">
      <c r="A337" s="157"/>
      <c r="B337" s="157"/>
      <c r="C337" s="157"/>
      <c r="G337" s="18"/>
    </row>
    <row r="338" spans="1:7" ht="15.75" customHeight="1" x14ac:dyDescent="0.25">
      <c r="A338" s="157"/>
      <c r="B338" s="157"/>
      <c r="C338" s="157"/>
      <c r="G338" s="18"/>
    </row>
    <row r="339" spans="1:7" ht="15.75" customHeight="1" x14ac:dyDescent="0.25">
      <c r="A339" s="157"/>
      <c r="B339" s="157"/>
      <c r="C339" s="157"/>
      <c r="G339" s="18"/>
    </row>
    <row r="340" spans="1:7" ht="15.75" customHeight="1" x14ac:dyDescent="0.25">
      <c r="A340" s="157"/>
      <c r="B340" s="157"/>
      <c r="C340" s="157"/>
      <c r="G340" s="18"/>
    </row>
    <row r="341" spans="1:7" ht="15.75" customHeight="1" x14ac:dyDescent="0.25">
      <c r="A341" s="157"/>
      <c r="B341" s="157"/>
      <c r="C341" s="157"/>
      <c r="G341" s="18"/>
    </row>
    <row r="342" spans="1:7" ht="15.75" customHeight="1" x14ac:dyDescent="0.25">
      <c r="A342" s="157"/>
      <c r="B342" s="157"/>
      <c r="C342" s="157"/>
      <c r="G342" s="18"/>
    </row>
    <row r="343" spans="1:7" ht="15.75" customHeight="1" x14ac:dyDescent="0.25">
      <c r="A343" s="157"/>
      <c r="B343" s="157"/>
      <c r="C343" s="157"/>
      <c r="G343" s="18"/>
    </row>
    <row r="344" spans="1:7" ht="15.75" customHeight="1" x14ac:dyDescent="0.25">
      <c r="A344" s="157"/>
      <c r="B344" s="157"/>
      <c r="C344" s="157"/>
      <c r="G344" s="18"/>
    </row>
    <row r="345" spans="1:7" ht="15.75" customHeight="1" x14ac:dyDescent="0.25">
      <c r="A345" s="157"/>
      <c r="B345" s="157"/>
      <c r="C345" s="157"/>
      <c r="G345" s="18"/>
    </row>
    <row r="346" spans="1:7" ht="15.75" customHeight="1" x14ac:dyDescent="0.25">
      <c r="A346" s="157"/>
      <c r="B346" s="157"/>
      <c r="C346" s="157"/>
      <c r="G346" s="18"/>
    </row>
    <row r="347" spans="1:7" ht="15.75" customHeight="1" x14ac:dyDescent="0.25">
      <c r="A347" s="157"/>
      <c r="B347" s="157"/>
      <c r="C347" s="157"/>
      <c r="G347" s="18"/>
    </row>
    <row r="348" spans="1:7" ht="15.75" customHeight="1" x14ac:dyDescent="0.25">
      <c r="A348" s="157"/>
      <c r="B348" s="157"/>
      <c r="C348" s="157"/>
      <c r="G348" s="18"/>
    </row>
    <row r="349" spans="1:7" ht="15.75" customHeight="1" x14ac:dyDescent="0.25">
      <c r="A349" s="157"/>
      <c r="B349" s="157"/>
      <c r="C349" s="157"/>
      <c r="G349" s="18"/>
    </row>
    <row r="350" spans="1:7" ht="15.75" customHeight="1" x14ac:dyDescent="0.25">
      <c r="A350" s="157"/>
      <c r="B350" s="157"/>
      <c r="C350" s="157"/>
      <c r="G350" s="18"/>
    </row>
    <row r="351" spans="1:7" ht="15.75" customHeight="1" x14ac:dyDescent="0.25">
      <c r="A351" s="157"/>
      <c r="B351" s="157"/>
      <c r="C351" s="157"/>
      <c r="G351" s="18"/>
    </row>
    <row r="352" spans="1:7" ht="15.75" customHeight="1" x14ac:dyDescent="0.25">
      <c r="A352" s="157"/>
      <c r="B352" s="157"/>
      <c r="C352" s="157"/>
      <c r="G352" s="18"/>
    </row>
    <row r="353" spans="1:7" ht="15.75" customHeight="1" x14ac:dyDescent="0.25">
      <c r="A353" s="157"/>
      <c r="B353" s="157"/>
      <c r="C353" s="157"/>
      <c r="G353" s="18"/>
    </row>
    <row r="354" spans="1:7" ht="15.75" customHeight="1" x14ac:dyDescent="0.25">
      <c r="A354" s="157"/>
      <c r="B354" s="157"/>
      <c r="C354" s="157"/>
      <c r="G354" s="18"/>
    </row>
    <row r="355" spans="1:7" ht="15.75" customHeight="1" x14ac:dyDescent="0.25">
      <c r="A355" s="157"/>
      <c r="B355" s="157"/>
      <c r="C355" s="157"/>
      <c r="G355" s="18"/>
    </row>
    <row r="356" spans="1:7" ht="15.75" customHeight="1" x14ac:dyDescent="0.25">
      <c r="A356" s="157"/>
      <c r="B356" s="157"/>
      <c r="C356" s="157"/>
      <c r="G356" s="18"/>
    </row>
    <row r="357" spans="1:7" ht="15.75" customHeight="1" x14ac:dyDescent="0.25">
      <c r="A357" s="157"/>
      <c r="B357" s="157"/>
      <c r="C357" s="157"/>
      <c r="G357" s="18"/>
    </row>
    <row r="358" spans="1:7" ht="15.75" customHeight="1" x14ac:dyDescent="0.25">
      <c r="A358" s="157"/>
      <c r="B358" s="157"/>
      <c r="C358" s="157"/>
      <c r="G358" s="18"/>
    </row>
    <row r="359" spans="1:7" ht="15.75" customHeight="1" x14ac:dyDescent="0.25">
      <c r="A359" s="157"/>
      <c r="B359" s="157"/>
      <c r="C359" s="157"/>
      <c r="G359" s="18"/>
    </row>
    <row r="360" spans="1:7" ht="15.75" customHeight="1" x14ac:dyDescent="0.25">
      <c r="A360" s="157"/>
      <c r="B360" s="157"/>
      <c r="C360" s="157"/>
      <c r="G360" s="18"/>
    </row>
    <row r="361" spans="1:7" ht="15.75" customHeight="1" x14ac:dyDescent="0.25">
      <c r="A361" s="157"/>
      <c r="B361" s="157"/>
      <c r="C361" s="157"/>
      <c r="G361" s="18"/>
    </row>
    <row r="362" spans="1:7" ht="15.75" customHeight="1" x14ac:dyDescent="0.25">
      <c r="A362" s="157"/>
      <c r="B362" s="157"/>
      <c r="C362" s="157"/>
      <c r="G362" s="18"/>
    </row>
    <row r="363" spans="1:7" ht="15.75" customHeight="1" x14ac:dyDescent="0.25">
      <c r="A363" s="157"/>
      <c r="B363" s="157"/>
      <c r="C363" s="157"/>
      <c r="G363" s="18"/>
    </row>
    <row r="364" spans="1:7" ht="15.75" customHeight="1" x14ac:dyDescent="0.25">
      <c r="A364" s="157"/>
      <c r="B364" s="157"/>
      <c r="C364" s="157"/>
      <c r="G364" s="18"/>
    </row>
    <row r="365" spans="1:7" ht="15.75" customHeight="1" x14ac:dyDescent="0.25">
      <c r="A365" s="157"/>
      <c r="B365" s="157"/>
      <c r="C365" s="157"/>
      <c r="G365" s="18"/>
    </row>
    <row r="366" spans="1:7" ht="15.75" customHeight="1" x14ac:dyDescent="0.25">
      <c r="A366" s="157"/>
      <c r="B366" s="157"/>
      <c r="C366" s="157"/>
      <c r="G366" s="18"/>
    </row>
    <row r="367" spans="1:7" ht="15.75" customHeight="1" x14ac:dyDescent="0.25">
      <c r="A367" s="157"/>
      <c r="B367" s="157"/>
      <c r="C367" s="157"/>
      <c r="G367" s="18"/>
    </row>
    <row r="368" spans="1:7" ht="15.75" customHeight="1" x14ac:dyDescent="0.25">
      <c r="A368" s="157"/>
      <c r="B368" s="157"/>
      <c r="C368" s="157"/>
      <c r="G368" s="18"/>
    </row>
    <row r="369" spans="1:7" ht="15.75" customHeight="1" x14ac:dyDescent="0.25">
      <c r="A369" s="157"/>
      <c r="B369" s="157"/>
      <c r="C369" s="157"/>
      <c r="G369" s="18"/>
    </row>
    <row r="370" spans="1:7" ht="15.75" customHeight="1" x14ac:dyDescent="0.25">
      <c r="A370" s="157"/>
      <c r="B370" s="157"/>
      <c r="C370" s="157"/>
      <c r="G370" s="18"/>
    </row>
    <row r="371" spans="1:7" ht="15.75" customHeight="1" x14ac:dyDescent="0.25">
      <c r="A371" s="157"/>
      <c r="B371" s="157"/>
      <c r="C371" s="157"/>
      <c r="G371" s="18"/>
    </row>
    <row r="372" spans="1:7" ht="15.75" customHeight="1" x14ac:dyDescent="0.25">
      <c r="A372" s="157"/>
      <c r="B372" s="157"/>
      <c r="C372" s="157"/>
      <c r="G372" s="18"/>
    </row>
    <row r="373" spans="1:7" ht="15.75" customHeight="1" x14ac:dyDescent="0.25">
      <c r="A373" s="157"/>
      <c r="B373" s="157"/>
      <c r="C373" s="157"/>
      <c r="G373" s="18"/>
    </row>
    <row r="374" spans="1:7" ht="15.75" customHeight="1" x14ac:dyDescent="0.25">
      <c r="A374" s="157"/>
      <c r="B374" s="157"/>
      <c r="C374" s="157"/>
      <c r="G374" s="18"/>
    </row>
    <row r="375" spans="1:7" ht="15.75" customHeight="1" x14ac:dyDescent="0.25">
      <c r="A375" s="157"/>
      <c r="B375" s="157"/>
      <c r="C375" s="157"/>
      <c r="G375" s="18"/>
    </row>
    <row r="376" spans="1:7" ht="15.75" customHeight="1" x14ac:dyDescent="0.25">
      <c r="A376" s="157"/>
      <c r="B376" s="157"/>
      <c r="C376" s="157"/>
      <c r="G376" s="18"/>
    </row>
    <row r="377" spans="1:7" ht="15.75" customHeight="1" x14ac:dyDescent="0.25">
      <c r="A377" s="157"/>
      <c r="B377" s="157"/>
      <c r="C377" s="157"/>
      <c r="G377" s="18"/>
    </row>
    <row r="378" spans="1:7" ht="15.75" customHeight="1" x14ac:dyDescent="0.25">
      <c r="A378" s="157"/>
      <c r="B378" s="157"/>
      <c r="C378" s="157"/>
      <c r="G378" s="18"/>
    </row>
    <row r="379" spans="1:7" ht="15.75" customHeight="1" x14ac:dyDescent="0.25">
      <c r="A379" s="157"/>
      <c r="B379" s="157"/>
      <c r="C379" s="157"/>
      <c r="G379" s="18"/>
    </row>
    <row r="380" spans="1:7" ht="15.75" customHeight="1" x14ac:dyDescent="0.25">
      <c r="A380" s="157"/>
      <c r="B380" s="157"/>
      <c r="C380" s="157"/>
      <c r="G380" s="18"/>
    </row>
    <row r="381" spans="1:7" ht="15.75" customHeight="1" x14ac:dyDescent="0.25">
      <c r="A381" s="157"/>
      <c r="B381" s="157"/>
      <c r="C381" s="157"/>
      <c r="G381" s="18"/>
    </row>
    <row r="382" spans="1:7" ht="15.75" customHeight="1" x14ac:dyDescent="0.25">
      <c r="A382" s="157"/>
      <c r="B382" s="157"/>
      <c r="C382" s="157"/>
      <c r="G382" s="18"/>
    </row>
    <row r="383" spans="1:7" ht="15.75" customHeight="1" x14ac:dyDescent="0.25">
      <c r="A383" s="157"/>
      <c r="B383" s="157"/>
      <c r="C383" s="157"/>
      <c r="G383" s="18"/>
    </row>
    <row r="384" spans="1:7" ht="15.75" customHeight="1" x14ac:dyDescent="0.25">
      <c r="A384" s="157"/>
      <c r="B384" s="157"/>
      <c r="C384" s="157"/>
      <c r="G384" s="18"/>
    </row>
    <row r="385" spans="1:7" ht="15.75" customHeight="1" x14ac:dyDescent="0.25">
      <c r="A385" s="157"/>
      <c r="B385" s="157"/>
      <c r="C385" s="157"/>
      <c r="G385" s="18"/>
    </row>
    <row r="386" spans="1:7" ht="15.75" customHeight="1" x14ac:dyDescent="0.25">
      <c r="A386" s="157"/>
      <c r="B386" s="157"/>
      <c r="C386" s="157"/>
      <c r="G386" s="18"/>
    </row>
    <row r="387" spans="1:7" ht="15.75" customHeight="1" x14ac:dyDescent="0.25">
      <c r="A387" s="157"/>
      <c r="B387" s="157"/>
      <c r="C387" s="157"/>
      <c r="G387" s="18"/>
    </row>
    <row r="388" spans="1:7" ht="15.75" customHeight="1" x14ac:dyDescent="0.25">
      <c r="A388" s="157"/>
      <c r="B388" s="157"/>
      <c r="C388" s="157"/>
      <c r="G388" s="18"/>
    </row>
    <row r="389" spans="1:7" ht="15.75" customHeight="1" x14ac:dyDescent="0.25">
      <c r="A389" s="157"/>
      <c r="B389" s="157"/>
      <c r="C389" s="157"/>
      <c r="G389" s="18"/>
    </row>
    <row r="390" spans="1:7" ht="15.75" customHeight="1" x14ac:dyDescent="0.25">
      <c r="A390" s="157"/>
      <c r="B390" s="157"/>
      <c r="C390" s="157"/>
      <c r="G390" s="18"/>
    </row>
    <row r="391" spans="1:7" ht="15.75" customHeight="1" x14ac:dyDescent="0.25">
      <c r="A391" s="157"/>
      <c r="B391" s="157"/>
      <c r="C391" s="157"/>
      <c r="G391" s="18"/>
    </row>
    <row r="392" spans="1:7" ht="15.75" customHeight="1" x14ac:dyDescent="0.25">
      <c r="A392" s="157"/>
      <c r="B392" s="157"/>
      <c r="C392" s="157"/>
      <c r="G392" s="18"/>
    </row>
    <row r="393" spans="1:7" ht="15.75" customHeight="1" x14ac:dyDescent="0.25">
      <c r="A393" s="157"/>
      <c r="B393" s="157"/>
      <c r="C393" s="157"/>
      <c r="G393" s="18"/>
    </row>
    <row r="394" spans="1:7" ht="15.75" customHeight="1" x14ac:dyDescent="0.25">
      <c r="A394" s="157"/>
      <c r="B394" s="157"/>
      <c r="C394" s="157"/>
      <c r="G394" s="18"/>
    </row>
    <row r="395" spans="1:7" ht="15.75" customHeight="1" x14ac:dyDescent="0.25">
      <c r="A395" s="157"/>
      <c r="B395" s="157"/>
      <c r="C395" s="157"/>
      <c r="G395" s="18"/>
    </row>
    <row r="396" spans="1:7" ht="15.75" customHeight="1" x14ac:dyDescent="0.25">
      <c r="A396" s="157"/>
      <c r="B396" s="157"/>
      <c r="C396" s="157"/>
      <c r="G396" s="18"/>
    </row>
    <row r="397" spans="1:7" ht="15.75" customHeight="1" x14ac:dyDescent="0.25">
      <c r="A397" s="157"/>
      <c r="B397" s="157"/>
      <c r="C397" s="157"/>
      <c r="G397" s="18"/>
    </row>
    <row r="398" spans="1:7" ht="15.75" customHeight="1" x14ac:dyDescent="0.25">
      <c r="A398" s="157"/>
      <c r="B398" s="157"/>
      <c r="C398" s="157"/>
      <c r="G398" s="18"/>
    </row>
    <row r="399" spans="1:7" ht="15.75" customHeight="1" x14ac:dyDescent="0.25">
      <c r="A399" s="157"/>
      <c r="B399" s="157"/>
      <c r="C399" s="157"/>
      <c r="G399" s="18"/>
    </row>
    <row r="400" spans="1:7" ht="15.75" customHeight="1" x14ac:dyDescent="0.25">
      <c r="A400" s="157"/>
      <c r="B400" s="157"/>
      <c r="C400" s="157"/>
      <c r="G400" s="18"/>
    </row>
    <row r="401" spans="1:7" ht="15.75" customHeight="1" x14ac:dyDescent="0.25">
      <c r="A401" s="157"/>
      <c r="B401" s="157"/>
      <c r="C401" s="157"/>
      <c r="G401" s="18"/>
    </row>
    <row r="402" spans="1:7" ht="15.75" customHeight="1" x14ac:dyDescent="0.25">
      <c r="A402" s="157"/>
      <c r="B402" s="157"/>
      <c r="C402" s="157"/>
      <c r="G402" s="18"/>
    </row>
    <row r="403" spans="1:7" ht="15.75" customHeight="1" x14ac:dyDescent="0.25">
      <c r="A403" s="157"/>
      <c r="B403" s="157"/>
      <c r="C403" s="157"/>
      <c r="G403" s="18"/>
    </row>
    <row r="404" spans="1:7" ht="15.75" customHeight="1" x14ac:dyDescent="0.25">
      <c r="A404" s="157"/>
      <c r="B404" s="157"/>
      <c r="C404" s="157"/>
      <c r="G404" s="18"/>
    </row>
    <row r="405" spans="1:7" ht="15.75" customHeight="1" x14ac:dyDescent="0.25">
      <c r="A405" s="157"/>
      <c r="B405" s="157"/>
      <c r="C405" s="157"/>
      <c r="G405" s="18"/>
    </row>
    <row r="406" spans="1:7" ht="15.75" customHeight="1" x14ac:dyDescent="0.25">
      <c r="A406" s="157"/>
      <c r="B406" s="157"/>
      <c r="C406" s="157"/>
      <c r="G406" s="18"/>
    </row>
    <row r="407" spans="1:7" ht="15.75" customHeight="1" x14ac:dyDescent="0.25">
      <c r="A407" s="157"/>
      <c r="B407" s="157"/>
      <c r="C407" s="157"/>
      <c r="G407" s="18"/>
    </row>
    <row r="408" spans="1:7" ht="15.75" customHeight="1" x14ac:dyDescent="0.25">
      <c r="A408" s="157"/>
      <c r="B408" s="157"/>
      <c r="C408" s="157"/>
      <c r="G408" s="18"/>
    </row>
    <row r="409" spans="1:7" ht="15.75" customHeight="1" x14ac:dyDescent="0.25">
      <c r="A409" s="157"/>
      <c r="B409" s="157"/>
      <c r="C409" s="157"/>
      <c r="G409" s="18"/>
    </row>
    <row r="410" spans="1:7" ht="15.75" customHeight="1" x14ac:dyDescent="0.25">
      <c r="A410" s="157"/>
      <c r="B410" s="157"/>
      <c r="C410" s="157"/>
      <c r="G410" s="18"/>
    </row>
    <row r="411" spans="1:7" ht="15.75" customHeight="1" x14ac:dyDescent="0.25">
      <c r="A411" s="157"/>
      <c r="B411" s="157"/>
      <c r="C411" s="157"/>
      <c r="G411" s="18"/>
    </row>
    <row r="412" spans="1:7" ht="15.75" customHeight="1" x14ac:dyDescent="0.25">
      <c r="A412" s="157"/>
      <c r="B412" s="157"/>
      <c r="C412" s="157"/>
      <c r="G412" s="18"/>
    </row>
    <row r="413" spans="1:7" ht="15.75" customHeight="1" x14ac:dyDescent="0.25">
      <c r="A413" s="157"/>
      <c r="B413" s="157"/>
      <c r="C413" s="157"/>
      <c r="G413" s="18"/>
    </row>
    <row r="414" spans="1:7" ht="15.75" customHeight="1" x14ac:dyDescent="0.25">
      <c r="A414" s="157"/>
      <c r="B414" s="157"/>
      <c r="C414" s="157"/>
      <c r="G414" s="18"/>
    </row>
    <row r="415" spans="1:7" ht="15.75" customHeight="1" x14ac:dyDescent="0.25">
      <c r="A415" s="157"/>
      <c r="B415" s="157"/>
      <c r="C415" s="157"/>
      <c r="G415" s="18"/>
    </row>
    <row r="416" spans="1:7" ht="15.75" customHeight="1" x14ac:dyDescent="0.25">
      <c r="A416" s="157"/>
      <c r="B416" s="157"/>
      <c r="C416" s="157"/>
      <c r="G416" s="18"/>
    </row>
    <row r="417" spans="1:7" ht="15.75" customHeight="1" x14ac:dyDescent="0.25">
      <c r="A417" s="157"/>
      <c r="B417" s="157"/>
      <c r="C417" s="157"/>
      <c r="G417" s="18"/>
    </row>
    <row r="418" spans="1:7" ht="15.75" customHeight="1" x14ac:dyDescent="0.25">
      <c r="A418" s="157"/>
      <c r="B418" s="157"/>
      <c r="C418" s="157"/>
      <c r="G418" s="18"/>
    </row>
    <row r="419" spans="1:7" ht="15.75" customHeight="1" x14ac:dyDescent="0.25">
      <c r="A419" s="157"/>
      <c r="B419" s="157"/>
      <c r="C419" s="157"/>
      <c r="G419" s="18"/>
    </row>
    <row r="420" spans="1:7" ht="15.75" customHeight="1" x14ac:dyDescent="0.25">
      <c r="A420" s="157"/>
      <c r="B420" s="157"/>
      <c r="C420" s="157"/>
      <c r="G420" s="18"/>
    </row>
    <row r="421" spans="1:7" ht="15.75" customHeight="1" x14ac:dyDescent="0.25">
      <c r="A421" s="157"/>
      <c r="B421" s="157"/>
      <c r="C421" s="157"/>
      <c r="G421" s="18"/>
    </row>
    <row r="422" spans="1:7" ht="15.75" customHeight="1" x14ac:dyDescent="0.25">
      <c r="A422" s="157"/>
      <c r="B422" s="157"/>
      <c r="C422" s="157"/>
      <c r="G422" s="18"/>
    </row>
    <row r="423" spans="1:7" ht="15.75" customHeight="1" x14ac:dyDescent="0.25">
      <c r="A423" s="157"/>
      <c r="B423" s="157"/>
      <c r="C423" s="157"/>
      <c r="G423" s="18"/>
    </row>
    <row r="424" spans="1:7" ht="15.75" customHeight="1" x14ac:dyDescent="0.25">
      <c r="A424" s="157"/>
      <c r="B424" s="157"/>
      <c r="C424" s="157"/>
      <c r="G424" s="18"/>
    </row>
    <row r="425" spans="1:7" ht="15.75" customHeight="1" x14ac:dyDescent="0.25">
      <c r="A425" s="157"/>
      <c r="B425" s="157"/>
      <c r="C425" s="157"/>
      <c r="G425" s="18"/>
    </row>
    <row r="426" spans="1:7" ht="15.75" customHeight="1" x14ac:dyDescent="0.25">
      <c r="A426" s="157"/>
      <c r="B426" s="157"/>
      <c r="C426" s="157"/>
      <c r="G426" s="18"/>
    </row>
    <row r="427" spans="1:7" ht="15.75" customHeight="1" x14ac:dyDescent="0.25">
      <c r="A427" s="157"/>
      <c r="B427" s="157"/>
      <c r="C427" s="157"/>
      <c r="G427" s="18"/>
    </row>
    <row r="428" spans="1:7" ht="15.75" customHeight="1" x14ac:dyDescent="0.25">
      <c r="A428" s="157"/>
      <c r="B428" s="157"/>
      <c r="C428" s="157"/>
      <c r="G428" s="18"/>
    </row>
    <row r="429" spans="1:7" ht="15.75" customHeight="1" x14ac:dyDescent="0.25">
      <c r="A429" s="157"/>
      <c r="B429" s="157"/>
      <c r="C429" s="157"/>
      <c r="G429" s="18"/>
    </row>
    <row r="430" spans="1:7" ht="15.75" customHeight="1" x14ac:dyDescent="0.25">
      <c r="A430" s="157"/>
      <c r="B430" s="157"/>
      <c r="C430" s="157"/>
      <c r="G430" s="18"/>
    </row>
    <row r="431" spans="1:7" ht="15.75" customHeight="1" x14ac:dyDescent="0.25">
      <c r="A431" s="157"/>
      <c r="B431" s="157"/>
      <c r="C431" s="157"/>
      <c r="G431" s="18"/>
    </row>
    <row r="432" spans="1:7" ht="15.75" customHeight="1" x14ac:dyDescent="0.25">
      <c r="A432" s="157"/>
      <c r="B432" s="157"/>
      <c r="C432" s="157"/>
      <c r="G432" s="18"/>
    </row>
    <row r="433" spans="1:7" ht="15.75" customHeight="1" x14ac:dyDescent="0.25">
      <c r="A433" s="157"/>
      <c r="B433" s="157"/>
      <c r="C433" s="157"/>
      <c r="G433" s="18"/>
    </row>
    <row r="434" spans="1:7" ht="15.75" customHeight="1" x14ac:dyDescent="0.25">
      <c r="A434" s="157"/>
      <c r="B434" s="157"/>
      <c r="C434" s="157"/>
      <c r="G434" s="18"/>
    </row>
    <row r="435" spans="1:7" ht="15.75" customHeight="1" x14ac:dyDescent="0.25">
      <c r="A435" s="157"/>
      <c r="B435" s="157"/>
      <c r="C435" s="157"/>
      <c r="G435" s="18"/>
    </row>
    <row r="436" spans="1:7" ht="15.75" customHeight="1" x14ac:dyDescent="0.25">
      <c r="A436" s="157"/>
      <c r="B436" s="157"/>
      <c r="C436" s="157"/>
      <c r="G436" s="18"/>
    </row>
    <row r="437" spans="1:7" ht="15.75" customHeight="1" x14ac:dyDescent="0.25">
      <c r="A437" s="157"/>
      <c r="B437" s="157"/>
      <c r="C437" s="157"/>
      <c r="G437" s="18"/>
    </row>
    <row r="438" spans="1:7" ht="15.75" customHeight="1" x14ac:dyDescent="0.25">
      <c r="A438" s="157"/>
      <c r="B438" s="157"/>
      <c r="C438" s="157"/>
      <c r="G438" s="18"/>
    </row>
    <row r="439" spans="1:7" ht="15.75" customHeight="1" x14ac:dyDescent="0.25">
      <c r="A439" s="157"/>
      <c r="B439" s="157"/>
      <c r="C439" s="157"/>
      <c r="G439" s="18"/>
    </row>
    <row r="440" spans="1:7" ht="15.75" customHeight="1" x14ac:dyDescent="0.25">
      <c r="A440" s="157"/>
      <c r="B440" s="157"/>
      <c r="C440" s="157"/>
      <c r="G440" s="18"/>
    </row>
    <row r="441" spans="1:7" ht="15.75" customHeight="1" x14ac:dyDescent="0.25">
      <c r="A441" s="157"/>
      <c r="B441" s="157"/>
      <c r="C441" s="157"/>
      <c r="G441" s="18"/>
    </row>
    <row r="442" spans="1:7" ht="15.75" customHeight="1" x14ac:dyDescent="0.25">
      <c r="A442" s="157"/>
      <c r="B442" s="157"/>
      <c r="C442" s="157"/>
      <c r="G442" s="18"/>
    </row>
    <row r="443" spans="1:7" ht="15.75" customHeight="1" x14ac:dyDescent="0.25">
      <c r="A443" s="157"/>
      <c r="B443" s="157"/>
      <c r="C443" s="157"/>
      <c r="G443" s="18"/>
    </row>
    <row r="444" spans="1:7" ht="15.75" customHeight="1" x14ac:dyDescent="0.25">
      <c r="A444" s="157"/>
      <c r="B444" s="157"/>
      <c r="C444" s="157"/>
      <c r="G444" s="18"/>
    </row>
    <row r="445" spans="1:7" ht="15.75" customHeight="1" x14ac:dyDescent="0.25">
      <c r="A445" s="157"/>
      <c r="B445" s="157"/>
      <c r="C445" s="157"/>
      <c r="G445" s="18"/>
    </row>
    <row r="446" spans="1:7" ht="15.75" customHeight="1" x14ac:dyDescent="0.25">
      <c r="A446" s="157"/>
      <c r="B446" s="157"/>
      <c r="C446" s="157"/>
      <c r="G446" s="18"/>
    </row>
    <row r="447" spans="1:7" ht="15.75" customHeight="1" x14ac:dyDescent="0.25">
      <c r="A447" s="157"/>
      <c r="B447" s="157"/>
      <c r="C447" s="157"/>
      <c r="G447" s="18"/>
    </row>
    <row r="448" spans="1:7" ht="15.75" customHeight="1" x14ac:dyDescent="0.25">
      <c r="A448" s="157"/>
      <c r="B448" s="157"/>
      <c r="C448" s="157"/>
      <c r="G448" s="18"/>
    </row>
    <row r="449" spans="1:7" ht="15.75" customHeight="1" x14ac:dyDescent="0.25">
      <c r="A449" s="157"/>
      <c r="B449" s="157"/>
      <c r="C449" s="157"/>
      <c r="G449" s="18"/>
    </row>
    <row r="450" spans="1:7" ht="15.75" customHeight="1" x14ac:dyDescent="0.25">
      <c r="A450" s="157"/>
      <c r="B450" s="157"/>
      <c r="C450" s="157"/>
      <c r="G450" s="18"/>
    </row>
    <row r="451" spans="1:7" ht="15.75" customHeight="1" x14ac:dyDescent="0.25">
      <c r="A451" s="157"/>
      <c r="B451" s="157"/>
      <c r="C451" s="157"/>
      <c r="G451" s="18"/>
    </row>
    <row r="452" spans="1:7" ht="15.75" customHeight="1" x14ac:dyDescent="0.25">
      <c r="A452" s="157"/>
      <c r="B452" s="157"/>
      <c r="C452" s="157"/>
      <c r="G452" s="18"/>
    </row>
    <row r="453" spans="1:7" ht="15.75" customHeight="1" x14ac:dyDescent="0.25">
      <c r="A453" s="157"/>
      <c r="B453" s="157"/>
      <c r="C453" s="157"/>
      <c r="G453" s="18"/>
    </row>
    <row r="454" spans="1:7" ht="15.75" customHeight="1" x14ac:dyDescent="0.25">
      <c r="A454" s="157"/>
      <c r="B454" s="157"/>
      <c r="C454" s="157"/>
      <c r="G454" s="18"/>
    </row>
    <row r="455" spans="1:7" ht="15.75" customHeight="1" x14ac:dyDescent="0.25">
      <c r="A455" s="157"/>
      <c r="B455" s="157"/>
      <c r="C455" s="157"/>
      <c r="G455" s="18"/>
    </row>
    <row r="456" spans="1:7" ht="15.75" customHeight="1" x14ac:dyDescent="0.25">
      <c r="A456" s="157"/>
      <c r="B456" s="157"/>
      <c r="C456" s="157"/>
      <c r="G456" s="18"/>
    </row>
    <row r="457" spans="1:7" ht="15.75" customHeight="1" x14ac:dyDescent="0.25">
      <c r="A457" s="157"/>
      <c r="B457" s="157"/>
      <c r="C457" s="157"/>
      <c r="G457" s="18"/>
    </row>
    <row r="458" spans="1:7" ht="15.75" customHeight="1" x14ac:dyDescent="0.25">
      <c r="A458" s="157"/>
      <c r="B458" s="157"/>
      <c r="C458" s="157"/>
      <c r="G458" s="18"/>
    </row>
    <row r="459" spans="1:7" ht="15.75" customHeight="1" x14ac:dyDescent="0.25">
      <c r="A459" s="157"/>
      <c r="B459" s="157"/>
      <c r="C459" s="157"/>
      <c r="G459" s="18"/>
    </row>
    <row r="460" spans="1:7" ht="15.75" customHeight="1" x14ac:dyDescent="0.25">
      <c r="A460" s="157"/>
      <c r="B460" s="157"/>
      <c r="C460" s="157"/>
      <c r="G460" s="18"/>
    </row>
    <row r="461" spans="1:7" ht="15.75" customHeight="1" x14ac:dyDescent="0.25">
      <c r="A461" s="157"/>
      <c r="B461" s="157"/>
      <c r="C461" s="157"/>
      <c r="G461" s="18"/>
    </row>
    <row r="462" spans="1:7" ht="15.75" customHeight="1" x14ac:dyDescent="0.25">
      <c r="A462" s="157"/>
      <c r="B462" s="157"/>
      <c r="C462" s="157"/>
      <c r="G462" s="18"/>
    </row>
    <row r="463" spans="1:7" ht="15.75" customHeight="1" x14ac:dyDescent="0.25">
      <c r="A463" s="157"/>
      <c r="B463" s="157"/>
      <c r="C463" s="157"/>
      <c r="G463" s="18"/>
    </row>
    <row r="464" spans="1:7" ht="15.75" customHeight="1" x14ac:dyDescent="0.25">
      <c r="A464" s="157"/>
      <c r="B464" s="157"/>
      <c r="C464" s="157"/>
      <c r="G464" s="18"/>
    </row>
    <row r="465" spans="1:7" ht="15.75" customHeight="1" x14ac:dyDescent="0.25">
      <c r="A465" s="157"/>
      <c r="B465" s="157"/>
      <c r="C465" s="157"/>
      <c r="G465" s="18"/>
    </row>
    <row r="466" spans="1:7" ht="15.75" customHeight="1" x14ac:dyDescent="0.25">
      <c r="A466" s="157"/>
      <c r="B466" s="157"/>
      <c r="C466" s="157"/>
      <c r="G466" s="18"/>
    </row>
    <row r="467" spans="1:7" ht="15.75" customHeight="1" x14ac:dyDescent="0.25">
      <c r="A467" s="157"/>
      <c r="B467" s="157"/>
      <c r="C467" s="157"/>
      <c r="G467" s="18"/>
    </row>
    <row r="468" spans="1:7" ht="15.75" customHeight="1" x14ac:dyDescent="0.25">
      <c r="A468" s="157"/>
      <c r="B468" s="157"/>
      <c r="C468" s="157"/>
      <c r="G468" s="18"/>
    </row>
    <row r="469" spans="1:7" ht="15.75" customHeight="1" x14ac:dyDescent="0.25">
      <c r="A469" s="157"/>
      <c r="B469" s="157"/>
      <c r="C469" s="157"/>
      <c r="G469" s="18"/>
    </row>
    <row r="470" spans="1:7" ht="15.75" customHeight="1" x14ac:dyDescent="0.25">
      <c r="A470" s="157"/>
      <c r="B470" s="157"/>
      <c r="C470" s="157"/>
      <c r="G470" s="18"/>
    </row>
    <row r="471" spans="1:7" ht="15.75" customHeight="1" x14ac:dyDescent="0.25">
      <c r="A471" s="157"/>
      <c r="B471" s="157"/>
      <c r="C471" s="157"/>
      <c r="G471" s="18"/>
    </row>
    <row r="472" spans="1:7" ht="15.75" customHeight="1" x14ac:dyDescent="0.25">
      <c r="A472" s="157"/>
      <c r="B472" s="157"/>
      <c r="C472" s="157"/>
      <c r="G472" s="18"/>
    </row>
    <row r="473" spans="1:7" ht="15.75" customHeight="1" x14ac:dyDescent="0.25">
      <c r="A473" s="157"/>
      <c r="B473" s="157"/>
      <c r="C473" s="157"/>
      <c r="G473" s="18"/>
    </row>
    <row r="474" spans="1:7" ht="15.75" customHeight="1" x14ac:dyDescent="0.25">
      <c r="A474" s="157"/>
      <c r="B474" s="157"/>
      <c r="C474" s="157"/>
      <c r="G474" s="18"/>
    </row>
    <row r="475" spans="1:7" ht="15.75" customHeight="1" x14ac:dyDescent="0.25">
      <c r="A475" s="157"/>
      <c r="B475" s="157"/>
      <c r="C475" s="157"/>
      <c r="G475" s="18"/>
    </row>
    <row r="476" spans="1:7" ht="15.75" customHeight="1" x14ac:dyDescent="0.25">
      <c r="A476" s="157"/>
      <c r="B476" s="157"/>
      <c r="C476" s="157"/>
      <c r="G476" s="18"/>
    </row>
    <row r="477" spans="1:7" ht="15.75" customHeight="1" x14ac:dyDescent="0.25">
      <c r="A477" s="157"/>
      <c r="B477" s="157"/>
      <c r="C477" s="157"/>
      <c r="G477" s="18"/>
    </row>
    <row r="478" spans="1:7" ht="15.75" customHeight="1" x14ac:dyDescent="0.25">
      <c r="A478" s="157"/>
      <c r="B478" s="157"/>
      <c r="C478" s="157"/>
      <c r="G478" s="18"/>
    </row>
    <row r="479" spans="1:7" ht="15.75" customHeight="1" x14ac:dyDescent="0.25">
      <c r="A479" s="157"/>
      <c r="B479" s="157"/>
      <c r="C479" s="157"/>
      <c r="G479" s="18"/>
    </row>
    <row r="480" spans="1:7" ht="15.75" customHeight="1" x14ac:dyDescent="0.25">
      <c r="A480" s="157"/>
      <c r="B480" s="157"/>
      <c r="C480" s="157"/>
      <c r="G480" s="18"/>
    </row>
    <row r="481" spans="1:7" ht="15.75" customHeight="1" x14ac:dyDescent="0.25">
      <c r="A481" s="157"/>
      <c r="B481" s="157"/>
      <c r="C481" s="157"/>
      <c r="G481" s="18"/>
    </row>
    <row r="482" spans="1:7" ht="15.75" customHeight="1" x14ac:dyDescent="0.25">
      <c r="A482" s="157"/>
      <c r="B482" s="157"/>
      <c r="C482" s="157"/>
      <c r="G482" s="18"/>
    </row>
    <row r="483" spans="1:7" ht="15.75" customHeight="1" x14ac:dyDescent="0.25">
      <c r="A483" s="157"/>
      <c r="B483" s="157"/>
      <c r="C483" s="157"/>
      <c r="G483" s="18"/>
    </row>
    <row r="484" spans="1:7" ht="15.75" customHeight="1" x14ac:dyDescent="0.25">
      <c r="A484" s="157"/>
      <c r="B484" s="157"/>
      <c r="C484" s="157"/>
      <c r="G484" s="18"/>
    </row>
    <row r="485" spans="1:7" ht="15.75" customHeight="1" x14ac:dyDescent="0.25">
      <c r="A485" s="157"/>
      <c r="B485" s="157"/>
      <c r="C485" s="157"/>
      <c r="G485" s="18"/>
    </row>
    <row r="486" spans="1:7" ht="15.75" customHeight="1" x14ac:dyDescent="0.25">
      <c r="A486" s="157"/>
      <c r="B486" s="157"/>
      <c r="C486" s="157"/>
      <c r="G486" s="18"/>
    </row>
    <row r="487" spans="1:7" ht="15.75" customHeight="1" x14ac:dyDescent="0.25">
      <c r="A487" s="157"/>
      <c r="B487" s="157"/>
      <c r="C487" s="157"/>
      <c r="G487" s="18"/>
    </row>
    <row r="488" spans="1:7" ht="15.75" customHeight="1" x14ac:dyDescent="0.25">
      <c r="A488" s="157"/>
      <c r="B488" s="157"/>
      <c r="C488" s="157"/>
      <c r="G488" s="18"/>
    </row>
    <row r="489" spans="1:7" ht="15.75" customHeight="1" x14ac:dyDescent="0.25">
      <c r="A489" s="157"/>
      <c r="B489" s="157"/>
      <c r="C489" s="157"/>
      <c r="G489" s="18"/>
    </row>
    <row r="490" spans="1:7" ht="15.75" customHeight="1" x14ac:dyDescent="0.25">
      <c r="A490" s="157"/>
      <c r="B490" s="157"/>
      <c r="C490" s="157"/>
      <c r="G490" s="18"/>
    </row>
    <row r="491" spans="1:7" ht="15.75" customHeight="1" x14ac:dyDescent="0.25">
      <c r="A491" s="157"/>
      <c r="B491" s="157"/>
      <c r="C491" s="157"/>
      <c r="G491" s="18"/>
    </row>
    <row r="492" spans="1:7" ht="15.75" customHeight="1" x14ac:dyDescent="0.25">
      <c r="A492" s="157"/>
      <c r="B492" s="157"/>
      <c r="C492" s="157"/>
      <c r="G492" s="18"/>
    </row>
    <row r="493" spans="1:7" ht="15.75" customHeight="1" x14ac:dyDescent="0.25">
      <c r="A493" s="157"/>
      <c r="B493" s="157"/>
      <c r="C493" s="157"/>
      <c r="G493" s="18"/>
    </row>
    <row r="494" spans="1:7" ht="15.75" customHeight="1" x14ac:dyDescent="0.25">
      <c r="A494" s="157"/>
      <c r="B494" s="157"/>
      <c r="C494" s="157"/>
      <c r="G494" s="18"/>
    </row>
    <row r="495" spans="1:7" ht="15.75" customHeight="1" x14ac:dyDescent="0.25">
      <c r="A495" s="157"/>
      <c r="B495" s="157"/>
      <c r="C495" s="157"/>
      <c r="G495" s="18"/>
    </row>
    <row r="496" spans="1:7" ht="15.75" customHeight="1" x14ac:dyDescent="0.25">
      <c r="A496" s="157"/>
      <c r="B496" s="157"/>
      <c r="C496" s="157"/>
      <c r="G496" s="18"/>
    </row>
    <row r="497" spans="1:7" ht="15.75" customHeight="1" x14ac:dyDescent="0.25">
      <c r="A497" s="157"/>
      <c r="B497" s="157"/>
      <c r="C497" s="157"/>
      <c r="G497" s="18"/>
    </row>
    <row r="498" spans="1:7" ht="15.75" customHeight="1" x14ac:dyDescent="0.25">
      <c r="A498" s="157"/>
      <c r="B498" s="157"/>
      <c r="C498" s="157"/>
      <c r="G498" s="18"/>
    </row>
    <row r="499" spans="1:7" ht="15.75" customHeight="1" x14ac:dyDescent="0.25">
      <c r="A499" s="157"/>
      <c r="B499" s="157"/>
      <c r="C499" s="157"/>
      <c r="G499" s="18"/>
    </row>
    <row r="500" spans="1:7" ht="15.75" customHeight="1" x14ac:dyDescent="0.25">
      <c r="A500" s="157"/>
      <c r="B500" s="157"/>
      <c r="C500" s="157"/>
      <c r="G500" s="18"/>
    </row>
    <row r="501" spans="1:7" ht="15.75" customHeight="1" x14ac:dyDescent="0.25">
      <c r="A501" s="157"/>
      <c r="B501" s="157"/>
      <c r="C501" s="157"/>
      <c r="G501" s="18"/>
    </row>
    <row r="502" spans="1:7" ht="15.75" customHeight="1" x14ac:dyDescent="0.25">
      <c r="A502" s="157"/>
      <c r="B502" s="157"/>
      <c r="C502" s="157"/>
      <c r="G502" s="18"/>
    </row>
    <row r="503" spans="1:7" ht="15.75" customHeight="1" x14ac:dyDescent="0.25">
      <c r="A503" s="157"/>
      <c r="B503" s="157"/>
      <c r="C503" s="157"/>
      <c r="G503" s="18"/>
    </row>
    <row r="504" spans="1:7" ht="15.75" customHeight="1" x14ac:dyDescent="0.25">
      <c r="A504" s="157"/>
      <c r="B504" s="157"/>
      <c r="C504" s="157"/>
      <c r="G504" s="18"/>
    </row>
    <row r="505" spans="1:7" ht="15.75" customHeight="1" x14ac:dyDescent="0.25">
      <c r="A505" s="157"/>
      <c r="B505" s="157"/>
      <c r="C505" s="157"/>
      <c r="G505" s="18"/>
    </row>
    <row r="506" spans="1:7" ht="15.75" customHeight="1" x14ac:dyDescent="0.25">
      <c r="A506" s="157"/>
      <c r="B506" s="157"/>
      <c r="C506" s="157"/>
      <c r="G506" s="18"/>
    </row>
    <row r="507" spans="1:7" ht="15.75" customHeight="1" x14ac:dyDescent="0.25">
      <c r="A507" s="157"/>
      <c r="B507" s="157"/>
      <c r="C507" s="157"/>
      <c r="G507" s="18"/>
    </row>
    <row r="508" spans="1:7" ht="15.75" customHeight="1" x14ac:dyDescent="0.25">
      <c r="A508" s="157"/>
      <c r="B508" s="157"/>
      <c r="C508" s="157"/>
      <c r="G508" s="18"/>
    </row>
    <row r="509" spans="1:7" ht="15.75" customHeight="1" x14ac:dyDescent="0.25">
      <c r="A509" s="157"/>
      <c r="B509" s="157"/>
      <c r="C509" s="157"/>
      <c r="G509" s="18"/>
    </row>
    <row r="510" spans="1:7" ht="15.75" customHeight="1" x14ac:dyDescent="0.25">
      <c r="A510" s="157"/>
      <c r="B510" s="157"/>
      <c r="C510" s="157"/>
      <c r="G510" s="18"/>
    </row>
    <row r="511" spans="1:7" ht="15.75" customHeight="1" x14ac:dyDescent="0.25">
      <c r="A511" s="157"/>
      <c r="B511" s="157"/>
      <c r="C511" s="157"/>
      <c r="G511" s="18"/>
    </row>
    <row r="512" spans="1:7" ht="15.75" customHeight="1" x14ac:dyDescent="0.25">
      <c r="A512" s="157"/>
      <c r="B512" s="157"/>
      <c r="C512" s="157"/>
      <c r="G512" s="18"/>
    </row>
    <row r="513" spans="1:7" ht="15.75" customHeight="1" x14ac:dyDescent="0.25">
      <c r="A513" s="157"/>
      <c r="B513" s="157"/>
      <c r="C513" s="157"/>
      <c r="G513" s="18"/>
    </row>
    <row r="514" spans="1:7" ht="15.75" customHeight="1" x14ac:dyDescent="0.25">
      <c r="A514" s="157"/>
      <c r="B514" s="157"/>
      <c r="C514" s="157"/>
      <c r="G514" s="18"/>
    </row>
    <row r="515" spans="1:7" ht="15.75" customHeight="1" x14ac:dyDescent="0.25">
      <c r="A515" s="157"/>
      <c r="B515" s="157"/>
      <c r="C515" s="157"/>
      <c r="G515" s="18"/>
    </row>
    <row r="516" spans="1:7" ht="15.75" customHeight="1" x14ac:dyDescent="0.25">
      <c r="A516" s="157"/>
      <c r="B516" s="157"/>
      <c r="C516" s="157"/>
      <c r="G516" s="18"/>
    </row>
    <row r="517" spans="1:7" ht="15.75" customHeight="1" x14ac:dyDescent="0.25">
      <c r="A517" s="157"/>
      <c r="B517" s="157"/>
      <c r="C517" s="157"/>
      <c r="G517" s="18"/>
    </row>
    <row r="518" spans="1:7" ht="15.75" customHeight="1" x14ac:dyDescent="0.25">
      <c r="A518" s="157"/>
      <c r="B518" s="157"/>
      <c r="C518" s="157"/>
      <c r="G518" s="18"/>
    </row>
    <row r="519" spans="1:7" ht="15.75" customHeight="1" x14ac:dyDescent="0.25">
      <c r="A519" s="157"/>
      <c r="B519" s="157"/>
      <c r="C519" s="157"/>
      <c r="G519" s="18"/>
    </row>
    <row r="520" spans="1:7" ht="15.75" customHeight="1" x14ac:dyDescent="0.25">
      <c r="A520" s="157"/>
      <c r="B520" s="157"/>
      <c r="C520" s="157"/>
      <c r="G520" s="18"/>
    </row>
    <row r="521" spans="1:7" ht="15.75" customHeight="1" x14ac:dyDescent="0.25">
      <c r="A521" s="157"/>
      <c r="B521" s="157"/>
      <c r="C521" s="157"/>
      <c r="G521" s="18"/>
    </row>
    <row r="522" spans="1:7" ht="15.75" customHeight="1" x14ac:dyDescent="0.25">
      <c r="A522" s="157"/>
      <c r="B522" s="157"/>
      <c r="C522" s="157"/>
      <c r="G522" s="18"/>
    </row>
    <row r="523" spans="1:7" ht="15.75" customHeight="1" x14ac:dyDescent="0.25">
      <c r="A523" s="157"/>
      <c r="B523" s="157"/>
      <c r="C523" s="157"/>
      <c r="G523" s="18"/>
    </row>
    <row r="524" spans="1:7" ht="15.75" customHeight="1" x14ac:dyDescent="0.25">
      <c r="A524" s="157"/>
      <c r="B524" s="157"/>
      <c r="C524" s="157"/>
      <c r="G524" s="18"/>
    </row>
    <row r="525" spans="1:7" ht="15.75" customHeight="1" x14ac:dyDescent="0.25">
      <c r="A525" s="157"/>
      <c r="B525" s="157"/>
      <c r="C525" s="157"/>
      <c r="G525" s="18"/>
    </row>
    <row r="526" spans="1:7" ht="15.75" customHeight="1" x14ac:dyDescent="0.25">
      <c r="A526" s="157"/>
      <c r="B526" s="157"/>
      <c r="C526" s="157"/>
      <c r="G526" s="18"/>
    </row>
    <row r="527" spans="1:7" ht="15.75" customHeight="1" x14ac:dyDescent="0.25">
      <c r="A527" s="157"/>
      <c r="B527" s="157"/>
      <c r="C527" s="157"/>
      <c r="G527" s="18"/>
    </row>
    <row r="528" spans="1:7" ht="15.75" customHeight="1" x14ac:dyDescent="0.25">
      <c r="A528" s="157"/>
      <c r="B528" s="157"/>
      <c r="C528" s="157"/>
      <c r="G528" s="18"/>
    </row>
    <row r="529" spans="1:7" ht="15.75" customHeight="1" x14ac:dyDescent="0.25">
      <c r="A529" s="157"/>
      <c r="B529" s="157"/>
      <c r="C529" s="157"/>
      <c r="G529" s="18"/>
    </row>
    <row r="530" spans="1:7" ht="15.75" customHeight="1" x14ac:dyDescent="0.25">
      <c r="A530" s="157"/>
      <c r="B530" s="157"/>
      <c r="C530" s="157"/>
      <c r="G530" s="18"/>
    </row>
    <row r="531" spans="1:7" ht="15.75" customHeight="1" x14ac:dyDescent="0.25">
      <c r="A531" s="157"/>
      <c r="B531" s="157"/>
      <c r="C531" s="157"/>
      <c r="G531" s="18"/>
    </row>
    <row r="532" spans="1:7" ht="15.75" customHeight="1" x14ac:dyDescent="0.25">
      <c r="A532" s="157"/>
      <c r="B532" s="157"/>
      <c r="C532" s="157"/>
      <c r="G532" s="18"/>
    </row>
    <row r="533" spans="1:7" ht="15.75" customHeight="1" x14ac:dyDescent="0.25">
      <c r="A533" s="157"/>
      <c r="B533" s="157"/>
      <c r="C533" s="157"/>
      <c r="G533" s="18"/>
    </row>
    <row r="534" spans="1:7" ht="15.75" customHeight="1" x14ac:dyDescent="0.25">
      <c r="A534" s="157"/>
      <c r="B534" s="157"/>
      <c r="C534" s="157"/>
      <c r="G534" s="18"/>
    </row>
    <row r="535" spans="1:7" ht="15.75" customHeight="1" x14ac:dyDescent="0.25">
      <c r="A535" s="157"/>
      <c r="B535" s="157"/>
      <c r="C535" s="157"/>
      <c r="G535" s="18"/>
    </row>
    <row r="536" spans="1:7" ht="15.75" customHeight="1" x14ac:dyDescent="0.25">
      <c r="A536" s="157"/>
      <c r="B536" s="157"/>
      <c r="C536" s="157"/>
      <c r="G536" s="18"/>
    </row>
    <row r="537" spans="1:7" ht="15.75" customHeight="1" x14ac:dyDescent="0.25">
      <c r="A537" s="157"/>
      <c r="B537" s="157"/>
      <c r="C537" s="157"/>
      <c r="G537" s="18"/>
    </row>
    <row r="538" spans="1:7" ht="15.75" customHeight="1" x14ac:dyDescent="0.25">
      <c r="A538" s="157"/>
      <c r="B538" s="157"/>
      <c r="C538" s="157"/>
      <c r="G538" s="18"/>
    </row>
    <row r="539" spans="1:7" ht="15.75" customHeight="1" x14ac:dyDescent="0.25">
      <c r="A539" s="157"/>
      <c r="B539" s="157"/>
      <c r="C539" s="157"/>
      <c r="G539" s="18"/>
    </row>
    <row r="540" spans="1:7" ht="15.75" customHeight="1" x14ac:dyDescent="0.25">
      <c r="A540" s="157"/>
      <c r="B540" s="157"/>
      <c r="C540" s="157"/>
      <c r="G540" s="18"/>
    </row>
    <row r="541" spans="1:7" ht="15.75" customHeight="1" x14ac:dyDescent="0.25">
      <c r="A541" s="157"/>
      <c r="B541" s="157"/>
      <c r="C541" s="157"/>
      <c r="G541" s="18"/>
    </row>
    <row r="542" spans="1:7" ht="15.75" customHeight="1" x14ac:dyDescent="0.25">
      <c r="A542" s="157"/>
      <c r="B542" s="157"/>
      <c r="C542" s="157"/>
      <c r="G542" s="18"/>
    </row>
    <row r="543" spans="1:7" ht="15.75" customHeight="1" x14ac:dyDescent="0.25">
      <c r="A543" s="157"/>
      <c r="B543" s="157"/>
      <c r="C543" s="157"/>
      <c r="G543" s="18"/>
    </row>
    <row r="544" spans="1:7" ht="15.75" customHeight="1" x14ac:dyDescent="0.25">
      <c r="A544" s="157"/>
      <c r="B544" s="157"/>
      <c r="C544" s="157"/>
      <c r="G544" s="18"/>
    </row>
    <row r="545" spans="1:7" ht="15.75" customHeight="1" x14ac:dyDescent="0.25">
      <c r="A545" s="157"/>
      <c r="B545" s="157"/>
      <c r="C545" s="157"/>
      <c r="G545" s="18"/>
    </row>
    <row r="546" spans="1:7" ht="15.75" customHeight="1" x14ac:dyDescent="0.25">
      <c r="A546" s="157"/>
      <c r="B546" s="157"/>
      <c r="C546" s="157"/>
      <c r="G546" s="18"/>
    </row>
    <row r="547" spans="1:7" ht="15.75" customHeight="1" x14ac:dyDescent="0.25">
      <c r="A547" s="157"/>
      <c r="B547" s="157"/>
      <c r="C547" s="157"/>
      <c r="G547" s="18"/>
    </row>
    <row r="548" spans="1:7" ht="15.75" customHeight="1" x14ac:dyDescent="0.25">
      <c r="A548" s="157"/>
      <c r="B548" s="157"/>
      <c r="C548" s="157"/>
      <c r="G548" s="18"/>
    </row>
    <row r="549" spans="1:7" ht="15.75" customHeight="1" x14ac:dyDescent="0.25">
      <c r="A549" s="157"/>
      <c r="B549" s="157"/>
      <c r="C549" s="157"/>
      <c r="G549" s="18"/>
    </row>
    <row r="550" spans="1:7" ht="15.75" customHeight="1" x14ac:dyDescent="0.25">
      <c r="A550" s="157"/>
      <c r="B550" s="157"/>
      <c r="C550" s="157"/>
      <c r="G550" s="18"/>
    </row>
    <row r="551" spans="1:7" ht="15.75" customHeight="1" x14ac:dyDescent="0.25">
      <c r="A551" s="157"/>
      <c r="B551" s="157"/>
      <c r="C551" s="157"/>
      <c r="G551" s="18"/>
    </row>
    <row r="552" spans="1:7" ht="15.75" customHeight="1" x14ac:dyDescent="0.25">
      <c r="A552" s="157"/>
      <c r="B552" s="157"/>
      <c r="C552" s="157"/>
      <c r="G552" s="18"/>
    </row>
    <row r="553" spans="1:7" ht="15.75" customHeight="1" x14ac:dyDescent="0.25">
      <c r="A553" s="157"/>
      <c r="B553" s="157"/>
      <c r="C553" s="157"/>
      <c r="G553" s="18"/>
    </row>
    <row r="554" spans="1:7" ht="15.75" customHeight="1" x14ac:dyDescent="0.25">
      <c r="A554" s="157"/>
      <c r="B554" s="157"/>
      <c r="C554" s="157"/>
      <c r="G554" s="18"/>
    </row>
    <row r="555" spans="1:7" ht="15.75" customHeight="1" x14ac:dyDescent="0.25">
      <c r="A555" s="157"/>
      <c r="B555" s="157"/>
      <c r="C555" s="157"/>
      <c r="G555" s="18"/>
    </row>
    <row r="556" spans="1:7" ht="15.75" customHeight="1" x14ac:dyDescent="0.25">
      <c r="A556" s="157"/>
      <c r="B556" s="157"/>
      <c r="C556" s="157"/>
      <c r="G556" s="18"/>
    </row>
    <row r="557" spans="1:7" ht="15.75" customHeight="1" x14ac:dyDescent="0.25">
      <c r="A557" s="157"/>
      <c r="B557" s="157"/>
      <c r="C557" s="157"/>
      <c r="G557" s="18"/>
    </row>
    <row r="558" spans="1:7" ht="15.75" customHeight="1" x14ac:dyDescent="0.25">
      <c r="A558" s="157"/>
      <c r="B558" s="157"/>
      <c r="C558" s="157"/>
      <c r="G558" s="18"/>
    </row>
    <row r="559" spans="1:7" ht="15.75" customHeight="1" x14ac:dyDescent="0.25">
      <c r="A559" s="157"/>
      <c r="B559" s="157"/>
      <c r="C559" s="157"/>
      <c r="G559" s="18"/>
    </row>
    <row r="560" spans="1:7" ht="15.75" customHeight="1" x14ac:dyDescent="0.25">
      <c r="A560" s="157"/>
      <c r="B560" s="157"/>
      <c r="C560" s="157"/>
      <c r="G560" s="18"/>
    </row>
    <row r="561" spans="1:7" ht="15.75" customHeight="1" x14ac:dyDescent="0.25">
      <c r="A561" s="157"/>
      <c r="B561" s="157"/>
      <c r="C561" s="157"/>
      <c r="G561" s="18"/>
    </row>
    <row r="562" spans="1:7" ht="15.75" customHeight="1" x14ac:dyDescent="0.25">
      <c r="A562" s="157"/>
      <c r="B562" s="157"/>
      <c r="C562" s="157"/>
      <c r="G562" s="18"/>
    </row>
    <row r="563" spans="1:7" ht="15.75" customHeight="1" x14ac:dyDescent="0.25">
      <c r="A563" s="157"/>
      <c r="B563" s="157"/>
      <c r="C563" s="157"/>
      <c r="G563" s="18"/>
    </row>
    <row r="564" spans="1:7" ht="15.75" customHeight="1" x14ac:dyDescent="0.25">
      <c r="A564" s="157"/>
      <c r="B564" s="157"/>
      <c r="C564" s="157"/>
      <c r="G564" s="18"/>
    </row>
    <row r="565" spans="1:7" ht="15.75" customHeight="1" x14ac:dyDescent="0.25">
      <c r="A565" s="157"/>
      <c r="B565" s="157"/>
      <c r="C565" s="157"/>
      <c r="G565" s="18"/>
    </row>
    <row r="566" spans="1:7" ht="15.75" customHeight="1" x14ac:dyDescent="0.25">
      <c r="A566" s="157"/>
      <c r="B566" s="157"/>
      <c r="C566" s="157"/>
      <c r="G566" s="18"/>
    </row>
    <row r="567" spans="1:7" ht="15.75" customHeight="1" x14ac:dyDescent="0.25">
      <c r="A567" s="157"/>
      <c r="B567" s="157"/>
      <c r="C567" s="157"/>
      <c r="G567" s="18"/>
    </row>
    <row r="568" spans="1:7" ht="15.75" customHeight="1" x14ac:dyDescent="0.25">
      <c r="A568" s="157"/>
      <c r="B568" s="157"/>
      <c r="C568" s="157"/>
      <c r="G568" s="18"/>
    </row>
    <row r="569" spans="1:7" ht="15.75" customHeight="1" x14ac:dyDescent="0.25">
      <c r="A569" s="157"/>
      <c r="B569" s="157"/>
      <c r="C569" s="157"/>
      <c r="G569" s="18"/>
    </row>
    <row r="570" spans="1:7" ht="15.75" customHeight="1" x14ac:dyDescent="0.25">
      <c r="A570" s="157"/>
      <c r="B570" s="157"/>
      <c r="C570" s="157"/>
      <c r="G570" s="18"/>
    </row>
    <row r="571" spans="1:7" ht="15.75" customHeight="1" x14ac:dyDescent="0.25">
      <c r="A571" s="157"/>
      <c r="B571" s="157"/>
      <c r="C571" s="157"/>
      <c r="G571" s="18"/>
    </row>
    <row r="572" spans="1:7" ht="15.75" customHeight="1" x14ac:dyDescent="0.25">
      <c r="A572" s="157"/>
      <c r="B572" s="157"/>
      <c r="C572" s="157"/>
      <c r="G572" s="18"/>
    </row>
    <row r="573" spans="1:7" ht="15.75" customHeight="1" x14ac:dyDescent="0.25">
      <c r="A573" s="157"/>
      <c r="B573" s="157"/>
      <c r="C573" s="157"/>
      <c r="G573" s="18"/>
    </row>
    <row r="574" spans="1:7" ht="15.75" customHeight="1" x14ac:dyDescent="0.25">
      <c r="A574" s="157"/>
      <c r="B574" s="157"/>
      <c r="C574" s="157"/>
      <c r="G574" s="18"/>
    </row>
    <row r="575" spans="1:7" ht="15.75" customHeight="1" x14ac:dyDescent="0.25">
      <c r="A575" s="157"/>
      <c r="B575" s="157"/>
      <c r="C575" s="157"/>
      <c r="G575" s="18"/>
    </row>
    <row r="576" spans="1:7" ht="15.75" customHeight="1" x14ac:dyDescent="0.25">
      <c r="A576" s="157"/>
      <c r="B576" s="157"/>
      <c r="C576" s="157"/>
      <c r="G576" s="18"/>
    </row>
    <row r="577" spans="1:7" ht="15.75" customHeight="1" x14ac:dyDescent="0.25">
      <c r="A577" s="157"/>
      <c r="B577" s="157"/>
      <c r="C577" s="157"/>
      <c r="G577" s="18"/>
    </row>
    <row r="578" spans="1:7" ht="15.75" customHeight="1" x14ac:dyDescent="0.25">
      <c r="A578" s="157"/>
      <c r="B578" s="157"/>
      <c r="C578" s="157"/>
      <c r="G578" s="18"/>
    </row>
    <row r="579" spans="1:7" ht="15.75" customHeight="1" x14ac:dyDescent="0.25">
      <c r="A579" s="157"/>
      <c r="B579" s="157"/>
      <c r="C579" s="157"/>
      <c r="G579" s="18"/>
    </row>
    <row r="580" spans="1:7" ht="15.75" customHeight="1" x14ac:dyDescent="0.25">
      <c r="A580" s="157"/>
      <c r="B580" s="157"/>
      <c r="C580" s="157"/>
      <c r="G580" s="18"/>
    </row>
    <row r="581" spans="1:7" ht="15.75" customHeight="1" x14ac:dyDescent="0.25">
      <c r="A581" s="157"/>
      <c r="B581" s="157"/>
      <c r="C581" s="157"/>
      <c r="G581" s="18"/>
    </row>
    <row r="582" spans="1:7" ht="15.75" customHeight="1" x14ac:dyDescent="0.25">
      <c r="A582" s="157"/>
      <c r="B582" s="157"/>
      <c r="C582" s="157"/>
      <c r="G582" s="18"/>
    </row>
    <row r="583" spans="1:7" ht="15.75" customHeight="1" x14ac:dyDescent="0.25">
      <c r="A583" s="157"/>
      <c r="B583" s="157"/>
      <c r="C583" s="157"/>
      <c r="G583" s="18"/>
    </row>
    <row r="584" spans="1:7" ht="15.75" customHeight="1" x14ac:dyDescent="0.25">
      <c r="A584" s="157"/>
      <c r="B584" s="157"/>
      <c r="C584" s="157"/>
      <c r="G584" s="18"/>
    </row>
    <row r="585" spans="1:7" ht="15.75" customHeight="1" x14ac:dyDescent="0.25">
      <c r="A585" s="157"/>
      <c r="B585" s="157"/>
      <c r="C585" s="157"/>
      <c r="G585" s="18"/>
    </row>
    <row r="586" spans="1:7" ht="15.75" customHeight="1" x14ac:dyDescent="0.25">
      <c r="A586" s="157"/>
      <c r="B586" s="157"/>
      <c r="C586" s="157"/>
      <c r="G586" s="18"/>
    </row>
    <row r="587" spans="1:7" ht="15.75" customHeight="1" x14ac:dyDescent="0.25">
      <c r="A587" s="157"/>
      <c r="B587" s="157"/>
      <c r="C587" s="157"/>
      <c r="G587" s="18"/>
    </row>
    <row r="588" spans="1:7" ht="15.75" customHeight="1" x14ac:dyDescent="0.25">
      <c r="A588" s="157"/>
      <c r="B588" s="157"/>
      <c r="C588" s="157"/>
      <c r="G588" s="18"/>
    </row>
    <row r="589" spans="1:7" ht="15.75" customHeight="1" x14ac:dyDescent="0.25">
      <c r="A589" s="157"/>
      <c r="B589" s="157"/>
      <c r="C589" s="157"/>
      <c r="G589" s="18"/>
    </row>
    <row r="590" spans="1:7" ht="15.75" customHeight="1" x14ac:dyDescent="0.25">
      <c r="A590" s="157"/>
      <c r="B590" s="157"/>
      <c r="C590" s="157"/>
      <c r="G590" s="18"/>
    </row>
    <row r="591" spans="1:7" ht="15.75" customHeight="1" x14ac:dyDescent="0.25">
      <c r="A591" s="157"/>
      <c r="B591" s="157"/>
      <c r="C591" s="157"/>
      <c r="G591" s="18"/>
    </row>
    <row r="592" spans="1:7" ht="15.75" customHeight="1" x14ac:dyDescent="0.25">
      <c r="A592" s="157"/>
      <c r="B592" s="157"/>
      <c r="C592" s="157"/>
      <c r="G592" s="18"/>
    </row>
    <row r="593" spans="1:7" ht="15.75" customHeight="1" x14ac:dyDescent="0.25">
      <c r="A593" s="157"/>
      <c r="B593" s="157"/>
      <c r="C593" s="157"/>
      <c r="G593" s="18"/>
    </row>
    <row r="594" spans="1:7" ht="15.75" customHeight="1" x14ac:dyDescent="0.25">
      <c r="A594" s="157"/>
      <c r="B594" s="157"/>
      <c r="C594" s="157"/>
      <c r="G594" s="18"/>
    </row>
    <row r="595" spans="1:7" ht="15.75" customHeight="1" x14ac:dyDescent="0.25">
      <c r="A595" s="157"/>
      <c r="B595" s="157"/>
      <c r="C595" s="157"/>
      <c r="G595" s="18"/>
    </row>
    <row r="596" spans="1:7" ht="15.75" customHeight="1" x14ac:dyDescent="0.25">
      <c r="A596" s="157"/>
      <c r="B596" s="157"/>
      <c r="C596" s="157"/>
      <c r="G596" s="18"/>
    </row>
    <row r="597" spans="1:7" ht="15.75" customHeight="1" x14ac:dyDescent="0.25">
      <c r="A597" s="157"/>
      <c r="B597" s="157"/>
      <c r="C597" s="157"/>
      <c r="G597" s="18"/>
    </row>
    <row r="598" spans="1:7" ht="15.75" customHeight="1" x14ac:dyDescent="0.25">
      <c r="A598" s="157"/>
      <c r="B598" s="157"/>
      <c r="C598" s="157"/>
      <c r="G598" s="18"/>
    </row>
    <row r="599" spans="1:7" ht="15.75" customHeight="1" x14ac:dyDescent="0.25">
      <c r="A599" s="157"/>
      <c r="B599" s="157"/>
      <c r="C599" s="157"/>
      <c r="G599" s="18"/>
    </row>
    <row r="600" spans="1:7" ht="15.75" customHeight="1" x14ac:dyDescent="0.25">
      <c r="A600" s="157"/>
      <c r="B600" s="157"/>
      <c r="C600" s="157"/>
      <c r="G600" s="18"/>
    </row>
    <row r="601" spans="1:7" ht="15.75" customHeight="1" x14ac:dyDescent="0.25">
      <c r="A601" s="157"/>
      <c r="B601" s="157"/>
      <c r="C601" s="157"/>
      <c r="G601" s="18"/>
    </row>
    <row r="602" spans="1:7" ht="15.75" customHeight="1" x14ac:dyDescent="0.25">
      <c r="A602" s="157"/>
      <c r="B602" s="157"/>
      <c r="C602" s="157"/>
      <c r="G602" s="18"/>
    </row>
    <row r="603" spans="1:7" ht="15.75" customHeight="1" x14ac:dyDescent="0.25">
      <c r="A603" s="157"/>
      <c r="B603" s="157"/>
      <c r="C603" s="157"/>
      <c r="G603" s="18"/>
    </row>
    <row r="604" spans="1:7" ht="15.75" customHeight="1" x14ac:dyDescent="0.25">
      <c r="A604" s="157"/>
      <c r="B604" s="157"/>
      <c r="C604" s="157"/>
      <c r="G604" s="18"/>
    </row>
    <row r="605" spans="1:7" ht="15.75" customHeight="1" x14ac:dyDescent="0.25">
      <c r="A605" s="157"/>
      <c r="B605" s="157"/>
      <c r="C605" s="157"/>
      <c r="G605" s="18"/>
    </row>
    <row r="606" spans="1:7" ht="15.75" customHeight="1" x14ac:dyDescent="0.25">
      <c r="A606" s="157"/>
      <c r="B606" s="157"/>
      <c r="C606" s="157"/>
      <c r="G606" s="18"/>
    </row>
    <row r="607" spans="1:7" ht="15.75" customHeight="1" x14ac:dyDescent="0.25">
      <c r="A607" s="157"/>
      <c r="B607" s="157"/>
      <c r="C607" s="157"/>
      <c r="G607" s="18"/>
    </row>
    <row r="608" spans="1:7" ht="15.75" customHeight="1" x14ac:dyDescent="0.25">
      <c r="A608" s="157"/>
      <c r="B608" s="157"/>
      <c r="C608" s="157"/>
      <c r="G608" s="18"/>
    </row>
    <row r="609" spans="1:7" ht="15.75" customHeight="1" x14ac:dyDescent="0.25">
      <c r="A609" s="157"/>
      <c r="B609" s="157"/>
      <c r="C609" s="157"/>
      <c r="G609" s="18"/>
    </row>
    <row r="610" spans="1:7" ht="15.75" customHeight="1" x14ac:dyDescent="0.25">
      <c r="A610" s="157"/>
      <c r="B610" s="157"/>
      <c r="C610" s="157"/>
      <c r="G610" s="18"/>
    </row>
    <row r="611" spans="1:7" ht="15.75" customHeight="1" x14ac:dyDescent="0.25">
      <c r="A611" s="157"/>
      <c r="B611" s="157"/>
      <c r="C611" s="157"/>
      <c r="G611" s="18"/>
    </row>
    <row r="612" spans="1:7" ht="15.75" customHeight="1" x14ac:dyDescent="0.25">
      <c r="A612" s="157"/>
      <c r="B612" s="157"/>
      <c r="C612" s="157"/>
      <c r="G612" s="18"/>
    </row>
    <row r="613" spans="1:7" ht="15.75" customHeight="1" x14ac:dyDescent="0.25">
      <c r="A613" s="157"/>
      <c r="B613" s="157"/>
      <c r="C613" s="157"/>
      <c r="G613" s="18"/>
    </row>
    <row r="614" spans="1:7" ht="15.75" customHeight="1" x14ac:dyDescent="0.25">
      <c r="A614" s="157"/>
      <c r="B614" s="157"/>
      <c r="C614" s="157"/>
      <c r="G614" s="18"/>
    </row>
    <row r="615" spans="1:7" ht="15.75" customHeight="1" x14ac:dyDescent="0.25">
      <c r="A615" s="157"/>
      <c r="B615" s="157"/>
      <c r="C615" s="157"/>
      <c r="G615" s="18"/>
    </row>
    <row r="616" spans="1:7" ht="15.75" customHeight="1" x14ac:dyDescent="0.25">
      <c r="A616" s="157"/>
      <c r="B616" s="157"/>
      <c r="C616" s="157"/>
      <c r="G616" s="18"/>
    </row>
    <row r="617" spans="1:7" ht="15.75" customHeight="1" x14ac:dyDescent="0.25">
      <c r="A617" s="157"/>
      <c r="B617" s="157"/>
      <c r="C617" s="157"/>
      <c r="G617" s="18"/>
    </row>
    <row r="618" spans="1:7" ht="15.75" customHeight="1" x14ac:dyDescent="0.25">
      <c r="A618" s="157"/>
      <c r="B618" s="157"/>
      <c r="C618" s="157"/>
      <c r="G618" s="18"/>
    </row>
    <row r="619" spans="1:7" ht="15.75" customHeight="1" x14ac:dyDescent="0.25">
      <c r="A619" s="157"/>
      <c r="B619" s="157"/>
      <c r="C619" s="157"/>
      <c r="G619" s="18"/>
    </row>
    <row r="620" spans="1:7" ht="15.75" customHeight="1" x14ac:dyDescent="0.25">
      <c r="A620" s="157"/>
      <c r="B620" s="157"/>
      <c r="C620" s="157"/>
      <c r="G620" s="18"/>
    </row>
    <row r="621" spans="1:7" ht="15.75" customHeight="1" x14ac:dyDescent="0.25">
      <c r="A621" s="157"/>
      <c r="B621" s="157"/>
      <c r="C621" s="157"/>
      <c r="G621" s="18"/>
    </row>
    <row r="622" spans="1:7" ht="15.75" customHeight="1" x14ac:dyDescent="0.25">
      <c r="A622" s="157"/>
      <c r="B622" s="157"/>
      <c r="C622" s="157"/>
      <c r="G622" s="18"/>
    </row>
    <row r="623" spans="1:7" ht="15.75" customHeight="1" x14ac:dyDescent="0.25">
      <c r="A623" s="157"/>
      <c r="B623" s="157"/>
      <c r="C623" s="157"/>
      <c r="G623" s="18"/>
    </row>
    <row r="624" spans="1:7" ht="15.75" customHeight="1" x14ac:dyDescent="0.25">
      <c r="A624" s="157"/>
      <c r="B624" s="157"/>
      <c r="C624" s="157"/>
      <c r="G624" s="18"/>
    </row>
    <row r="625" spans="1:7" ht="15.75" customHeight="1" x14ac:dyDescent="0.25">
      <c r="A625" s="157"/>
      <c r="B625" s="157"/>
      <c r="C625" s="157"/>
      <c r="G625" s="18"/>
    </row>
    <row r="626" spans="1:7" ht="15.75" customHeight="1" x14ac:dyDescent="0.25">
      <c r="A626" s="157"/>
      <c r="B626" s="157"/>
      <c r="C626" s="157"/>
      <c r="G626" s="18"/>
    </row>
    <row r="627" spans="1:7" ht="15.75" customHeight="1" x14ac:dyDescent="0.25">
      <c r="A627" s="157"/>
      <c r="B627" s="157"/>
      <c r="C627" s="157"/>
      <c r="G627" s="18"/>
    </row>
    <row r="628" spans="1:7" ht="15.75" customHeight="1" x14ac:dyDescent="0.25">
      <c r="A628" s="157"/>
      <c r="B628" s="157"/>
      <c r="C628" s="157"/>
      <c r="G628" s="18"/>
    </row>
    <row r="629" spans="1:7" ht="15.75" customHeight="1" x14ac:dyDescent="0.25">
      <c r="A629" s="157"/>
      <c r="B629" s="157"/>
      <c r="C629" s="157"/>
      <c r="G629" s="18"/>
    </row>
    <row r="630" spans="1:7" ht="15.75" customHeight="1" x14ac:dyDescent="0.25">
      <c r="A630" s="157"/>
      <c r="B630" s="157"/>
      <c r="C630" s="157"/>
      <c r="G630" s="18"/>
    </row>
    <row r="631" spans="1:7" ht="15.75" customHeight="1" x14ac:dyDescent="0.25">
      <c r="A631" s="157"/>
      <c r="B631" s="157"/>
      <c r="C631" s="157"/>
      <c r="G631" s="18"/>
    </row>
    <row r="632" spans="1:7" ht="15.75" customHeight="1" x14ac:dyDescent="0.25">
      <c r="A632" s="157"/>
      <c r="B632" s="157"/>
      <c r="C632" s="157"/>
      <c r="G632" s="18"/>
    </row>
    <row r="633" spans="1:7" ht="15.75" customHeight="1" x14ac:dyDescent="0.25">
      <c r="A633" s="157"/>
      <c r="B633" s="157"/>
      <c r="C633" s="157"/>
      <c r="G633" s="18"/>
    </row>
    <row r="634" spans="1:7" ht="15.75" customHeight="1" x14ac:dyDescent="0.25">
      <c r="A634" s="157"/>
      <c r="B634" s="157"/>
      <c r="C634" s="157"/>
      <c r="G634" s="18"/>
    </row>
    <row r="635" spans="1:7" ht="15.75" customHeight="1" x14ac:dyDescent="0.25">
      <c r="A635" s="157"/>
      <c r="B635" s="157"/>
      <c r="C635" s="157"/>
      <c r="G635" s="18"/>
    </row>
    <row r="636" spans="1:7" ht="15.75" customHeight="1" x14ac:dyDescent="0.25">
      <c r="A636" s="157"/>
      <c r="B636" s="157"/>
      <c r="C636" s="157"/>
      <c r="G636" s="18"/>
    </row>
    <row r="637" spans="1:7" ht="15.75" customHeight="1" x14ac:dyDescent="0.25">
      <c r="A637" s="157"/>
      <c r="B637" s="157"/>
      <c r="C637" s="157"/>
      <c r="G637" s="18"/>
    </row>
    <row r="638" spans="1:7" ht="15.75" customHeight="1" x14ac:dyDescent="0.25">
      <c r="A638" s="157"/>
      <c r="B638" s="157"/>
      <c r="C638" s="157"/>
      <c r="G638" s="18"/>
    </row>
    <row r="639" spans="1:7" ht="15.75" customHeight="1" x14ac:dyDescent="0.25">
      <c r="A639" s="157"/>
      <c r="B639" s="157"/>
      <c r="C639" s="157"/>
      <c r="G639" s="18"/>
    </row>
    <row r="640" spans="1:7" ht="15.75" customHeight="1" x14ac:dyDescent="0.25">
      <c r="A640" s="157"/>
      <c r="B640" s="157"/>
      <c r="C640" s="157"/>
      <c r="G640" s="18"/>
    </row>
    <row r="641" spans="1:7" ht="15.75" customHeight="1" x14ac:dyDescent="0.25">
      <c r="A641" s="157"/>
      <c r="B641" s="157"/>
      <c r="C641" s="157"/>
      <c r="G641" s="18"/>
    </row>
    <row r="642" spans="1:7" ht="15.75" customHeight="1" x14ac:dyDescent="0.25">
      <c r="A642" s="157"/>
      <c r="B642" s="157"/>
      <c r="C642" s="157"/>
      <c r="G642" s="18"/>
    </row>
    <row r="643" spans="1:7" ht="15.75" customHeight="1" x14ac:dyDescent="0.25">
      <c r="A643" s="157"/>
      <c r="B643" s="157"/>
      <c r="C643" s="157"/>
      <c r="G643" s="18"/>
    </row>
    <row r="644" spans="1:7" ht="15.75" customHeight="1" x14ac:dyDescent="0.25">
      <c r="A644" s="157"/>
      <c r="B644" s="157"/>
      <c r="C644" s="157"/>
      <c r="G644" s="18"/>
    </row>
    <row r="645" spans="1:7" ht="15.75" customHeight="1" x14ac:dyDescent="0.25">
      <c r="A645" s="157"/>
      <c r="B645" s="157"/>
      <c r="C645" s="157"/>
      <c r="G645" s="18"/>
    </row>
    <row r="646" spans="1:7" ht="15.75" customHeight="1" x14ac:dyDescent="0.25">
      <c r="A646" s="157"/>
      <c r="B646" s="157"/>
      <c r="C646" s="157"/>
      <c r="G646" s="18"/>
    </row>
    <row r="647" spans="1:7" ht="15.75" customHeight="1" x14ac:dyDescent="0.25">
      <c r="A647" s="157"/>
      <c r="B647" s="157"/>
      <c r="C647" s="157"/>
      <c r="G647" s="18"/>
    </row>
    <row r="648" spans="1:7" ht="15.75" customHeight="1" x14ac:dyDescent="0.25">
      <c r="A648" s="157"/>
      <c r="B648" s="157"/>
      <c r="C648" s="157"/>
      <c r="G648" s="18"/>
    </row>
    <row r="649" spans="1:7" ht="15.75" customHeight="1" x14ac:dyDescent="0.25">
      <c r="A649" s="157"/>
      <c r="B649" s="157"/>
      <c r="C649" s="157"/>
      <c r="G649" s="18"/>
    </row>
    <row r="650" spans="1:7" ht="15.75" customHeight="1" x14ac:dyDescent="0.25">
      <c r="A650" s="157"/>
      <c r="B650" s="157"/>
      <c r="C650" s="157"/>
      <c r="G650" s="18"/>
    </row>
    <row r="651" spans="1:7" ht="15.75" customHeight="1" x14ac:dyDescent="0.25">
      <c r="A651" s="157"/>
      <c r="B651" s="157"/>
      <c r="C651" s="157"/>
      <c r="G651" s="18"/>
    </row>
    <row r="652" spans="1:7" ht="15.75" customHeight="1" x14ac:dyDescent="0.25">
      <c r="A652" s="157"/>
      <c r="B652" s="157"/>
      <c r="C652" s="157"/>
      <c r="G652" s="18"/>
    </row>
    <row r="653" spans="1:7" ht="15.75" customHeight="1" x14ac:dyDescent="0.25">
      <c r="A653" s="157"/>
      <c r="B653" s="157"/>
      <c r="C653" s="157"/>
      <c r="G653" s="18"/>
    </row>
    <row r="654" spans="1:7" ht="15.75" customHeight="1" x14ac:dyDescent="0.25">
      <c r="A654" s="157"/>
      <c r="B654" s="157"/>
      <c r="C654" s="157"/>
      <c r="G654" s="18"/>
    </row>
    <row r="655" spans="1:7" ht="15.75" customHeight="1" x14ac:dyDescent="0.25">
      <c r="A655" s="157"/>
      <c r="B655" s="157"/>
      <c r="C655" s="157"/>
      <c r="G655" s="18"/>
    </row>
    <row r="656" spans="1:7" ht="15.75" customHeight="1" x14ac:dyDescent="0.25">
      <c r="A656" s="157"/>
      <c r="B656" s="157"/>
      <c r="C656" s="157"/>
      <c r="G656" s="18"/>
    </row>
    <row r="657" spans="1:7" ht="15.75" customHeight="1" x14ac:dyDescent="0.25">
      <c r="A657" s="157"/>
      <c r="B657" s="157"/>
      <c r="C657" s="157"/>
      <c r="G657" s="18"/>
    </row>
    <row r="658" spans="1:7" ht="15.75" customHeight="1" x14ac:dyDescent="0.25">
      <c r="A658" s="157"/>
      <c r="B658" s="157"/>
      <c r="C658" s="157"/>
      <c r="G658" s="18"/>
    </row>
    <row r="659" spans="1:7" ht="15.75" customHeight="1" x14ac:dyDescent="0.25">
      <c r="A659" s="157"/>
      <c r="B659" s="157"/>
      <c r="C659" s="157"/>
      <c r="G659" s="18"/>
    </row>
    <row r="660" spans="1:7" ht="15.75" customHeight="1" x14ac:dyDescent="0.25">
      <c r="A660" s="157"/>
      <c r="B660" s="157"/>
      <c r="C660" s="157"/>
      <c r="G660" s="18"/>
    </row>
    <row r="661" spans="1:7" ht="15.75" customHeight="1" x14ac:dyDescent="0.25">
      <c r="A661" s="157"/>
      <c r="B661" s="157"/>
      <c r="C661" s="157"/>
      <c r="G661" s="18"/>
    </row>
    <row r="662" spans="1:7" ht="15.75" customHeight="1" x14ac:dyDescent="0.25">
      <c r="A662" s="157"/>
      <c r="B662" s="157"/>
      <c r="C662" s="157"/>
      <c r="G662" s="18"/>
    </row>
    <row r="663" spans="1:7" ht="15.75" customHeight="1" x14ac:dyDescent="0.25">
      <c r="A663" s="157"/>
      <c r="B663" s="157"/>
      <c r="C663" s="157"/>
      <c r="G663" s="18"/>
    </row>
    <row r="664" spans="1:7" ht="15.75" customHeight="1" x14ac:dyDescent="0.25">
      <c r="A664" s="157"/>
      <c r="B664" s="157"/>
      <c r="C664" s="157"/>
      <c r="G664" s="18"/>
    </row>
    <row r="665" spans="1:7" ht="15.75" customHeight="1" x14ac:dyDescent="0.25">
      <c r="A665" s="157"/>
      <c r="B665" s="157"/>
      <c r="C665" s="157"/>
      <c r="G665" s="18"/>
    </row>
    <row r="666" spans="1:7" ht="15.75" customHeight="1" x14ac:dyDescent="0.25">
      <c r="A666" s="157"/>
      <c r="B666" s="157"/>
      <c r="C666" s="157"/>
      <c r="G666" s="18"/>
    </row>
    <row r="667" spans="1:7" ht="15.75" customHeight="1" x14ac:dyDescent="0.25">
      <c r="A667" s="157"/>
      <c r="B667" s="157"/>
      <c r="C667" s="157"/>
      <c r="G667" s="18"/>
    </row>
    <row r="668" spans="1:7" ht="15.75" customHeight="1" x14ac:dyDescent="0.25">
      <c r="A668" s="157"/>
      <c r="B668" s="157"/>
      <c r="C668" s="157"/>
      <c r="G668" s="18"/>
    </row>
    <row r="669" spans="1:7" ht="15.75" customHeight="1" x14ac:dyDescent="0.25">
      <c r="A669" s="157"/>
      <c r="B669" s="157"/>
      <c r="C669" s="157"/>
      <c r="G669" s="18"/>
    </row>
    <row r="670" spans="1:7" ht="15.75" customHeight="1" x14ac:dyDescent="0.25">
      <c r="A670" s="157"/>
      <c r="B670" s="157"/>
      <c r="C670" s="157"/>
      <c r="G670" s="18"/>
    </row>
    <row r="671" spans="1:7" ht="15.75" customHeight="1" x14ac:dyDescent="0.25">
      <c r="A671" s="157"/>
      <c r="B671" s="157"/>
      <c r="C671" s="157"/>
      <c r="G671" s="18"/>
    </row>
    <row r="672" spans="1:7" ht="15.75" customHeight="1" x14ac:dyDescent="0.25">
      <c r="A672" s="157"/>
      <c r="B672" s="157"/>
      <c r="C672" s="157"/>
      <c r="G672" s="18"/>
    </row>
    <row r="673" spans="1:7" ht="15.75" customHeight="1" x14ac:dyDescent="0.25">
      <c r="A673" s="157"/>
      <c r="B673" s="157"/>
      <c r="C673" s="157"/>
      <c r="G673" s="18"/>
    </row>
    <row r="674" spans="1:7" ht="15.75" customHeight="1" x14ac:dyDescent="0.25">
      <c r="A674" s="157"/>
      <c r="B674" s="157"/>
      <c r="C674" s="157"/>
      <c r="G674" s="18"/>
    </row>
    <row r="675" spans="1:7" ht="15.75" customHeight="1" x14ac:dyDescent="0.25">
      <c r="A675" s="157"/>
      <c r="B675" s="157"/>
      <c r="C675" s="157"/>
      <c r="G675" s="18"/>
    </row>
    <row r="676" spans="1:7" ht="15.75" customHeight="1" x14ac:dyDescent="0.25">
      <c r="A676" s="157"/>
      <c r="B676" s="157"/>
      <c r="C676" s="157"/>
      <c r="G676" s="18"/>
    </row>
    <row r="677" spans="1:7" ht="15.75" customHeight="1" x14ac:dyDescent="0.25">
      <c r="A677" s="157"/>
      <c r="B677" s="157"/>
      <c r="C677" s="157"/>
      <c r="G677" s="18"/>
    </row>
    <row r="678" spans="1:7" ht="15.75" customHeight="1" x14ac:dyDescent="0.25">
      <c r="A678" s="157"/>
      <c r="B678" s="157"/>
      <c r="C678" s="157"/>
      <c r="G678" s="18"/>
    </row>
    <row r="679" spans="1:7" ht="15.75" customHeight="1" x14ac:dyDescent="0.25">
      <c r="A679" s="157"/>
      <c r="B679" s="157"/>
      <c r="C679" s="157"/>
      <c r="G679" s="18"/>
    </row>
    <row r="680" spans="1:7" ht="15.75" customHeight="1" x14ac:dyDescent="0.25">
      <c r="A680" s="157"/>
      <c r="B680" s="157"/>
      <c r="C680" s="157"/>
      <c r="G680" s="18"/>
    </row>
    <row r="681" spans="1:7" ht="15.75" customHeight="1" x14ac:dyDescent="0.25">
      <c r="A681" s="157"/>
      <c r="B681" s="157"/>
      <c r="C681" s="157"/>
      <c r="G681" s="18"/>
    </row>
    <row r="682" spans="1:7" ht="15.75" customHeight="1" x14ac:dyDescent="0.25">
      <c r="A682" s="157"/>
      <c r="B682" s="157"/>
      <c r="C682" s="157"/>
      <c r="G682" s="18"/>
    </row>
    <row r="683" spans="1:7" ht="15.75" customHeight="1" x14ac:dyDescent="0.25">
      <c r="A683" s="157"/>
      <c r="B683" s="157"/>
      <c r="C683" s="157"/>
      <c r="G683" s="18"/>
    </row>
    <row r="684" spans="1:7" ht="15.75" customHeight="1" x14ac:dyDescent="0.25">
      <c r="A684" s="157"/>
      <c r="B684" s="157"/>
      <c r="C684" s="157"/>
      <c r="G684" s="18"/>
    </row>
    <row r="685" spans="1:7" ht="15.75" customHeight="1" x14ac:dyDescent="0.25">
      <c r="A685" s="157"/>
      <c r="B685" s="157"/>
      <c r="C685" s="157"/>
      <c r="G685" s="18"/>
    </row>
    <row r="686" spans="1:7" ht="15.75" customHeight="1" x14ac:dyDescent="0.25">
      <c r="A686" s="157"/>
      <c r="B686" s="157"/>
      <c r="C686" s="157"/>
      <c r="G686" s="18"/>
    </row>
    <row r="687" spans="1:7" ht="15.75" customHeight="1" x14ac:dyDescent="0.25">
      <c r="A687" s="157"/>
      <c r="B687" s="157"/>
      <c r="C687" s="157"/>
      <c r="G687" s="18"/>
    </row>
    <row r="688" spans="1:7" ht="15.75" customHeight="1" x14ac:dyDescent="0.25">
      <c r="A688" s="157"/>
      <c r="B688" s="157"/>
      <c r="C688" s="157"/>
      <c r="G688" s="18"/>
    </row>
    <row r="689" spans="1:7" ht="15.75" customHeight="1" x14ac:dyDescent="0.25">
      <c r="A689" s="157"/>
      <c r="B689" s="157"/>
      <c r="C689" s="157"/>
      <c r="G689" s="18"/>
    </row>
    <row r="690" spans="1:7" ht="15.75" customHeight="1" x14ac:dyDescent="0.25">
      <c r="A690" s="157"/>
      <c r="B690" s="157"/>
      <c r="C690" s="157"/>
      <c r="G690" s="18"/>
    </row>
    <row r="691" spans="1:7" ht="15.75" customHeight="1" x14ac:dyDescent="0.25">
      <c r="A691" s="157"/>
      <c r="B691" s="157"/>
      <c r="C691" s="157"/>
      <c r="G691" s="18"/>
    </row>
    <row r="692" spans="1:7" ht="15.75" customHeight="1" x14ac:dyDescent="0.25">
      <c r="A692" s="157"/>
      <c r="B692" s="157"/>
      <c r="C692" s="157"/>
      <c r="G692" s="18"/>
    </row>
    <row r="693" spans="1:7" ht="15.75" customHeight="1" x14ac:dyDescent="0.25">
      <c r="A693" s="157"/>
      <c r="B693" s="157"/>
      <c r="C693" s="157"/>
      <c r="G693" s="18"/>
    </row>
    <row r="694" spans="1:7" ht="15.75" customHeight="1" x14ac:dyDescent="0.25">
      <c r="A694" s="157"/>
      <c r="B694" s="157"/>
      <c r="C694" s="157"/>
      <c r="G694" s="18"/>
    </row>
    <row r="695" spans="1:7" ht="15.75" customHeight="1" x14ac:dyDescent="0.25">
      <c r="A695" s="157"/>
      <c r="B695" s="157"/>
      <c r="C695" s="157"/>
      <c r="G695" s="18"/>
    </row>
    <row r="696" spans="1:7" ht="15.75" customHeight="1" x14ac:dyDescent="0.25">
      <c r="A696" s="157"/>
      <c r="B696" s="157"/>
      <c r="C696" s="157"/>
      <c r="G696" s="18"/>
    </row>
    <row r="697" spans="1:7" ht="15.75" customHeight="1" x14ac:dyDescent="0.25">
      <c r="A697" s="157"/>
      <c r="B697" s="157"/>
      <c r="C697" s="157"/>
      <c r="G697" s="18"/>
    </row>
    <row r="698" spans="1:7" ht="15.75" customHeight="1" x14ac:dyDescent="0.25">
      <c r="A698" s="157"/>
      <c r="B698" s="157"/>
      <c r="C698" s="157"/>
      <c r="G698" s="18"/>
    </row>
    <row r="699" spans="1:7" ht="15.75" customHeight="1" x14ac:dyDescent="0.25">
      <c r="A699" s="157"/>
      <c r="B699" s="157"/>
      <c r="C699" s="157"/>
      <c r="G699" s="18"/>
    </row>
    <row r="700" spans="1:7" ht="15.75" customHeight="1" x14ac:dyDescent="0.25">
      <c r="A700" s="157"/>
      <c r="B700" s="157"/>
      <c r="C700" s="157"/>
      <c r="G700" s="18"/>
    </row>
    <row r="701" spans="1:7" ht="15.75" customHeight="1" x14ac:dyDescent="0.25">
      <c r="A701" s="157"/>
      <c r="B701" s="157"/>
      <c r="C701" s="157"/>
      <c r="G701" s="18"/>
    </row>
    <row r="702" spans="1:7" ht="15.75" customHeight="1" x14ac:dyDescent="0.25">
      <c r="A702" s="157"/>
      <c r="B702" s="157"/>
      <c r="C702" s="157"/>
      <c r="G702" s="18"/>
    </row>
    <row r="703" spans="1:7" ht="15.75" customHeight="1" x14ac:dyDescent="0.25">
      <c r="A703" s="157"/>
      <c r="B703" s="157"/>
      <c r="C703" s="157"/>
      <c r="G703" s="18"/>
    </row>
    <row r="704" spans="1:7" ht="15.75" customHeight="1" x14ac:dyDescent="0.25">
      <c r="A704" s="157"/>
      <c r="B704" s="157"/>
      <c r="C704" s="157"/>
      <c r="G704" s="18"/>
    </row>
    <row r="705" spans="1:7" ht="15.75" customHeight="1" x14ac:dyDescent="0.25">
      <c r="A705" s="157"/>
      <c r="B705" s="157"/>
      <c r="C705" s="157"/>
      <c r="G705" s="18"/>
    </row>
    <row r="706" spans="1:7" ht="15.75" customHeight="1" x14ac:dyDescent="0.25">
      <c r="A706" s="157"/>
      <c r="B706" s="157"/>
      <c r="C706" s="157"/>
      <c r="G706" s="18"/>
    </row>
    <row r="707" spans="1:7" ht="15.75" customHeight="1" x14ac:dyDescent="0.25">
      <c r="A707" s="157"/>
      <c r="B707" s="157"/>
      <c r="C707" s="157"/>
      <c r="G707" s="18"/>
    </row>
    <row r="708" spans="1:7" ht="15.75" customHeight="1" x14ac:dyDescent="0.25">
      <c r="A708" s="157"/>
      <c r="B708" s="157"/>
      <c r="C708" s="157"/>
      <c r="G708" s="18"/>
    </row>
    <row r="709" spans="1:7" ht="15.75" customHeight="1" x14ac:dyDescent="0.25">
      <c r="A709" s="157"/>
      <c r="B709" s="157"/>
      <c r="C709" s="157"/>
      <c r="G709" s="18"/>
    </row>
    <row r="710" spans="1:7" ht="15.75" customHeight="1" x14ac:dyDescent="0.25">
      <c r="A710" s="157"/>
      <c r="B710" s="157"/>
      <c r="C710" s="157"/>
      <c r="G710" s="18"/>
    </row>
    <row r="711" spans="1:7" ht="15.75" customHeight="1" x14ac:dyDescent="0.25">
      <c r="A711" s="157"/>
      <c r="B711" s="157"/>
      <c r="C711" s="157"/>
      <c r="G711" s="18"/>
    </row>
    <row r="712" spans="1:7" ht="15.75" customHeight="1" x14ac:dyDescent="0.25">
      <c r="A712" s="157"/>
      <c r="B712" s="157"/>
      <c r="C712" s="157"/>
      <c r="G712" s="18"/>
    </row>
    <row r="713" spans="1:7" ht="15.75" customHeight="1" x14ac:dyDescent="0.25">
      <c r="A713" s="157"/>
      <c r="B713" s="157"/>
      <c r="C713" s="157"/>
      <c r="G713" s="18"/>
    </row>
    <row r="714" spans="1:7" ht="15.75" customHeight="1" x14ac:dyDescent="0.25">
      <c r="A714" s="157"/>
      <c r="B714" s="157"/>
      <c r="C714" s="157"/>
      <c r="G714" s="18"/>
    </row>
    <row r="715" spans="1:7" ht="15.75" customHeight="1" x14ac:dyDescent="0.25">
      <c r="A715" s="157"/>
      <c r="B715" s="157"/>
      <c r="C715" s="157"/>
      <c r="G715" s="18"/>
    </row>
    <row r="716" spans="1:7" ht="15.75" customHeight="1" x14ac:dyDescent="0.25">
      <c r="A716" s="157"/>
      <c r="B716" s="157"/>
      <c r="C716" s="157"/>
      <c r="G716" s="18"/>
    </row>
    <row r="717" spans="1:7" ht="15.75" customHeight="1" x14ac:dyDescent="0.25">
      <c r="A717" s="157"/>
      <c r="B717" s="157"/>
      <c r="C717" s="157"/>
      <c r="G717" s="18"/>
    </row>
    <row r="718" spans="1:7" ht="15.75" customHeight="1" x14ac:dyDescent="0.25">
      <c r="A718" s="157"/>
      <c r="B718" s="157"/>
      <c r="C718" s="157"/>
      <c r="G718" s="18"/>
    </row>
    <row r="719" spans="1:7" ht="15.75" customHeight="1" x14ac:dyDescent="0.25">
      <c r="A719" s="157"/>
      <c r="B719" s="157"/>
      <c r="C719" s="157"/>
      <c r="G719" s="18"/>
    </row>
    <row r="720" spans="1:7" ht="15.75" customHeight="1" x14ac:dyDescent="0.25">
      <c r="A720" s="157"/>
      <c r="B720" s="157"/>
      <c r="C720" s="157"/>
      <c r="G720" s="18"/>
    </row>
    <row r="721" spans="1:7" ht="15.75" customHeight="1" x14ac:dyDescent="0.25">
      <c r="A721" s="157"/>
      <c r="B721" s="157"/>
      <c r="C721" s="157"/>
      <c r="G721" s="18"/>
    </row>
    <row r="722" spans="1:7" ht="15.75" customHeight="1" x14ac:dyDescent="0.25">
      <c r="A722" s="157"/>
      <c r="B722" s="157"/>
      <c r="C722" s="157"/>
      <c r="G722" s="18"/>
    </row>
    <row r="723" spans="1:7" ht="15.75" customHeight="1" x14ac:dyDescent="0.25">
      <c r="A723" s="157"/>
      <c r="B723" s="157"/>
      <c r="C723" s="157"/>
      <c r="G723" s="18"/>
    </row>
    <row r="724" spans="1:7" ht="15.75" customHeight="1" x14ac:dyDescent="0.25">
      <c r="A724" s="157"/>
      <c r="B724" s="157"/>
      <c r="C724" s="157"/>
      <c r="G724" s="18"/>
    </row>
    <row r="725" spans="1:7" ht="15.75" customHeight="1" x14ac:dyDescent="0.25">
      <c r="A725" s="157"/>
      <c r="B725" s="157"/>
      <c r="C725" s="157"/>
      <c r="G725" s="18"/>
    </row>
    <row r="726" spans="1:7" ht="15.75" customHeight="1" x14ac:dyDescent="0.25">
      <c r="A726" s="157"/>
      <c r="B726" s="157"/>
      <c r="C726" s="157"/>
      <c r="G726" s="18"/>
    </row>
    <row r="727" spans="1:7" ht="15.75" customHeight="1" x14ac:dyDescent="0.25">
      <c r="A727" s="157"/>
      <c r="B727" s="157"/>
      <c r="C727" s="157"/>
      <c r="G727" s="18"/>
    </row>
    <row r="728" spans="1:7" ht="15.75" customHeight="1" x14ac:dyDescent="0.25">
      <c r="A728" s="157"/>
      <c r="B728" s="157"/>
      <c r="C728" s="157"/>
      <c r="G728" s="18"/>
    </row>
    <row r="729" spans="1:7" ht="15.75" customHeight="1" x14ac:dyDescent="0.25">
      <c r="A729" s="157"/>
      <c r="B729" s="157"/>
      <c r="C729" s="157"/>
      <c r="G729" s="18"/>
    </row>
    <row r="730" spans="1:7" ht="15.75" customHeight="1" x14ac:dyDescent="0.25">
      <c r="A730" s="157"/>
      <c r="B730" s="157"/>
      <c r="C730" s="157"/>
      <c r="G730" s="18"/>
    </row>
    <row r="731" spans="1:7" ht="15.75" customHeight="1" x14ac:dyDescent="0.25">
      <c r="A731" s="157"/>
      <c r="B731" s="157"/>
      <c r="C731" s="157"/>
      <c r="G731" s="18"/>
    </row>
    <row r="732" spans="1:7" ht="15.75" customHeight="1" x14ac:dyDescent="0.25">
      <c r="A732" s="157"/>
      <c r="B732" s="157"/>
      <c r="C732" s="157"/>
      <c r="G732" s="18"/>
    </row>
    <row r="733" spans="1:7" ht="15.75" customHeight="1" x14ac:dyDescent="0.25">
      <c r="A733" s="157"/>
      <c r="B733" s="157"/>
      <c r="C733" s="157"/>
      <c r="G733" s="18"/>
    </row>
    <row r="734" spans="1:7" ht="15.75" customHeight="1" x14ac:dyDescent="0.25">
      <c r="A734" s="157"/>
      <c r="B734" s="157"/>
      <c r="C734" s="157"/>
      <c r="G734" s="18"/>
    </row>
    <row r="735" spans="1:7" ht="15.75" customHeight="1" x14ac:dyDescent="0.25">
      <c r="A735" s="157"/>
      <c r="B735" s="157"/>
      <c r="C735" s="157"/>
      <c r="G735" s="18"/>
    </row>
    <row r="736" spans="1:7" ht="15.75" customHeight="1" x14ac:dyDescent="0.25">
      <c r="A736" s="157"/>
      <c r="B736" s="157"/>
      <c r="C736" s="157"/>
      <c r="G736" s="18"/>
    </row>
    <row r="737" spans="1:7" ht="15.75" customHeight="1" x14ac:dyDescent="0.25">
      <c r="A737" s="157"/>
      <c r="B737" s="157"/>
      <c r="C737" s="157"/>
      <c r="G737" s="18"/>
    </row>
    <row r="738" spans="1:7" ht="15.75" customHeight="1" x14ac:dyDescent="0.25">
      <c r="A738" s="157"/>
      <c r="B738" s="157"/>
      <c r="C738" s="157"/>
      <c r="G738" s="18"/>
    </row>
    <row r="739" spans="1:7" ht="15.75" customHeight="1" x14ac:dyDescent="0.25">
      <c r="A739" s="157"/>
      <c r="B739" s="157"/>
      <c r="C739" s="157"/>
      <c r="G739" s="18"/>
    </row>
    <row r="740" spans="1:7" ht="15.75" customHeight="1" x14ac:dyDescent="0.25">
      <c r="A740" s="157"/>
      <c r="B740" s="157"/>
      <c r="C740" s="157"/>
      <c r="G740" s="18"/>
    </row>
    <row r="741" spans="1:7" ht="15.75" customHeight="1" x14ac:dyDescent="0.25">
      <c r="A741" s="157"/>
      <c r="B741" s="157"/>
      <c r="C741" s="157"/>
      <c r="G741" s="18"/>
    </row>
    <row r="742" spans="1:7" ht="15.75" customHeight="1" x14ac:dyDescent="0.25">
      <c r="A742" s="157"/>
      <c r="B742" s="157"/>
      <c r="C742" s="157"/>
      <c r="G742" s="18"/>
    </row>
    <row r="743" spans="1:7" ht="15.75" customHeight="1" x14ac:dyDescent="0.25">
      <c r="A743" s="157"/>
      <c r="B743" s="157"/>
      <c r="C743" s="157"/>
      <c r="G743" s="18"/>
    </row>
    <row r="744" spans="1:7" ht="15.75" customHeight="1" x14ac:dyDescent="0.25">
      <c r="A744" s="157"/>
      <c r="B744" s="157"/>
      <c r="C744" s="157"/>
      <c r="G744" s="18"/>
    </row>
    <row r="745" spans="1:7" ht="15.75" customHeight="1" x14ac:dyDescent="0.25">
      <c r="A745" s="157"/>
      <c r="B745" s="157"/>
      <c r="C745" s="157"/>
      <c r="G745" s="18"/>
    </row>
    <row r="746" spans="1:7" ht="15.75" customHeight="1" x14ac:dyDescent="0.25">
      <c r="A746" s="157"/>
      <c r="B746" s="157"/>
      <c r="C746" s="157"/>
      <c r="G746" s="18"/>
    </row>
    <row r="747" spans="1:7" ht="15.75" customHeight="1" x14ac:dyDescent="0.25">
      <c r="A747" s="157"/>
      <c r="B747" s="157"/>
      <c r="C747" s="157"/>
      <c r="G747" s="18"/>
    </row>
    <row r="748" spans="1:7" ht="15.75" customHeight="1" x14ac:dyDescent="0.25">
      <c r="A748" s="157"/>
      <c r="B748" s="157"/>
      <c r="C748" s="157"/>
      <c r="G748" s="18"/>
    </row>
    <row r="749" spans="1:7" ht="15.75" customHeight="1" x14ac:dyDescent="0.25">
      <c r="A749" s="157"/>
      <c r="B749" s="157"/>
      <c r="C749" s="157"/>
      <c r="G749" s="18"/>
    </row>
    <row r="750" spans="1:7" ht="15.75" customHeight="1" x14ac:dyDescent="0.25">
      <c r="A750" s="157"/>
      <c r="B750" s="157"/>
      <c r="C750" s="157"/>
      <c r="G750" s="18"/>
    </row>
    <row r="751" spans="1:7" ht="15.75" customHeight="1" x14ac:dyDescent="0.25">
      <c r="A751" s="157"/>
      <c r="B751" s="157"/>
      <c r="C751" s="157"/>
      <c r="G751" s="18"/>
    </row>
    <row r="752" spans="1:7" ht="15.75" customHeight="1" x14ac:dyDescent="0.25">
      <c r="A752" s="157"/>
      <c r="B752" s="157"/>
      <c r="C752" s="157"/>
      <c r="G752" s="18"/>
    </row>
    <row r="753" spans="1:7" ht="15.75" customHeight="1" x14ac:dyDescent="0.25">
      <c r="A753" s="157"/>
      <c r="B753" s="157"/>
      <c r="C753" s="157"/>
      <c r="G753" s="18"/>
    </row>
    <row r="754" spans="1:7" ht="15.75" customHeight="1" x14ac:dyDescent="0.25">
      <c r="A754" s="157"/>
      <c r="B754" s="157"/>
      <c r="C754" s="157"/>
      <c r="G754" s="18"/>
    </row>
    <row r="755" spans="1:7" ht="15.75" customHeight="1" x14ac:dyDescent="0.25">
      <c r="A755" s="157"/>
      <c r="B755" s="157"/>
      <c r="C755" s="157"/>
      <c r="G755" s="18"/>
    </row>
    <row r="756" spans="1:7" ht="15.75" customHeight="1" x14ac:dyDescent="0.25">
      <c r="A756" s="157"/>
      <c r="B756" s="157"/>
      <c r="C756" s="157"/>
      <c r="G756" s="18"/>
    </row>
    <row r="757" spans="1:7" ht="15.75" customHeight="1" x14ac:dyDescent="0.25">
      <c r="A757" s="157"/>
      <c r="B757" s="157"/>
      <c r="C757" s="157"/>
      <c r="G757" s="18"/>
    </row>
    <row r="758" spans="1:7" ht="15.75" customHeight="1" x14ac:dyDescent="0.25">
      <c r="A758" s="157"/>
      <c r="B758" s="157"/>
      <c r="C758" s="157"/>
      <c r="G758" s="18"/>
    </row>
    <row r="759" spans="1:7" ht="15.75" customHeight="1" x14ac:dyDescent="0.25">
      <c r="A759" s="157"/>
      <c r="B759" s="157"/>
      <c r="C759" s="157"/>
      <c r="G759" s="18"/>
    </row>
    <row r="760" spans="1:7" ht="15.75" customHeight="1" x14ac:dyDescent="0.25">
      <c r="A760" s="157"/>
      <c r="B760" s="157"/>
      <c r="C760" s="157"/>
      <c r="G760" s="18"/>
    </row>
    <row r="761" spans="1:7" ht="15.75" customHeight="1" x14ac:dyDescent="0.25">
      <c r="A761" s="157"/>
      <c r="B761" s="157"/>
      <c r="C761" s="157"/>
      <c r="G761" s="18"/>
    </row>
    <row r="762" spans="1:7" ht="15.75" customHeight="1" x14ac:dyDescent="0.25">
      <c r="A762" s="157"/>
      <c r="B762" s="157"/>
      <c r="C762" s="157"/>
      <c r="G762" s="18"/>
    </row>
    <row r="763" spans="1:7" ht="15.75" customHeight="1" x14ac:dyDescent="0.25">
      <c r="A763" s="157"/>
      <c r="B763" s="157"/>
      <c r="C763" s="157"/>
      <c r="G763" s="18"/>
    </row>
    <row r="764" spans="1:7" ht="15.75" customHeight="1" x14ac:dyDescent="0.25">
      <c r="A764" s="157"/>
      <c r="B764" s="157"/>
      <c r="C764" s="157"/>
      <c r="G764" s="18"/>
    </row>
    <row r="765" spans="1:7" ht="15.75" customHeight="1" x14ac:dyDescent="0.25">
      <c r="A765" s="157"/>
      <c r="B765" s="157"/>
      <c r="C765" s="157"/>
      <c r="G765" s="18"/>
    </row>
    <row r="766" spans="1:7" ht="15.75" customHeight="1" x14ac:dyDescent="0.25">
      <c r="A766" s="157"/>
      <c r="B766" s="157"/>
      <c r="C766" s="157"/>
      <c r="G766" s="18"/>
    </row>
    <row r="767" spans="1:7" ht="15.75" customHeight="1" x14ac:dyDescent="0.25">
      <c r="A767" s="157"/>
      <c r="B767" s="157"/>
      <c r="C767" s="157"/>
      <c r="G767" s="18"/>
    </row>
    <row r="768" spans="1:7" ht="15.75" customHeight="1" x14ac:dyDescent="0.25">
      <c r="A768" s="157"/>
      <c r="B768" s="157"/>
      <c r="C768" s="157"/>
      <c r="G768" s="18"/>
    </row>
    <row r="769" spans="1:7" ht="15.75" customHeight="1" x14ac:dyDescent="0.25">
      <c r="A769" s="157"/>
      <c r="B769" s="157"/>
      <c r="C769" s="157"/>
      <c r="G769" s="18"/>
    </row>
    <row r="770" spans="1:7" ht="15.75" customHeight="1" x14ac:dyDescent="0.25">
      <c r="A770" s="157"/>
      <c r="B770" s="157"/>
      <c r="C770" s="157"/>
      <c r="G770" s="18"/>
    </row>
    <row r="771" spans="1:7" ht="15.75" customHeight="1" x14ac:dyDescent="0.25">
      <c r="A771" s="157"/>
      <c r="B771" s="157"/>
      <c r="C771" s="157"/>
      <c r="G771" s="18"/>
    </row>
    <row r="772" spans="1:7" ht="15.75" customHeight="1" x14ac:dyDescent="0.25">
      <c r="A772" s="157"/>
      <c r="B772" s="157"/>
      <c r="C772" s="157"/>
      <c r="G772" s="18"/>
    </row>
    <row r="773" spans="1:7" ht="15.75" customHeight="1" x14ac:dyDescent="0.25">
      <c r="A773" s="157"/>
      <c r="B773" s="157"/>
      <c r="C773" s="157"/>
      <c r="G773" s="18"/>
    </row>
    <row r="774" spans="1:7" ht="15.75" customHeight="1" x14ac:dyDescent="0.25">
      <c r="A774" s="157"/>
      <c r="B774" s="157"/>
      <c r="C774" s="157"/>
      <c r="G774" s="18"/>
    </row>
    <row r="775" spans="1:7" ht="15.75" customHeight="1" x14ac:dyDescent="0.25">
      <c r="A775" s="157"/>
      <c r="B775" s="157"/>
      <c r="C775" s="157"/>
      <c r="G775" s="18"/>
    </row>
    <row r="776" spans="1:7" ht="15.75" customHeight="1" x14ac:dyDescent="0.25">
      <c r="A776" s="157"/>
      <c r="B776" s="157"/>
      <c r="C776" s="157"/>
      <c r="G776" s="18"/>
    </row>
    <row r="777" spans="1:7" ht="15.75" customHeight="1" x14ac:dyDescent="0.25">
      <c r="A777" s="157"/>
      <c r="B777" s="157"/>
      <c r="C777" s="157"/>
      <c r="G777" s="18"/>
    </row>
    <row r="778" spans="1:7" ht="15.75" customHeight="1" x14ac:dyDescent="0.25">
      <c r="A778" s="157"/>
      <c r="B778" s="157"/>
      <c r="C778" s="157"/>
      <c r="G778" s="18"/>
    </row>
    <row r="779" spans="1:7" ht="15.75" customHeight="1" x14ac:dyDescent="0.25">
      <c r="A779" s="157"/>
      <c r="B779" s="157"/>
      <c r="C779" s="157"/>
      <c r="G779" s="18"/>
    </row>
    <row r="780" spans="1:7" ht="15.75" customHeight="1" x14ac:dyDescent="0.25">
      <c r="A780" s="157"/>
      <c r="B780" s="157"/>
      <c r="C780" s="157"/>
      <c r="G780" s="18"/>
    </row>
    <row r="781" spans="1:7" ht="15.75" customHeight="1" x14ac:dyDescent="0.25">
      <c r="A781" s="157"/>
      <c r="B781" s="157"/>
      <c r="C781" s="157"/>
      <c r="G781" s="18"/>
    </row>
    <row r="782" spans="1:7" ht="15.75" customHeight="1" x14ac:dyDescent="0.25">
      <c r="A782" s="157"/>
      <c r="B782" s="157"/>
      <c r="C782" s="157"/>
      <c r="G782" s="18"/>
    </row>
    <row r="783" spans="1:7" ht="15.75" customHeight="1" x14ac:dyDescent="0.25">
      <c r="A783" s="157"/>
      <c r="B783" s="157"/>
      <c r="C783" s="157"/>
      <c r="G783" s="18"/>
    </row>
    <row r="784" spans="1:7" ht="15.75" customHeight="1" x14ac:dyDescent="0.25">
      <c r="A784" s="157"/>
      <c r="B784" s="157"/>
      <c r="C784" s="157"/>
      <c r="G784" s="18"/>
    </row>
    <row r="785" spans="1:7" ht="15.75" customHeight="1" x14ac:dyDescent="0.25">
      <c r="A785" s="157"/>
      <c r="B785" s="157"/>
      <c r="C785" s="157"/>
      <c r="G785" s="18"/>
    </row>
    <row r="786" spans="1:7" ht="15.75" customHeight="1" x14ac:dyDescent="0.25">
      <c r="A786" s="157"/>
      <c r="B786" s="157"/>
      <c r="C786" s="157"/>
      <c r="G786" s="18"/>
    </row>
    <row r="787" spans="1:7" ht="15.75" customHeight="1" x14ac:dyDescent="0.25">
      <c r="A787" s="157"/>
      <c r="B787" s="157"/>
      <c r="C787" s="157"/>
      <c r="G787" s="18"/>
    </row>
    <row r="788" spans="1:7" ht="15.75" customHeight="1" x14ac:dyDescent="0.25">
      <c r="A788" s="157"/>
      <c r="B788" s="157"/>
      <c r="C788" s="157"/>
      <c r="G788" s="18"/>
    </row>
    <row r="789" spans="1:7" ht="15.75" customHeight="1" x14ac:dyDescent="0.25">
      <c r="A789" s="157"/>
      <c r="B789" s="157"/>
      <c r="C789" s="157"/>
      <c r="G789" s="18"/>
    </row>
    <row r="790" spans="1:7" ht="15.75" customHeight="1" x14ac:dyDescent="0.25">
      <c r="A790" s="157"/>
      <c r="B790" s="157"/>
      <c r="C790" s="157"/>
      <c r="G790" s="18"/>
    </row>
    <row r="791" spans="1:7" ht="15.75" customHeight="1" x14ac:dyDescent="0.25">
      <c r="A791" s="157"/>
      <c r="B791" s="157"/>
      <c r="C791" s="157"/>
      <c r="G791" s="18"/>
    </row>
    <row r="792" spans="1:7" ht="15.75" customHeight="1" x14ac:dyDescent="0.25">
      <c r="A792" s="157"/>
      <c r="B792" s="157"/>
      <c r="C792" s="157"/>
      <c r="G792" s="18"/>
    </row>
    <row r="793" spans="1:7" ht="15.75" customHeight="1" x14ac:dyDescent="0.25">
      <c r="A793" s="157"/>
      <c r="B793" s="157"/>
      <c r="C793" s="157"/>
      <c r="G793" s="18"/>
    </row>
    <row r="794" spans="1:7" ht="15.75" customHeight="1" x14ac:dyDescent="0.25">
      <c r="A794" s="157"/>
      <c r="B794" s="157"/>
      <c r="C794" s="157"/>
      <c r="G794" s="18"/>
    </row>
    <row r="795" spans="1:7" ht="15.75" customHeight="1" x14ac:dyDescent="0.25">
      <c r="A795" s="157"/>
      <c r="B795" s="157"/>
      <c r="C795" s="157"/>
      <c r="G795" s="18"/>
    </row>
    <row r="796" spans="1:7" ht="15.75" customHeight="1" x14ac:dyDescent="0.25">
      <c r="A796" s="157"/>
      <c r="B796" s="157"/>
      <c r="C796" s="157"/>
      <c r="G796" s="18"/>
    </row>
    <row r="797" spans="1:7" ht="15.75" customHeight="1" x14ac:dyDescent="0.25">
      <c r="A797" s="157"/>
      <c r="B797" s="157"/>
      <c r="C797" s="157"/>
      <c r="G797" s="18"/>
    </row>
    <row r="798" spans="1:7" ht="15.75" customHeight="1" x14ac:dyDescent="0.25">
      <c r="A798" s="157"/>
      <c r="B798" s="157"/>
      <c r="C798" s="157"/>
      <c r="G798" s="18"/>
    </row>
    <row r="799" spans="1:7" ht="15.75" customHeight="1" x14ac:dyDescent="0.25">
      <c r="A799" s="157"/>
      <c r="B799" s="157"/>
      <c r="C799" s="157"/>
      <c r="G799" s="18"/>
    </row>
    <row r="800" spans="1:7" ht="15.75" customHeight="1" x14ac:dyDescent="0.25">
      <c r="A800" s="157"/>
      <c r="B800" s="157"/>
      <c r="C800" s="157"/>
      <c r="G800" s="18"/>
    </row>
    <row r="801" spans="1:7" ht="15.75" customHeight="1" x14ac:dyDescent="0.25">
      <c r="A801" s="157"/>
      <c r="B801" s="157"/>
      <c r="C801" s="157"/>
      <c r="G801" s="18"/>
    </row>
    <row r="802" spans="1:7" ht="15.75" customHeight="1" x14ac:dyDescent="0.25">
      <c r="A802" s="157"/>
      <c r="B802" s="157"/>
      <c r="C802" s="157"/>
      <c r="G802" s="18"/>
    </row>
    <row r="803" spans="1:7" ht="15.75" customHeight="1" x14ac:dyDescent="0.25">
      <c r="A803" s="157"/>
      <c r="B803" s="157"/>
      <c r="C803" s="157"/>
      <c r="G803" s="18"/>
    </row>
    <row r="804" spans="1:7" ht="15.75" customHeight="1" x14ac:dyDescent="0.25">
      <c r="A804" s="157"/>
      <c r="B804" s="157"/>
      <c r="C804" s="157"/>
      <c r="G804" s="18"/>
    </row>
    <row r="805" spans="1:7" ht="15.75" customHeight="1" x14ac:dyDescent="0.25">
      <c r="A805" s="157"/>
      <c r="B805" s="157"/>
      <c r="C805" s="157"/>
      <c r="G805" s="18"/>
    </row>
    <row r="806" spans="1:7" ht="15.75" customHeight="1" x14ac:dyDescent="0.25">
      <c r="A806" s="157"/>
      <c r="B806" s="157"/>
      <c r="C806" s="157"/>
      <c r="G806" s="18"/>
    </row>
    <row r="807" spans="1:7" ht="15.75" customHeight="1" x14ac:dyDescent="0.25">
      <c r="A807" s="157"/>
      <c r="B807" s="157"/>
      <c r="C807" s="157"/>
      <c r="G807" s="18"/>
    </row>
    <row r="808" spans="1:7" ht="15.75" customHeight="1" x14ac:dyDescent="0.25">
      <c r="A808" s="157"/>
      <c r="B808" s="157"/>
      <c r="C808" s="157"/>
      <c r="G808" s="18"/>
    </row>
    <row r="809" spans="1:7" ht="15.75" customHeight="1" x14ac:dyDescent="0.25">
      <c r="A809" s="157"/>
      <c r="B809" s="157"/>
      <c r="C809" s="157"/>
      <c r="G809" s="18"/>
    </row>
    <row r="810" spans="1:7" ht="15.75" customHeight="1" x14ac:dyDescent="0.25">
      <c r="A810" s="157"/>
      <c r="B810" s="157"/>
      <c r="C810" s="157"/>
      <c r="G810" s="18"/>
    </row>
    <row r="811" spans="1:7" ht="15.75" customHeight="1" x14ac:dyDescent="0.25">
      <c r="A811" s="157"/>
      <c r="B811" s="157"/>
      <c r="C811" s="157"/>
      <c r="G811" s="18"/>
    </row>
    <row r="812" spans="1:7" ht="15.75" customHeight="1" x14ac:dyDescent="0.25">
      <c r="A812" s="157"/>
      <c r="B812" s="157"/>
      <c r="C812" s="157"/>
      <c r="G812" s="18"/>
    </row>
    <row r="813" spans="1:7" ht="15.75" customHeight="1" x14ac:dyDescent="0.25">
      <c r="A813" s="157"/>
      <c r="B813" s="157"/>
      <c r="C813" s="157"/>
      <c r="G813" s="18"/>
    </row>
    <row r="814" spans="1:7" ht="15.75" customHeight="1" x14ac:dyDescent="0.25">
      <c r="A814" s="157"/>
      <c r="B814" s="157"/>
      <c r="C814" s="157"/>
      <c r="G814" s="18"/>
    </row>
    <row r="815" spans="1:7" ht="15.75" customHeight="1" x14ac:dyDescent="0.25">
      <c r="A815" s="157"/>
      <c r="B815" s="157"/>
      <c r="C815" s="157"/>
      <c r="G815" s="18"/>
    </row>
    <row r="816" spans="1:7" ht="15.75" customHeight="1" x14ac:dyDescent="0.25">
      <c r="A816" s="157"/>
      <c r="B816" s="157"/>
      <c r="C816" s="157"/>
      <c r="G816" s="18"/>
    </row>
    <row r="817" spans="1:7" ht="15.75" customHeight="1" x14ac:dyDescent="0.25">
      <c r="A817" s="157"/>
      <c r="B817" s="157"/>
      <c r="C817" s="157"/>
      <c r="G817" s="18"/>
    </row>
    <row r="818" spans="1:7" ht="15.75" customHeight="1" x14ac:dyDescent="0.25">
      <c r="A818" s="157"/>
      <c r="B818" s="157"/>
      <c r="C818" s="157"/>
      <c r="G818" s="18"/>
    </row>
    <row r="819" spans="1:7" ht="15.75" customHeight="1" x14ac:dyDescent="0.25">
      <c r="A819" s="157"/>
      <c r="B819" s="157"/>
      <c r="C819" s="157"/>
      <c r="G819" s="18"/>
    </row>
    <row r="820" spans="1:7" ht="15.75" customHeight="1" x14ac:dyDescent="0.25">
      <c r="A820" s="157"/>
      <c r="B820" s="157"/>
      <c r="C820" s="157"/>
      <c r="G820" s="18"/>
    </row>
    <row r="821" spans="1:7" ht="15.75" customHeight="1" x14ac:dyDescent="0.25">
      <c r="A821" s="157"/>
      <c r="B821" s="157"/>
      <c r="C821" s="157"/>
      <c r="G821" s="18"/>
    </row>
    <row r="822" spans="1:7" ht="15.75" customHeight="1" x14ac:dyDescent="0.25">
      <c r="A822" s="157"/>
      <c r="B822" s="157"/>
      <c r="C822" s="157"/>
      <c r="G822" s="18"/>
    </row>
    <row r="823" spans="1:7" ht="15.75" customHeight="1" x14ac:dyDescent="0.25">
      <c r="A823" s="157"/>
      <c r="B823" s="157"/>
      <c r="C823" s="157"/>
      <c r="G823" s="18"/>
    </row>
    <row r="824" spans="1:7" ht="15.75" customHeight="1" x14ac:dyDescent="0.25">
      <c r="A824" s="157"/>
      <c r="B824" s="157"/>
      <c r="C824" s="157"/>
      <c r="G824" s="18"/>
    </row>
    <row r="825" spans="1:7" ht="15.75" customHeight="1" x14ac:dyDescent="0.25">
      <c r="A825" s="157"/>
      <c r="B825" s="157"/>
      <c r="C825" s="157"/>
      <c r="G825" s="18"/>
    </row>
    <row r="826" spans="1:7" ht="15.75" customHeight="1" x14ac:dyDescent="0.25">
      <c r="A826" s="157"/>
      <c r="B826" s="157"/>
      <c r="C826" s="157"/>
      <c r="G826" s="18"/>
    </row>
    <row r="827" spans="1:7" ht="15.75" customHeight="1" x14ac:dyDescent="0.25">
      <c r="A827" s="157"/>
      <c r="B827" s="157"/>
      <c r="C827" s="157"/>
      <c r="G827" s="18"/>
    </row>
    <row r="828" spans="1:7" ht="15.75" customHeight="1" x14ac:dyDescent="0.25">
      <c r="A828" s="157"/>
      <c r="B828" s="157"/>
      <c r="C828" s="157"/>
      <c r="G828" s="18"/>
    </row>
    <row r="829" spans="1:7" ht="15.75" customHeight="1" x14ac:dyDescent="0.25">
      <c r="A829" s="157"/>
      <c r="B829" s="157"/>
      <c r="C829" s="157"/>
      <c r="G829" s="18"/>
    </row>
    <row r="830" spans="1:7" ht="15.75" customHeight="1" x14ac:dyDescent="0.25">
      <c r="A830" s="157"/>
      <c r="B830" s="157"/>
      <c r="C830" s="157"/>
      <c r="G830" s="18"/>
    </row>
    <row r="831" spans="1:7" ht="15.75" customHeight="1" x14ac:dyDescent="0.25">
      <c r="A831" s="157"/>
      <c r="B831" s="157"/>
      <c r="C831" s="157"/>
      <c r="G831" s="18"/>
    </row>
    <row r="832" spans="1:7" ht="15.75" customHeight="1" x14ac:dyDescent="0.25">
      <c r="A832" s="157"/>
      <c r="B832" s="157"/>
      <c r="C832" s="157"/>
      <c r="G832" s="18"/>
    </row>
    <row r="833" spans="1:7" ht="15.75" customHeight="1" x14ac:dyDescent="0.25">
      <c r="A833" s="157"/>
      <c r="B833" s="157"/>
      <c r="C833" s="157"/>
      <c r="G833" s="18"/>
    </row>
    <row r="834" spans="1:7" ht="15.75" customHeight="1" x14ac:dyDescent="0.25">
      <c r="A834" s="157"/>
      <c r="B834" s="157"/>
      <c r="C834" s="157"/>
      <c r="G834" s="18"/>
    </row>
    <row r="835" spans="1:7" ht="15.75" customHeight="1" x14ac:dyDescent="0.25">
      <c r="A835" s="157"/>
      <c r="B835" s="157"/>
      <c r="C835" s="157"/>
      <c r="G835" s="18"/>
    </row>
    <row r="836" spans="1:7" ht="15.75" customHeight="1" x14ac:dyDescent="0.25">
      <c r="A836" s="157"/>
      <c r="B836" s="157"/>
      <c r="C836" s="157"/>
      <c r="G836" s="18"/>
    </row>
    <row r="837" spans="1:7" ht="15.75" customHeight="1" x14ac:dyDescent="0.25">
      <c r="A837" s="157"/>
      <c r="B837" s="157"/>
      <c r="C837" s="157"/>
      <c r="G837" s="18"/>
    </row>
    <row r="838" spans="1:7" ht="15.75" customHeight="1" x14ac:dyDescent="0.25">
      <c r="A838" s="157"/>
      <c r="B838" s="157"/>
      <c r="C838" s="157"/>
      <c r="G838" s="18"/>
    </row>
    <row r="839" spans="1:7" ht="15.75" customHeight="1" x14ac:dyDescent="0.25">
      <c r="A839" s="157"/>
      <c r="B839" s="157"/>
      <c r="C839" s="157"/>
      <c r="G839" s="18"/>
    </row>
    <row r="840" spans="1:7" ht="15.75" customHeight="1" x14ac:dyDescent="0.25">
      <c r="A840" s="157"/>
      <c r="B840" s="157"/>
      <c r="C840" s="157"/>
      <c r="G840" s="18"/>
    </row>
    <row r="841" spans="1:7" ht="15.75" customHeight="1" x14ac:dyDescent="0.25">
      <c r="A841" s="157"/>
      <c r="B841" s="157"/>
      <c r="C841" s="157"/>
      <c r="G841" s="18"/>
    </row>
    <row r="842" spans="1:7" ht="15.75" customHeight="1" x14ac:dyDescent="0.25">
      <c r="A842" s="157"/>
      <c r="B842" s="157"/>
      <c r="C842" s="157"/>
      <c r="G842" s="18"/>
    </row>
    <row r="843" spans="1:7" ht="15.75" customHeight="1" x14ac:dyDescent="0.25">
      <c r="A843" s="157"/>
      <c r="B843" s="157"/>
      <c r="C843" s="157"/>
      <c r="G843" s="18"/>
    </row>
    <row r="844" spans="1:7" ht="15.75" customHeight="1" x14ac:dyDescent="0.25">
      <c r="A844" s="157"/>
      <c r="B844" s="157"/>
      <c r="C844" s="157"/>
      <c r="G844" s="18"/>
    </row>
    <row r="845" spans="1:7" ht="15.75" customHeight="1" x14ac:dyDescent="0.25">
      <c r="A845" s="157"/>
      <c r="B845" s="157"/>
      <c r="C845" s="157"/>
      <c r="G845" s="18"/>
    </row>
    <row r="846" spans="1:7" ht="15.75" customHeight="1" x14ac:dyDescent="0.25">
      <c r="A846" s="157"/>
      <c r="B846" s="157"/>
      <c r="C846" s="157"/>
      <c r="G846" s="18"/>
    </row>
    <row r="847" spans="1:7" ht="15.75" customHeight="1" x14ac:dyDescent="0.25">
      <c r="A847" s="157"/>
      <c r="B847" s="157"/>
      <c r="C847" s="157"/>
      <c r="G847" s="18"/>
    </row>
    <row r="848" spans="1:7" ht="15.75" customHeight="1" x14ac:dyDescent="0.25">
      <c r="A848" s="157"/>
      <c r="B848" s="157"/>
      <c r="C848" s="157"/>
      <c r="G848" s="18"/>
    </row>
    <row r="849" spans="1:7" ht="15.75" customHeight="1" x14ac:dyDescent="0.25">
      <c r="A849" s="157"/>
      <c r="B849" s="157"/>
      <c r="C849" s="157"/>
      <c r="G849" s="18"/>
    </row>
    <row r="850" spans="1:7" ht="15.75" customHeight="1" x14ac:dyDescent="0.25">
      <c r="A850" s="157"/>
      <c r="B850" s="157"/>
      <c r="C850" s="157"/>
      <c r="G850" s="18"/>
    </row>
    <row r="851" spans="1:7" ht="15.75" customHeight="1" x14ac:dyDescent="0.25">
      <c r="A851" s="157"/>
      <c r="B851" s="157"/>
      <c r="C851" s="157"/>
      <c r="G851" s="18"/>
    </row>
    <row r="852" spans="1:7" ht="15.75" customHeight="1" x14ac:dyDescent="0.25">
      <c r="A852" s="157"/>
      <c r="B852" s="157"/>
      <c r="C852" s="157"/>
      <c r="G852" s="18"/>
    </row>
    <row r="853" spans="1:7" ht="15.75" customHeight="1" x14ac:dyDescent="0.25">
      <c r="A853" s="157"/>
      <c r="B853" s="157"/>
      <c r="C853" s="157"/>
      <c r="G853" s="18"/>
    </row>
    <row r="854" spans="1:7" ht="15.75" customHeight="1" x14ac:dyDescent="0.25">
      <c r="A854" s="157"/>
      <c r="B854" s="157"/>
      <c r="C854" s="157"/>
      <c r="G854" s="18"/>
    </row>
    <row r="855" spans="1:7" ht="15.75" customHeight="1" x14ac:dyDescent="0.25">
      <c r="A855" s="157"/>
      <c r="B855" s="157"/>
      <c r="C855" s="157"/>
      <c r="G855" s="18"/>
    </row>
    <row r="856" spans="1:7" ht="15.75" customHeight="1" x14ac:dyDescent="0.25">
      <c r="A856" s="157"/>
      <c r="B856" s="157"/>
      <c r="C856" s="157"/>
      <c r="G856" s="18"/>
    </row>
    <row r="857" spans="1:7" ht="15.75" customHeight="1" x14ac:dyDescent="0.25">
      <c r="A857" s="157"/>
      <c r="B857" s="157"/>
      <c r="C857" s="157"/>
      <c r="G857" s="18"/>
    </row>
    <row r="858" spans="1:7" ht="15.75" customHeight="1" x14ac:dyDescent="0.25">
      <c r="A858" s="157"/>
      <c r="B858" s="157"/>
      <c r="C858" s="157"/>
      <c r="G858" s="18"/>
    </row>
    <row r="859" spans="1:7" ht="15.75" customHeight="1" x14ac:dyDescent="0.25">
      <c r="A859" s="157"/>
      <c r="B859" s="157"/>
      <c r="C859" s="157"/>
      <c r="G859" s="18"/>
    </row>
    <row r="860" spans="1:7" ht="15.75" customHeight="1" x14ac:dyDescent="0.25">
      <c r="A860" s="157"/>
      <c r="B860" s="157"/>
      <c r="C860" s="157"/>
      <c r="G860" s="18"/>
    </row>
    <row r="861" spans="1:7" ht="15.75" customHeight="1" x14ac:dyDescent="0.25">
      <c r="A861" s="157"/>
      <c r="B861" s="157"/>
      <c r="C861" s="157"/>
      <c r="G861" s="18"/>
    </row>
    <row r="862" spans="1:7" ht="15.75" customHeight="1" x14ac:dyDescent="0.25">
      <c r="A862" s="157"/>
      <c r="B862" s="157"/>
      <c r="C862" s="157"/>
      <c r="G862" s="18"/>
    </row>
    <row r="863" spans="1:7" ht="15.75" customHeight="1" x14ac:dyDescent="0.25">
      <c r="A863" s="157"/>
      <c r="B863" s="157"/>
      <c r="C863" s="157"/>
      <c r="G863" s="18"/>
    </row>
    <row r="864" spans="1:7" ht="15.75" customHeight="1" x14ac:dyDescent="0.25">
      <c r="A864" s="157"/>
      <c r="B864" s="157"/>
      <c r="C864" s="157"/>
      <c r="G864" s="18"/>
    </row>
    <row r="865" spans="1:7" ht="15.75" customHeight="1" x14ac:dyDescent="0.25">
      <c r="A865" s="157"/>
      <c r="B865" s="157"/>
      <c r="C865" s="157"/>
      <c r="G865" s="18"/>
    </row>
    <row r="866" spans="1:7" ht="15.75" customHeight="1" x14ac:dyDescent="0.25">
      <c r="A866" s="157"/>
      <c r="B866" s="157"/>
      <c r="C866" s="157"/>
      <c r="G866" s="18"/>
    </row>
    <row r="867" spans="1:7" ht="15.75" customHeight="1" x14ac:dyDescent="0.25">
      <c r="A867" s="157"/>
      <c r="B867" s="157"/>
      <c r="C867" s="157"/>
      <c r="G867" s="18"/>
    </row>
    <row r="868" spans="1:7" ht="15.75" customHeight="1" x14ac:dyDescent="0.25">
      <c r="A868" s="157"/>
      <c r="B868" s="157"/>
      <c r="C868" s="157"/>
      <c r="G868" s="18"/>
    </row>
    <row r="869" spans="1:7" ht="15.75" customHeight="1" x14ac:dyDescent="0.25">
      <c r="A869" s="157"/>
      <c r="B869" s="157"/>
      <c r="C869" s="157"/>
      <c r="G869" s="18"/>
    </row>
    <row r="870" spans="1:7" ht="15.75" customHeight="1" x14ac:dyDescent="0.25">
      <c r="A870" s="157"/>
      <c r="B870" s="157"/>
      <c r="C870" s="157"/>
      <c r="G870" s="18"/>
    </row>
    <row r="871" spans="1:7" ht="15.75" customHeight="1" x14ac:dyDescent="0.25">
      <c r="A871" s="157"/>
      <c r="B871" s="157"/>
      <c r="C871" s="157"/>
      <c r="G871" s="18"/>
    </row>
    <row r="872" spans="1:7" ht="15.75" customHeight="1" x14ac:dyDescent="0.25">
      <c r="A872" s="157"/>
      <c r="B872" s="157"/>
      <c r="C872" s="157"/>
      <c r="G872" s="18"/>
    </row>
    <row r="873" spans="1:7" ht="15.75" customHeight="1" x14ac:dyDescent="0.25">
      <c r="A873" s="157"/>
      <c r="B873" s="157"/>
      <c r="C873" s="157"/>
      <c r="G873" s="18"/>
    </row>
    <row r="874" spans="1:7" ht="15.75" customHeight="1" x14ac:dyDescent="0.25">
      <c r="A874" s="157"/>
      <c r="B874" s="157"/>
      <c r="C874" s="157"/>
      <c r="G874" s="18"/>
    </row>
    <row r="875" spans="1:7" ht="15.75" customHeight="1" x14ac:dyDescent="0.25">
      <c r="A875" s="157"/>
      <c r="B875" s="157"/>
      <c r="C875" s="157"/>
      <c r="G875" s="18"/>
    </row>
    <row r="876" spans="1:7" ht="15.75" customHeight="1" x14ac:dyDescent="0.25">
      <c r="A876" s="157"/>
      <c r="B876" s="157"/>
      <c r="C876" s="157"/>
      <c r="G876" s="18"/>
    </row>
    <row r="877" spans="1:7" ht="15.75" customHeight="1" x14ac:dyDescent="0.25">
      <c r="A877" s="157"/>
      <c r="B877" s="157"/>
      <c r="C877" s="157"/>
      <c r="G877" s="18"/>
    </row>
    <row r="878" spans="1:7" ht="15.75" customHeight="1" x14ac:dyDescent="0.25">
      <c r="A878" s="157"/>
      <c r="B878" s="157"/>
      <c r="C878" s="157"/>
      <c r="G878" s="18"/>
    </row>
    <row r="879" spans="1:7" ht="15.75" customHeight="1" x14ac:dyDescent="0.25">
      <c r="A879" s="157"/>
      <c r="B879" s="157"/>
      <c r="C879" s="157"/>
      <c r="G879" s="18"/>
    </row>
    <row r="880" spans="1:7" ht="15.75" customHeight="1" x14ac:dyDescent="0.25">
      <c r="A880" s="157"/>
      <c r="B880" s="157"/>
      <c r="C880" s="157"/>
      <c r="G880" s="18"/>
    </row>
    <row r="881" spans="1:7" ht="15.75" customHeight="1" x14ac:dyDescent="0.25">
      <c r="A881" s="157"/>
      <c r="B881" s="157"/>
      <c r="C881" s="157"/>
      <c r="G881" s="18"/>
    </row>
    <row r="882" spans="1:7" ht="15.75" customHeight="1" x14ac:dyDescent="0.25">
      <c r="A882" s="157"/>
      <c r="B882" s="157"/>
      <c r="C882" s="157"/>
      <c r="G882" s="18"/>
    </row>
    <row r="883" spans="1:7" ht="15.75" customHeight="1" x14ac:dyDescent="0.25">
      <c r="A883" s="157"/>
      <c r="B883" s="157"/>
      <c r="C883" s="157"/>
      <c r="G883" s="18"/>
    </row>
    <row r="884" spans="1:7" ht="15.75" customHeight="1" x14ac:dyDescent="0.25">
      <c r="A884" s="157"/>
      <c r="B884" s="157"/>
      <c r="C884" s="157"/>
      <c r="G884" s="18"/>
    </row>
    <row r="885" spans="1:7" ht="15.75" customHeight="1" x14ac:dyDescent="0.25">
      <c r="A885" s="157"/>
      <c r="B885" s="157"/>
      <c r="C885" s="157"/>
      <c r="G885" s="18"/>
    </row>
    <row r="886" spans="1:7" ht="15.75" customHeight="1" x14ac:dyDescent="0.25">
      <c r="A886" s="157"/>
      <c r="B886" s="157"/>
      <c r="C886" s="157"/>
      <c r="G886" s="18"/>
    </row>
    <row r="887" spans="1:7" ht="15.75" customHeight="1" x14ac:dyDescent="0.25">
      <c r="A887" s="157"/>
      <c r="B887" s="157"/>
      <c r="C887" s="157"/>
      <c r="G887" s="18"/>
    </row>
    <row r="888" spans="1:7" ht="15.75" customHeight="1" x14ac:dyDescent="0.25">
      <c r="A888" s="157"/>
      <c r="B888" s="157"/>
      <c r="C888" s="157"/>
      <c r="G888" s="18"/>
    </row>
    <row r="889" spans="1:7" ht="15.75" customHeight="1" x14ac:dyDescent="0.25">
      <c r="A889" s="157"/>
      <c r="B889" s="157"/>
      <c r="C889" s="157"/>
      <c r="G889" s="18"/>
    </row>
    <row r="890" spans="1:7" ht="15.75" customHeight="1" x14ac:dyDescent="0.25">
      <c r="A890" s="157"/>
      <c r="B890" s="157"/>
      <c r="C890" s="157"/>
      <c r="G890" s="18"/>
    </row>
    <row r="891" spans="1:7" ht="15.75" customHeight="1" x14ac:dyDescent="0.25">
      <c r="A891" s="157"/>
      <c r="B891" s="157"/>
      <c r="C891" s="157"/>
      <c r="G891" s="18"/>
    </row>
    <row r="892" spans="1:7" ht="15.75" customHeight="1" x14ac:dyDescent="0.25">
      <c r="A892" s="157"/>
      <c r="B892" s="157"/>
      <c r="C892" s="157"/>
      <c r="G892" s="18"/>
    </row>
    <row r="893" spans="1:7" ht="15.75" customHeight="1" x14ac:dyDescent="0.25">
      <c r="A893" s="157"/>
      <c r="B893" s="157"/>
      <c r="C893" s="157"/>
      <c r="G893" s="18"/>
    </row>
    <row r="894" spans="1:7" ht="15.75" customHeight="1" x14ac:dyDescent="0.25">
      <c r="A894" s="157"/>
      <c r="B894" s="157"/>
      <c r="C894" s="157"/>
      <c r="G894" s="18"/>
    </row>
    <row r="895" spans="1:7" ht="15.75" customHeight="1" x14ac:dyDescent="0.25">
      <c r="A895" s="157"/>
      <c r="B895" s="157"/>
      <c r="C895" s="157"/>
      <c r="G895" s="18"/>
    </row>
    <row r="896" spans="1:7" ht="15.75" customHeight="1" x14ac:dyDescent="0.25">
      <c r="A896" s="157"/>
      <c r="B896" s="157"/>
      <c r="C896" s="157"/>
      <c r="G896" s="18"/>
    </row>
    <row r="897" spans="1:7" ht="15.75" customHeight="1" x14ac:dyDescent="0.25">
      <c r="A897" s="157"/>
      <c r="B897" s="157"/>
      <c r="C897" s="157"/>
      <c r="G897" s="18"/>
    </row>
    <row r="898" spans="1:7" ht="15.75" customHeight="1" x14ac:dyDescent="0.25">
      <c r="A898" s="157"/>
      <c r="B898" s="157"/>
      <c r="C898" s="157"/>
      <c r="G898" s="18"/>
    </row>
    <row r="899" spans="1:7" ht="15.75" customHeight="1" x14ac:dyDescent="0.25">
      <c r="A899" s="157"/>
      <c r="B899" s="157"/>
      <c r="C899" s="157"/>
      <c r="G899" s="18"/>
    </row>
    <row r="900" spans="1:7" ht="15.75" customHeight="1" x14ac:dyDescent="0.25">
      <c r="A900" s="157"/>
      <c r="B900" s="157"/>
      <c r="C900" s="157"/>
      <c r="G900" s="18"/>
    </row>
    <row r="901" spans="1:7" ht="15.75" customHeight="1" x14ac:dyDescent="0.25">
      <c r="A901" s="157"/>
      <c r="B901" s="157"/>
      <c r="C901" s="157"/>
      <c r="G901" s="18"/>
    </row>
    <row r="902" spans="1:7" ht="15.75" customHeight="1" x14ac:dyDescent="0.25">
      <c r="A902" s="157"/>
      <c r="B902" s="157"/>
      <c r="C902" s="157"/>
      <c r="G902" s="18"/>
    </row>
    <row r="903" spans="1:7" ht="15.75" customHeight="1" x14ac:dyDescent="0.25">
      <c r="A903" s="157"/>
      <c r="B903" s="157"/>
      <c r="C903" s="157"/>
      <c r="G903" s="18"/>
    </row>
    <row r="904" spans="1:7" ht="15.75" customHeight="1" x14ac:dyDescent="0.25">
      <c r="A904" s="157"/>
      <c r="B904" s="157"/>
      <c r="C904" s="157"/>
      <c r="G904" s="18"/>
    </row>
    <row r="905" spans="1:7" ht="15.75" customHeight="1" x14ac:dyDescent="0.25">
      <c r="A905" s="157"/>
      <c r="B905" s="157"/>
      <c r="C905" s="157"/>
      <c r="G905" s="18"/>
    </row>
    <row r="906" spans="1:7" ht="15.75" customHeight="1" x14ac:dyDescent="0.25">
      <c r="A906" s="157"/>
      <c r="B906" s="157"/>
      <c r="C906" s="157"/>
      <c r="G906" s="18"/>
    </row>
    <row r="907" spans="1:7" ht="15.75" customHeight="1" x14ac:dyDescent="0.25">
      <c r="A907" s="157"/>
      <c r="B907" s="157"/>
      <c r="C907" s="157"/>
      <c r="G907" s="18"/>
    </row>
    <row r="908" spans="1:7" ht="15.75" customHeight="1" x14ac:dyDescent="0.25">
      <c r="A908" s="157"/>
      <c r="B908" s="157"/>
      <c r="C908" s="157"/>
      <c r="G908" s="18"/>
    </row>
    <row r="909" spans="1:7" ht="15.75" customHeight="1" x14ac:dyDescent="0.25">
      <c r="A909" s="157"/>
      <c r="B909" s="157"/>
      <c r="C909" s="157"/>
      <c r="G909" s="18"/>
    </row>
    <row r="910" spans="1:7" ht="15.75" customHeight="1" x14ac:dyDescent="0.25">
      <c r="A910" s="157"/>
      <c r="B910" s="157"/>
      <c r="C910" s="157"/>
      <c r="G910" s="18"/>
    </row>
    <row r="911" spans="1:7" ht="15.75" customHeight="1" x14ac:dyDescent="0.25">
      <c r="A911" s="157"/>
      <c r="B911" s="157"/>
      <c r="C911" s="157"/>
      <c r="G911" s="18"/>
    </row>
    <row r="912" spans="1:7" ht="15.75" customHeight="1" x14ac:dyDescent="0.25">
      <c r="A912" s="157"/>
      <c r="B912" s="157"/>
      <c r="C912" s="157"/>
      <c r="G912" s="18"/>
    </row>
    <row r="913" spans="1:7" ht="15.75" customHeight="1" x14ac:dyDescent="0.25">
      <c r="A913" s="157"/>
      <c r="B913" s="157"/>
      <c r="C913" s="157"/>
      <c r="G913" s="18"/>
    </row>
    <row r="914" spans="1:7" ht="15.75" customHeight="1" x14ac:dyDescent="0.25">
      <c r="A914" s="157"/>
      <c r="B914" s="157"/>
      <c r="C914" s="157"/>
      <c r="G914" s="18"/>
    </row>
    <row r="915" spans="1:7" ht="15.75" customHeight="1" x14ac:dyDescent="0.25">
      <c r="A915" s="157"/>
      <c r="B915" s="157"/>
      <c r="C915" s="157"/>
      <c r="G915" s="18"/>
    </row>
    <row r="916" spans="1:7" ht="15.75" customHeight="1" x14ac:dyDescent="0.25">
      <c r="A916" s="157"/>
      <c r="B916" s="157"/>
      <c r="C916" s="157"/>
      <c r="G916" s="18"/>
    </row>
    <row r="917" spans="1:7" ht="15.75" customHeight="1" x14ac:dyDescent="0.25">
      <c r="A917" s="157"/>
      <c r="B917" s="157"/>
      <c r="C917" s="157"/>
      <c r="G917" s="18"/>
    </row>
    <row r="918" spans="1:7" ht="15.75" customHeight="1" x14ac:dyDescent="0.25">
      <c r="A918" s="157"/>
      <c r="B918" s="157"/>
      <c r="C918" s="157"/>
      <c r="G918" s="18"/>
    </row>
    <row r="919" spans="1:7" ht="15.75" customHeight="1" x14ac:dyDescent="0.25">
      <c r="A919" s="157"/>
      <c r="B919" s="157"/>
      <c r="C919" s="157"/>
      <c r="G919" s="18"/>
    </row>
    <row r="920" spans="1:7" ht="15.75" customHeight="1" x14ac:dyDescent="0.25">
      <c r="A920" s="157"/>
      <c r="B920" s="157"/>
      <c r="C920" s="157"/>
      <c r="G920" s="18"/>
    </row>
    <row r="921" spans="1:7" ht="15.75" customHeight="1" x14ac:dyDescent="0.25">
      <c r="A921" s="157"/>
      <c r="B921" s="157"/>
      <c r="C921" s="157"/>
      <c r="G921" s="18"/>
    </row>
    <row r="922" spans="1:7" ht="15.75" customHeight="1" x14ac:dyDescent="0.25">
      <c r="A922" s="157"/>
      <c r="B922" s="157"/>
      <c r="C922" s="157"/>
      <c r="G922" s="18"/>
    </row>
    <row r="923" spans="1:7" ht="15.75" customHeight="1" x14ac:dyDescent="0.25">
      <c r="A923" s="157"/>
      <c r="B923" s="157"/>
      <c r="C923" s="157"/>
      <c r="G923" s="18"/>
    </row>
    <row r="924" spans="1:7" ht="15.75" customHeight="1" x14ac:dyDescent="0.25">
      <c r="A924" s="157"/>
      <c r="B924" s="157"/>
      <c r="C924" s="157"/>
      <c r="G924" s="18"/>
    </row>
    <row r="925" spans="1:7" ht="15.75" customHeight="1" x14ac:dyDescent="0.25">
      <c r="A925" s="157"/>
      <c r="B925" s="157"/>
      <c r="C925" s="157"/>
      <c r="G925" s="18"/>
    </row>
    <row r="926" spans="1:7" ht="15.75" customHeight="1" x14ac:dyDescent="0.25">
      <c r="A926" s="157"/>
      <c r="B926" s="157"/>
      <c r="C926" s="157"/>
      <c r="G926" s="18"/>
    </row>
    <row r="927" spans="1:7" ht="15.75" customHeight="1" x14ac:dyDescent="0.25">
      <c r="A927" s="157"/>
      <c r="B927" s="157"/>
      <c r="C927" s="157"/>
      <c r="G927" s="18"/>
    </row>
    <row r="928" spans="1:7" ht="15.75" customHeight="1" x14ac:dyDescent="0.25">
      <c r="A928" s="157"/>
      <c r="B928" s="157"/>
      <c r="C928" s="157"/>
      <c r="G928" s="18"/>
    </row>
    <row r="929" spans="1:7" ht="15.75" customHeight="1" x14ac:dyDescent="0.25">
      <c r="A929" s="157"/>
      <c r="B929" s="157"/>
      <c r="C929" s="157"/>
      <c r="G929" s="18"/>
    </row>
    <row r="930" spans="1:7" ht="15.75" customHeight="1" x14ac:dyDescent="0.25">
      <c r="A930" s="157"/>
      <c r="B930" s="157"/>
      <c r="C930" s="157"/>
      <c r="G930" s="18"/>
    </row>
    <row r="931" spans="1:7" ht="15.75" customHeight="1" x14ac:dyDescent="0.25">
      <c r="A931" s="157"/>
      <c r="B931" s="157"/>
      <c r="C931" s="157"/>
      <c r="G931" s="18"/>
    </row>
    <row r="932" spans="1:7" ht="15.75" customHeight="1" x14ac:dyDescent="0.25">
      <c r="A932" s="157"/>
      <c r="B932" s="157"/>
      <c r="C932" s="157"/>
      <c r="G932" s="18"/>
    </row>
    <row r="933" spans="1:7" ht="15.75" customHeight="1" x14ac:dyDescent="0.25">
      <c r="A933" s="157"/>
      <c r="B933" s="157"/>
      <c r="C933" s="157"/>
      <c r="G933" s="18"/>
    </row>
    <row r="934" spans="1:7" ht="15.75" customHeight="1" x14ac:dyDescent="0.25">
      <c r="A934" s="157"/>
      <c r="B934" s="157"/>
      <c r="C934" s="157"/>
      <c r="G934" s="18"/>
    </row>
    <row r="935" spans="1:7" ht="15.75" customHeight="1" x14ac:dyDescent="0.25">
      <c r="A935" s="157"/>
      <c r="B935" s="157"/>
      <c r="C935" s="157"/>
      <c r="G935" s="18"/>
    </row>
    <row r="936" spans="1:7" ht="15.75" customHeight="1" x14ac:dyDescent="0.25">
      <c r="A936" s="157"/>
      <c r="B936" s="157"/>
      <c r="C936" s="157"/>
      <c r="G936" s="18"/>
    </row>
    <row r="937" spans="1:7" ht="15.75" customHeight="1" x14ac:dyDescent="0.25">
      <c r="A937" s="157"/>
      <c r="B937" s="157"/>
      <c r="C937" s="157"/>
      <c r="G937" s="18"/>
    </row>
    <row r="938" spans="1:7" ht="15.75" customHeight="1" x14ac:dyDescent="0.25">
      <c r="A938" s="157"/>
      <c r="B938" s="157"/>
      <c r="C938" s="157"/>
      <c r="G938" s="18"/>
    </row>
    <row r="939" spans="1:7" ht="15.75" customHeight="1" x14ac:dyDescent="0.25">
      <c r="A939" s="157"/>
      <c r="B939" s="157"/>
      <c r="C939" s="157"/>
      <c r="G939" s="18"/>
    </row>
    <row r="940" spans="1:7" ht="15.75" customHeight="1" x14ac:dyDescent="0.25">
      <c r="A940" s="157"/>
      <c r="B940" s="157"/>
      <c r="C940" s="157"/>
      <c r="G940" s="18"/>
    </row>
    <row r="941" spans="1:7" ht="15.75" customHeight="1" x14ac:dyDescent="0.25">
      <c r="A941" s="157"/>
      <c r="B941" s="157"/>
      <c r="C941" s="157"/>
      <c r="G941" s="18"/>
    </row>
    <row r="942" spans="1:7" ht="15.75" customHeight="1" x14ac:dyDescent="0.25">
      <c r="A942" s="157"/>
      <c r="B942" s="157"/>
      <c r="C942" s="157"/>
      <c r="G942" s="18"/>
    </row>
    <row r="943" spans="1:7" ht="15.75" customHeight="1" x14ac:dyDescent="0.25">
      <c r="A943" s="157"/>
      <c r="B943" s="157"/>
      <c r="C943" s="157"/>
      <c r="G943" s="18"/>
    </row>
    <row r="944" spans="1:7" ht="15.75" customHeight="1" x14ac:dyDescent="0.25">
      <c r="A944" s="157"/>
      <c r="B944" s="157"/>
      <c r="C944" s="157"/>
      <c r="G944" s="18"/>
    </row>
    <row r="945" spans="1:7" ht="15.75" customHeight="1" x14ac:dyDescent="0.25">
      <c r="A945" s="157"/>
      <c r="B945" s="157"/>
      <c r="C945" s="157"/>
      <c r="G945" s="18"/>
    </row>
    <row r="946" spans="1:7" ht="15.75" customHeight="1" x14ac:dyDescent="0.25">
      <c r="A946" s="157"/>
      <c r="B946" s="157"/>
      <c r="C946" s="157"/>
      <c r="G946" s="18"/>
    </row>
    <row r="947" spans="1:7" ht="15.75" customHeight="1" x14ac:dyDescent="0.25">
      <c r="A947" s="157"/>
      <c r="B947" s="157"/>
      <c r="C947" s="157"/>
      <c r="G947" s="18"/>
    </row>
    <row r="948" spans="1:7" ht="15.75" customHeight="1" x14ac:dyDescent="0.25">
      <c r="A948" s="157"/>
      <c r="B948" s="157"/>
      <c r="C948" s="157"/>
      <c r="G948" s="18"/>
    </row>
    <row r="949" spans="1:7" ht="15.75" customHeight="1" x14ac:dyDescent="0.25">
      <c r="A949" s="157"/>
      <c r="B949" s="157"/>
      <c r="C949" s="157"/>
      <c r="G949" s="18"/>
    </row>
    <row r="950" spans="1:7" ht="15.75" customHeight="1" x14ac:dyDescent="0.25">
      <c r="A950" s="157"/>
      <c r="B950" s="157"/>
      <c r="C950" s="157"/>
      <c r="G950" s="18"/>
    </row>
    <row r="951" spans="1:7" ht="15.75" customHeight="1" x14ac:dyDescent="0.25">
      <c r="A951" s="157"/>
      <c r="B951" s="157"/>
      <c r="C951" s="157"/>
      <c r="G951" s="18"/>
    </row>
    <row r="952" spans="1:7" ht="15.75" customHeight="1" x14ac:dyDescent="0.25">
      <c r="A952" s="157"/>
      <c r="B952" s="157"/>
      <c r="C952" s="157"/>
      <c r="G952" s="18"/>
    </row>
    <row r="953" spans="1:7" ht="15.75" customHeight="1" x14ac:dyDescent="0.25">
      <c r="A953" s="157"/>
      <c r="B953" s="157"/>
      <c r="C953" s="157"/>
      <c r="G953" s="18"/>
    </row>
    <row r="954" spans="1:7" ht="15.75" customHeight="1" x14ac:dyDescent="0.25">
      <c r="A954" s="157"/>
      <c r="B954" s="157"/>
      <c r="C954" s="157"/>
      <c r="G954" s="18"/>
    </row>
    <row r="955" spans="1:7" ht="15.75" customHeight="1" x14ac:dyDescent="0.25">
      <c r="A955" s="157"/>
      <c r="B955" s="157"/>
      <c r="C955" s="157"/>
      <c r="G955" s="18"/>
    </row>
    <row r="956" spans="1:7" ht="15.75" customHeight="1" x14ac:dyDescent="0.25">
      <c r="A956" s="157"/>
      <c r="B956" s="157"/>
      <c r="C956" s="157"/>
      <c r="G956" s="18"/>
    </row>
    <row r="957" spans="1:7" ht="15.75" customHeight="1" x14ac:dyDescent="0.25">
      <c r="A957" s="157"/>
      <c r="B957" s="157"/>
      <c r="C957" s="157"/>
      <c r="G957" s="18"/>
    </row>
    <row r="958" spans="1:7" ht="15.75" customHeight="1" x14ac:dyDescent="0.25">
      <c r="A958" s="157"/>
      <c r="B958" s="157"/>
      <c r="C958" s="157"/>
      <c r="G958" s="18"/>
    </row>
    <row r="959" spans="1:7" ht="15.75" customHeight="1" x14ac:dyDescent="0.25">
      <c r="A959" s="157"/>
      <c r="B959" s="157"/>
      <c r="C959" s="157"/>
      <c r="G959" s="18"/>
    </row>
    <row r="960" spans="1:7" ht="15.75" customHeight="1" x14ac:dyDescent="0.25">
      <c r="A960" s="157"/>
      <c r="B960" s="157"/>
      <c r="C960" s="157"/>
      <c r="G960" s="18"/>
    </row>
    <row r="961" spans="1:7" ht="15.75" customHeight="1" x14ac:dyDescent="0.25">
      <c r="A961" s="157"/>
      <c r="B961" s="157"/>
      <c r="C961" s="157"/>
      <c r="G961" s="18"/>
    </row>
    <row r="962" spans="1:7" ht="15.75" customHeight="1" x14ac:dyDescent="0.25">
      <c r="A962" s="157"/>
      <c r="B962" s="157"/>
      <c r="C962" s="157"/>
      <c r="G962" s="18"/>
    </row>
    <row r="963" spans="1:7" ht="15.75" customHeight="1" x14ac:dyDescent="0.25">
      <c r="A963" s="157"/>
      <c r="B963" s="157"/>
      <c r="C963" s="157"/>
      <c r="G963" s="18"/>
    </row>
    <row r="964" spans="1:7" ht="15.75" customHeight="1" x14ac:dyDescent="0.25">
      <c r="A964" s="157"/>
      <c r="B964" s="157"/>
      <c r="C964" s="157"/>
      <c r="G964" s="18"/>
    </row>
    <row r="965" spans="1:7" ht="15.75" customHeight="1" x14ac:dyDescent="0.25">
      <c r="A965" s="157"/>
      <c r="B965" s="157"/>
      <c r="C965" s="157"/>
      <c r="G965" s="18"/>
    </row>
    <row r="966" spans="1:7" ht="15.75" customHeight="1" x14ac:dyDescent="0.25">
      <c r="A966" s="157"/>
      <c r="B966" s="157"/>
      <c r="C966" s="157"/>
      <c r="G966" s="18"/>
    </row>
    <row r="967" spans="1:7" ht="15.75" customHeight="1" x14ac:dyDescent="0.25">
      <c r="A967" s="157"/>
      <c r="B967" s="157"/>
      <c r="C967" s="157"/>
      <c r="G967" s="18"/>
    </row>
    <row r="968" spans="1:7" ht="15.75" customHeight="1" x14ac:dyDescent="0.25">
      <c r="A968" s="157"/>
      <c r="B968" s="157"/>
      <c r="C968" s="157"/>
      <c r="G968" s="18"/>
    </row>
    <row r="969" spans="1:7" ht="15.75" customHeight="1" x14ac:dyDescent="0.25">
      <c r="A969" s="157"/>
      <c r="B969" s="157"/>
      <c r="C969" s="157"/>
      <c r="G969" s="18"/>
    </row>
    <row r="970" spans="1:7" ht="15.75" customHeight="1" x14ac:dyDescent="0.25">
      <c r="A970" s="157"/>
      <c r="B970" s="157"/>
      <c r="C970" s="157"/>
      <c r="G970" s="18"/>
    </row>
    <row r="971" spans="1:7" ht="15.75" customHeight="1" x14ac:dyDescent="0.25">
      <c r="A971" s="157"/>
      <c r="B971" s="157"/>
      <c r="C971" s="157"/>
      <c r="G971" s="18"/>
    </row>
    <row r="972" spans="1:7" ht="15.75" customHeight="1" x14ac:dyDescent="0.25">
      <c r="A972" s="157"/>
      <c r="B972" s="157"/>
      <c r="C972" s="157"/>
      <c r="G972" s="18"/>
    </row>
    <row r="973" spans="1:7" ht="15.75" customHeight="1" x14ac:dyDescent="0.25">
      <c r="A973" s="157"/>
      <c r="B973" s="157"/>
      <c r="C973" s="157"/>
      <c r="G973" s="18"/>
    </row>
    <row r="974" spans="1:7" ht="15.75" customHeight="1" x14ac:dyDescent="0.25">
      <c r="A974" s="157"/>
      <c r="B974" s="157"/>
      <c r="C974" s="157"/>
      <c r="G974" s="18"/>
    </row>
    <row r="975" spans="1:7" ht="15.75" customHeight="1" x14ac:dyDescent="0.25">
      <c r="A975" s="157"/>
      <c r="B975" s="157"/>
      <c r="C975" s="157"/>
      <c r="G975" s="18"/>
    </row>
    <row r="976" spans="1:7" ht="15.75" customHeight="1" x14ac:dyDescent="0.25">
      <c r="A976" s="157"/>
      <c r="B976" s="157"/>
      <c r="C976" s="157"/>
      <c r="G976" s="18"/>
    </row>
    <row r="977" spans="1:7" ht="15.75" customHeight="1" x14ac:dyDescent="0.25">
      <c r="A977" s="157"/>
      <c r="B977" s="157"/>
      <c r="C977" s="157"/>
      <c r="G977" s="18"/>
    </row>
    <row r="978" spans="1:7" ht="15.75" customHeight="1" x14ac:dyDescent="0.25">
      <c r="A978" s="157"/>
      <c r="B978" s="157"/>
      <c r="C978" s="157"/>
      <c r="G978" s="18"/>
    </row>
    <row r="979" spans="1:7" ht="15.75" customHeight="1" x14ac:dyDescent="0.25">
      <c r="A979" s="157"/>
      <c r="B979" s="157"/>
      <c r="C979" s="157"/>
      <c r="G979" s="18"/>
    </row>
    <row r="980" spans="1:7" ht="15.75" customHeight="1" x14ac:dyDescent="0.25">
      <c r="A980" s="157"/>
      <c r="B980" s="157"/>
      <c r="C980" s="157"/>
      <c r="G980" s="18"/>
    </row>
    <row r="981" spans="1:7" ht="15.75" customHeight="1" x14ac:dyDescent="0.25">
      <c r="A981" s="157"/>
      <c r="B981" s="157"/>
      <c r="C981" s="157"/>
      <c r="G981" s="18"/>
    </row>
    <row r="982" spans="1:7" ht="15.75" customHeight="1" x14ac:dyDescent="0.25">
      <c r="A982" s="157"/>
      <c r="B982" s="157"/>
      <c r="C982" s="157"/>
      <c r="G982" s="18"/>
    </row>
    <row r="983" spans="1:7" ht="15.75" customHeight="1" x14ac:dyDescent="0.25">
      <c r="A983" s="157"/>
      <c r="B983" s="157"/>
      <c r="C983" s="157"/>
      <c r="G983" s="18"/>
    </row>
    <row r="984" spans="1:7" ht="15.75" customHeight="1" x14ac:dyDescent="0.25">
      <c r="A984" s="157"/>
      <c r="B984" s="157"/>
      <c r="C984" s="157"/>
      <c r="G984" s="18"/>
    </row>
    <row r="985" spans="1:7" ht="15.75" customHeight="1" x14ac:dyDescent="0.25">
      <c r="A985" s="157"/>
      <c r="B985" s="157"/>
      <c r="C985" s="157"/>
      <c r="G985" s="18"/>
    </row>
    <row r="986" spans="1:7" ht="15.75" customHeight="1" x14ac:dyDescent="0.25">
      <c r="A986" s="157"/>
      <c r="B986" s="157"/>
      <c r="C986" s="157"/>
      <c r="G986" s="18"/>
    </row>
    <row r="987" spans="1:7" ht="15.75" customHeight="1" x14ac:dyDescent="0.25">
      <c r="A987" s="157"/>
      <c r="B987" s="157"/>
      <c r="C987" s="157"/>
      <c r="G987" s="18"/>
    </row>
    <row r="988" spans="1:7" ht="15.75" customHeight="1" x14ac:dyDescent="0.25">
      <c r="A988" s="157"/>
      <c r="B988" s="157"/>
      <c r="C988" s="157"/>
      <c r="G988" s="18"/>
    </row>
    <row r="989" spans="1:7" ht="15.75" customHeight="1" x14ac:dyDescent="0.25">
      <c r="A989" s="157"/>
      <c r="B989" s="157"/>
      <c r="C989" s="157"/>
      <c r="G989" s="18"/>
    </row>
    <row r="990" spans="1:7" ht="15.75" customHeight="1" x14ac:dyDescent="0.25">
      <c r="A990" s="157"/>
      <c r="B990" s="157"/>
      <c r="C990" s="157"/>
      <c r="G990" s="18"/>
    </row>
    <row r="991" spans="1:7" ht="15.75" customHeight="1" x14ac:dyDescent="0.25">
      <c r="A991" s="157"/>
      <c r="B991" s="157"/>
      <c r="C991" s="157"/>
      <c r="G991" s="18"/>
    </row>
    <row r="992" spans="1:7" ht="15.75" customHeight="1" x14ac:dyDescent="0.25">
      <c r="A992" s="157"/>
      <c r="B992" s="157"/>
      <c r="C992" s="157"/>
      <c r="G992" s="18"/>
    </row>
    <row r="993" spans="1:7" ht="15.75" customHeight="1" x14ac:dyDescent="0.25">
      <c r="A993" s="157"/>
      <c r="B993" s="157"/>
      <c r="C993" s="157"/>
      <c r="G993" s="18"/>
    </row>
    <row r="994" spans="1:7" ht="15.75" customHeight="1" x14ac:dyDescent="0.25">
      <c r="A994" s="157"/>
      <c r="B994" s="157"/>
      <c r="C994" s="157"/>
      <c r="G994" s="18"/>
    </row>
    <row r="995" spans="1:7" ht="15.75" customHeight="1" x14ac:dyDescent="0.25">
      <c r="A995" s="157"/>
      <c r="B995" s="157"/>
      <c r="C995" s="157"/>
      <c r="G995" s="18"/>
    </row>
    <row r="996" spans="1:7" ht="15.75" customHeight="1" x14ac:dyDescent="0.25">
      <c r="A996" s="157"/>
      <c r="B996" s="157"/>
      <c r="C996" s="157"/>
      <c r="G996" s="18"/>
    </row>
    <row r="997" spans="1:7" ht="15.75" customHeight="1" x14ac:dyDescent="0.25">
      <c r="A997" s="157"/>
      <c r="B997" s="157"/>
      <c r="C997" s="157"/>
      <c r="G997" s="18"/>
    </row>
    <row r="998" spans="1:7" ht="15.75" customHeight="1" x14ac:dyDescent="0.25">
      <c r="A998" s="157"/>
      <c r="B998" s="157"/>
      <c r="C998" s="157"/>
      <c r="G998" s="18"/>
    </row>
    <row r="999" spans="1:7" ht="15.75" customHeight="1" x14ac:dyDescent="0.25">
      <c r="A999" s="157"/>
      <c r="B999" s="157"/>
      <c r="C999" s="157"/>
      <c r="G999" s="18"/>
    </row>
    <row r="1000" spans="1:7" ht="15.75" customHeight="1" x14ac:dyDescent="0.25">
      <c r="A1000" s="157"/>
      <c r="B1000" s="157"/>
      <c r="C1000" s="157"/>
      <c r="G1000" s="18"/>
    </row>
  </sheetData>
  <mergeCells count="11">
    <mergeCell ref="AM6:AS6"/>
    <mergeCell ref="AT6:AZ6"/>
    <mergeCell ref="BA6:BG6"/>
    <mergeCell ref="BH6:BN6"/>
    <mergeCell ref="E5:F5"/>
    <mergeCell ref="G5:H5"/>
    <mergeCell ref="E6:F6"/>
    <mergeCell ref="K6:Q6"/>
    <mergeCell ref="R6:X6"/>
    <mergeCell ref="Y6:AE6"/>
    <mergeCell ref="AF6:AL6"/>
  </mergeCells>
  <conditionalFormatting sqref="K7:BN35">
    <cfRule type="expression" dxfId="2" priority="1">
      <formula>AND(TODAY()&gt;=K$7,TODAY()&lt;L$7)</formula>
    </cfRule>
  </conditionalFormatting>
  <conditionalFormatting sqref="K9:BN35">
    <cfRule type="expression" dxfId="1" priority="2">
      <formula>AND(início_da_tarefa&lt;=K$7,ROUNDDOWN((término_da_tarefa-início_da_tarefa+1)*progresso_da_tarefa,0)+início_da_tarefa-1&gt;=K$7)</formula>
    </cfRule>
    <cfRule type="expression" dxfId="0" priority="3" stopIfTrue="1">
      <formula>AND(término_da_tarefa&gt;=K$7,início_da_tarefa&lt;L$7)</formula>
    </cfRule>
  </conditionalFormatting>
  <dataValidations count="1">
    <dataValidation type="decimal" operator="greaterThanOrEqual" allowBlank="1" showInputMessage="1" prompt="Semana de exibição - Alterar esse número rola a exibição do Gráfico de Gantt." sqref="G6" xr:uid="{00000000-0002-0000-0600-000000000000}">
      <formula1>1</formula1>
    </dataValidation>
  </dataValidations>
  <pageMargins left="0.511811024" right="0.511811024" top="0.78740157499999996" bottom="0.78740157499999996"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0"/>
  <sheetViews>
    <sheetView workbookViewId="0"/>
  </sheetViews>
  <sheetFormatPr defaultColWidth="12.5703125" defaultRowHeight="15" customHeight="1" x14ac:dyDescent="0.2"/>
  <cols>
    <col min="1" max="1" width="14" customWidth="1"/>
    <col min="2" max="2" width="25.5703125" customWidth="1"/>
    <col min="3" max="3" width="55" customWidth="1"/>
    <col min="4" max="4" width="6.140625" customWidth="1"/>
    <col min="5" max="5" width="7" customWidth="1"/>
    <col min="6" max="6" width="105.42578125" customWidth="1"/>
    <col min="7" max="26" width="8.5703125" customWidth="1"/>
  </cols>
  <sheetData>
    <row r="1" spans="1:5" ht="12.75" customHeight="1" x14ac:dyDescent="0.2"/>
    <row r="2" spans="1:5" ht="12.75" customHeight="1" x14ac:dyDescent="0.2"/>
    <row r="3" spans="1:5" ht="12.75" customHeight="1" x14ac:dyDescent="0.2">
      <c r="A3" s="236" t="s">
        <v>93</v>
      </c>
      <c r="B3" s="236" t="s">
        <v>97</v>
      </c>
      <c r="C3" s="236" t="s">
        <v>92</v>
      </c>
      <c r="D3" s="236" t="s">
        <v>91</v>
      </c>
      <c r="E3" s="237" t="s">
        <v>500</v>
      </c>
    </row>
    <row r="4" spans="1:5" ht="12.75" customHeight="1" x14ac:dyDescent="0.2">
      <c r="A4" s="238">
        <v>0</v>
      </c>
      <c r="B4" s="238" t="s">
        <v>104</v>
      </c>
      <c r="C4" s="238" t="s">
        <v>103</v>
      </c>
      <c r="D4" s="238" t="s">
        <v>102</v>
      </c>
      <c r="E4" s="274">
        <v>2500</v>
      </c>
    </row>
    <row r="5" spans="1:5" ht="12.75" customHeight="1" x14ac:dyDescent="0.2">
      <c r="A5" s="238" t="s">
        <v>102</v>
      </c>
      <c r="B5" s="238" t="s">
        <v>104</v>
      </c>
      <c r="C5" s="238" t="s">
        <v>108</v>
      </c>
      <c r="D5" s="238" t="s">
        <v>107</v>
      </c>
      <c r="E5" s="274">
        <v>2000</v>
      </c>
    </row>
    <row r="6" spans="1:5" ht="12.75" customHeight="1" x14ac:dyDescent="0.2">
      <c r="A6" s="238" t="s">
        <v>119</v>
      </c>
      <c r="B6" s="238" t="s">
        <v>104</v>
      </c>
      <c r="C6" s="238" t="s">
        <v>118</v>
      </c>
      <c r="D6" s="238" t="s">
        <v>117</v>
      </c>
      <c r="E6" s="274">
        <v>2000</v>
      </c>
    </row>
    <row r="7" spans="1:5" ht="12.75" customHeight="1" x14ac:dyDescent="0.2">
      <c r="A7" s="238" t="s">
        <v>138</v>
      </c>
      <c r="B7" s="238" t="s">
        <v>104</v>
      </c>
      <c r="C7" s="238" t="s">
        <v>137</v>
      </c>
      <c r="D7" s="238" t="s">
        <v>136</v>
      </c>
      <c r="E7" s="274">
        <v>2502</v>
      </c>
    </row>
    <row r="8" spans="1:5" ht="12.75" customHeight="1" x14ac:dyDescent="0.2">
      <c r="A8" s="238" t="s">
        <v>107</v>
      </c>
      <c r="B8" s="238" t="s">
        <v>104</v>
      </c>
      <c r="C8" s="238" t="s">
        <v>110</v>
      </c>
      <c r="D8" s="238" t="s">
        <v>109</v>
      </c>
      <c r="E8" s="274">
        <v>3200</v>
      </c>
    </row>
    <row r="9" spans="1:5" ht="12.75" customHeight="1" x14ac:dyDescent="0.2">
      <c r="A9" s="238" t="s">
        <v>220</v>
      </c>
      <c r="B9" s="238" t="s">
        <v>221</v>
      </c>
      <c r="C9" s="238" t="s">
        <v>219</v>
      </c>
      <c r="D9" s="238" t="s">
        <v>218</v>
      </c>
      <c r="E9" s="274">
        <v>15700</v>
      </c>
    </row>
    <row r="10" spans="1:5" ht="12.75" customHeight="1" x14ac:dyDescent="0.2">
      <c r="A10" s="238" t="s">
        <v>129</v>
      </c>
      <c r="B10" s="238" t="s">
        <v>104</v>
      </c>
      <c r="C10" s="238" t="s">
        <v>128</v>
      </c>
      <c r="D10" s="238" t="s">
        <v>127</v>
      </c>
      <c r="E10" s="274">
        <v>2500</v>
      </c>
    </row>
    <row r="11" spans="1:5" ht="12.75" customHeight="1" x14ac:dyDescent="0.2">
      <c r="A11" s="238" t="s">
        <v>149</v>
      </c>
      <c r="B11" s="238" t="s">
        <v>145</v>
      </c>
      <c r="C11" s="238" t="s">
        <v>148</v>
      </c>
      <c r="D11" s="238" t="s">
        <v>147</v>
      </c>
      <c r="E11" s="274">
        <v>2250</v>
      </c>
    </row>
    <row r="12" spans="1:5" ht="12.75" customHeight="1" x14ac:dyDescent="0.2">
      <c r="A12" s="238" t="s">
        <v>152</v>
      </c>
      <c r="B12" s="238" t="s">
        <v>145</v>
      </c>
      <c r="C12" s="238" t="s">
        <v>151</v>
      </c>
      <c r="D12" s="238" t="s">
        <v>150</v>
      </c>
      <c r="E12" s="274">
        <v>2200</v>
      </c>
    </row>
    <row r="13" spans="1:5" ht="12.75" customHeight="1" x14ac:dyDescent="0.2">
      <c r="A13" s="238" t="s">
        <v>109</v>
      </c>
      <c r="B13" s="238" t="s">
        <v>104</v>
      </c>
      <c r="C13" s="238" t="s">
        <v>112</v>
      </c>
      <c r="D13" s="238" t="s">
        <v>111</v>
      </c>
      <c r="E13" s="274">
        <v>3201</v>
      </c>
    </row>
    <row r="14" spans="1:5" ht="12.75" customHeight="1" x14ac:dyDescent="0.2">
      <c r="A14" s="238" t="s">
        <v>123</v>
      </c>
      <c r="B14" s="238" t="s">
        <v>104</v>
      </c>
      <c r="C14" s="238" t="s">
        <v>131</v>
      </c>
      <c r="D14" s="238" t="s">
        <v>130</v>
      </c>
      <c r="E14" s="274">
        <v>2500</v>
      </c>
    </row>
    <row r="15" spans="1:5" ht="12.75" customHeight="1" x14ac:dyDescent="0.2">
      <c r="A15" s="239"/>
      <c r="B15" s="239"/>
      <c r="C15" s="238" t="s">
        <v>122</v>
      </c>
      <c r="D15" s="238" t="s">
        <v>121</v>
      </c>
      <c r="E15" s="274">
        <v>2500</v>
      </c>
    </row>
    <row r="16" spans="1:5" ht="12.75" customHeight="1" x14ac:dyDescent="0.2">
      <c r="A16" s="238" t="s">
        <v>126</v>
      </c>
      <c r="B16" s="238" t="s">
        <v>104</v>
      </c>
      <c r="C16" s="238" t="s">
        <v>125</v>
      </c>
      <c r="D16" s="238" t="s">
        <v>124</v>
      </c>
      <c r="E16" s="274">
        <v>2500</v>
      </c>
    </row>
    <row r="17" spans="1:5" ht="12.75" customHeight="1" x14ac:dyDescent="0.2">
      <c r="A17" s="238" t="s">
        <v>111</v>
      </c>
      <c r="B17" s="238" t="s">
        <v>104</v>
      </c>
      <c r="C17" s="238" t="s">
        <v>115</v>
      </c>
      <c r="D17" s="238" t="s">
        <v>114</v>
      </c>
      <c r="E17" s="274">
        <v>3202</v>
      </c>
    </row>
    <row r="18" spans="1:5" ht="12.75" customHeight="1" x14ac:dyDescent="0.2">
      <c r="A18" s="238" t="s">
        <v>246</v>
      </c>
      <c r="B18" s="238" t="s">
        <v>249</v>
      </c>
      <c r="C18" s="238" t="s">
        <v>255</v>
      </c>
      <c r="D18" s="238" t="s">
        <v>254</v>
      </c>
      <c r="E18" s="274">
        <v>2300</v>
      </c>
    </row>
    <row r="19" spans="1:5" ht="12.75" customHeight="1" x14ac:dyDescent="0.2">
      <c r="A19" s="238" t="s">
        <v>144</v>
      </c>
      <c r="B19" s="238" t="s">
        <v>145</v>
      </c>
      <c r="C19" s="238" t="s">
        <v>143</v>
      </c>
      <c r="D19" s="238" t="s">
        <v>142</v>
      </c>
      <c r="E19" s="274">
        <v>2000</v>
      </c>
    </row>
    <row r="20" spans="1:5" ht="12.75" customHeight="1" x14ac:dyDescent="0.2">
      <c r="A20" s="238" t="s">
        <v>135</v>
      </c>
      <c r="B20" s="238" t="s">
        <v>104</v>
      </c>
      <c r="C20" s="238" t="s">
        <v>134</v>
      </c>
      <c r="D20" s="238" t="s">
        <v>133</v>
      </c>
      <c r="E20" s="274">
        <v>2500</v>
      </c>
    </row>
    <row r="21" spans="1:5" ht="12.75" customHeight="1" x14ac:dyDescent="0.2">
      <c r="A21" s="238" t="s">
        <v>155</v>
      </c>
      <c r="B21" s="238" t="s">
        <v>145</v>
      </c>
      <c r="C21" s="238" t="s">
        <v>154</v>
      </c>
      <c r="D21" s="238" t="s">
        <v>153</v>
      </c>
      <c r="E21" s="274">
        <v>2250</v>
      </c>
    </row>
    <row r="22" spans="1:5" ht="12.75" customHeight="1" x14ac:dyDescent="0.2">
      <c r="A22" s="238" t="s">
        <v>162</v>
      </c>
      <c r="B22" s="238" t="s">
        <v>145</v>
      </c>
      <c r="C22" s="238" t="s">
        <v>161</v>
      </c>
      <c r="D22" s="238" t="s">
        <v>160</v>
      </c>
      <c r="E22" s="274">
        <v>2250</v>
      </c>
    </row>
    <row r="23" spans="1:5" ht="12.75" customHeight="1" x14ac:dyDescent="0.2">
      <c r="A23" s="238" t="s">
        <v>159</v>
      </c>
      <c r="B23" s="238" t="s">
        <v>145</v>
      </c>
      <c r="C23" s="238" t="s">
        <v>158</v>
      </c>
      <c r="D23" s="238" t="s">
        <v>157</v>
      </c>
      <c r="E23" s="274">
        <v>2250</v>
      </c>
    </row>
    <row r="24" spans="1:5" ht="12.75" customHeight="1" x14ac:dyDescent="0.2">
      <c r="A24" s="238" t="s">
        <v>160</v>
      </c>
      <c r="B24" s="238" t="s">
        <v>166</v>
      </c>
      <c r="C24" s="238" t="s">
        <v>165</v>
      </c>
      <c r="D24" s="238" t="s">
        <v>164</v>
      </c>
      <c r="E24" s="274">
        <v>6000</v>
      </c>
    </row>
    <row r="25" spans="1:5" ht="12.75" customHeight="1" x14ac:dyDescent="0.2">
      <c r="A25" s="238" t="s">
        <v>170</v>
      </c>
      <c r="B25" s="238" t="s">
        <v>166</v>
      </c>
      <c r="C25" s="238" t="s">
        <v>169</v>
      </c>
      <c r="D25" s="238" t="s">
        <v>168</v>
      </c>
      <c r="E25" s="274">
        <v>4000</v>
      </c>
    </row>
    <row r="26" spans="1:5" ht="12.75" customHeight="1" x14ac:dyDescent="0.2">
      <c r="A26" s="238" t="s">
        <v>227</v>
      </c>
      <c r="B26" s="238" t="s">
        <v>221</v>
      </c>
      <c r="C26" s="238" t="s">
        <v>226</v>
      </c>
      <c r="D26" s="238" t="s">
        <v>225</v>
      </c>
      <c r="E26" s="274">
        <v>7501</v>
      </c>
    </row>
    <row r="27" spans="1:5" ht="12.75" customHeight="1" x14ac:dyDescent="0.2">
      <c r="A27" s="238" t="s">
        <v>248</v>
      </c>
      <c r="B27" s="238" t="s">
        <v>249</v>
      </c>
      <c r="C27" s="238" t="s">
        <v>247</v>
      </c>
      <c r="D27" s="238" t="s">
        <v>246</v>
      </c>
      <c r="E27" s="274">
        <v>4000</v>
      </c>
    </row>
    <row r="28" spans="1:5" ht="12.75" customHeight="1" x14ac:dyDescent="0.2">
      <c r="A28" s="238" t="s">
        <v>202</v>
      </c>
      <c r="B28" s="238" t="s">
        <v>195</v>
      </c>
      <c r="C28" s="238" t="s">
        <v>201</v>
      </c>
      <c r="D28" s="238" t="s">
        <v>200</v>
      </c>
      <c r="E28" s="274">
        <v>1000</v>
      </c>
    </row>
    <row r="29" spans="1:5" ht="12.75" customHeight="1" x14ac:dyDescent="0.2">
      <c r="A29" s="238" t="s">
        <v>191</v>
      </c>
      <c r="B29" s="238" t="s">
        <v>166</v>
      </c>
      <c r="C29" s="238" t="s">
        <v>190</v>
      </c>
      <c r="D29" s="238" t="s">
        <v>189</v>
      </c>
      <c r="E29" s="274">
        <v>5501</v>
      </c>
    </row>
    <row r="30" spans="1:5" ht="12.75" customHeight="1" x14ac:dyDescent="0.2">
      <c r="A30" s="238" t="s">
        <v>199</v>
      </c>
      <c r="B30" s="238" t="s">
        <v>195</v>
      </c>
      <c r="C30" s="238" t="s">
        <v>198</v>
      </c>
      <c r="D30" s="238" t="s">
        <v>197</v>
      </c>
      <c r="E30" s="274">
        <v>2500</v>
      </c>
    </row>
    <row r="31" spans="1:5" ht="12.75" customHeight="1" x14ac:dyDescent="0.2">
      <c r="A31" s="238" t="s">
        <v>205</v>
      </c>
      <c r="B31" s="238" t="s">
        <v>195</v>
      </c>
      <c r="C31" s="238" t="s">
        <v>204</v>
      </c>
      <c r="D31" s="238" t="s">
        <v>203</v>
      </c>
      <c r="E31" s="274">
        <v>1000</v>
      </c>
    </row>
    <row r="32" spans="1:5" ht="12.75" customHeight="1" x14ac:dyDescent="0.2">
      <c r="A32" s="238" t="s">
        <v>173</v>
      </c>
      <c r="B32" s="238" t="s">
        <v>166</v>
      </c>
      <c r="C32" s="238" t="s">
        <v>172</v>
      </c>
      <c r="D32" s="238" t="s">
        <v>171</v>
      </c>
      <c r="E32" s="274">
        <v>4500</v>
      </c>
    </row>
    <row r="33" spans="1:5" ht="12.75" customHeight="1" x14ac:dyDescent="0.2">
      <c r="A33" s="238" t="s">
        <v>213</v>
      </c>
      <c r="B33" s="238" t="s">
        <v>209</v>
      </c>
      <c r="C33" s="238" t="s">
        <v>212</v>
      </c>
      <c r="D33" s="238" t="s">
        <v>211</v>
      </c>
      <c r="E33" s="274">
        <v>2600</v>
      </c>
    </row>
    <row r="34" spans="1:5" ht="12.75" customHeight="1" x14ac:dyDescent="0.2">
      <c r="A34" s="238" t="s">
        <v>176</v>
      </c>
      <c r="B34" s="238" t="s">
        <v>166</v>
      </c>
      <c r="C34" s="238" t="s">
        <v>175</v>
      </c>
      <c r="D34" s="238" t="s">
        <v>174</v>
      </c>
      <c r="E34" s="274">
        <v>4501</v>
      </c>
    </row>
    <row r="35" spans="1:5" ht="12.75" customHeight="1" x14ac:dyDescent="0.2">
      <c r="A35" s="239"/>
      <c r="B35" s="239"/>
      <c r="C35" s="238" t="s">
        <v>188</v>
      </c>
      <c r="D35" s="238" t="s">
        <v>187</v>
      </c>
      <c r="E35" s="274">
        <v>5500</v>
      </c>
    </row>
    <row r="36" spans="1:5" ht="12.75" customHeight="1" x14ac:dyDescent="0.2">
      <c r="A36" s="239"/>
      <c r="B36" s="239"/>
      <c r="C36" s="238" t="s">
        <v>179</v>
      </c>
      <c r="D36" s="238" t="s">
        <v>178</v>
      </c>
      <c r="E36" s="274">
        <v>4000</v>
      </c>
    </row>
    <row r="37" spans="1:5" ht="12.75" customHeight="1" x14ac:dyDescent="0.2">
      <c r="A37" s="238" t="s">
        <v>185</v>
      </c>
      <c r="B37" s="238" t="s">
        <v>166</v>
      </c>
      <c r="C37" s="238" t="s">
        <v>184</v>
      </c>
      <c r="D37" s="238" t="s">
        <v>183</v>
      </c>
      <c r="E37" s="274">
        <v>4000</v>
      </c>
    </row>
    <row r="38" spans="1:5" ht="12.75" customHeight="1" x14ac:dyDescent="0.2">
      <c r="A38" s="238" t="s">
        <v>182</v>
      </c>
      <c r="B38" s="238" t="s">
        <v>166</v>
      </c>
      <c r="C38" s="238" t="s">
        <v>181</v>
      </c>
      <c r="D38" s="238" t="s">
        <v>180</v>
      </c>
      <c r="E38" s="274">
        <v>4000</v>
      </c>
    </row>
    <row r="39" spans="1:5" ht="12.75" customHeight="1" x14ac:dyDescent="0.2">
      <c r="A39" s="238" t="s">
        <v>189</v>
      </c>
      <c r="B39" s="238" t="s">
        <v>195</v>
      </c>
      <c r="C39" s="238" t="s">
        <v>194</v>
      </c>
      <c r="D39" s="238" t="s">
        <v>193</v>
      </c>
      <c r="E39" s="274">
        <v>2999</v>
      </c>
    </row>
    <row r="40" spans="1:5" ht="12.75" customHeight="1" x14ac:dyDescent="0.2">
      <c r="A40" s="238" t="s">
        <v>203</v>
      </c>
      <c r="B40" s="238" t="s">
        <v>209</v>
      </c>
      <c r="C40" s="238" t="s">
        <v>208</v>
      </c>
      <c r="D40" s="238" t="s">
        <v>207</v>
      </c>
      <c r="E40" s="274">
        <v>7500</v>
      </c>
    </row>
    <row r="41" spans="1:5" ht="12.75" customHeight="1" x14ac:dyDescent="0.2">
      <c r="A41" s="238" t="s">
        <v>216</v>
      </c>
      <c r="B41" s="238" t="s">
        <v>209</v>
      </c>
      <c r="C41" s="238" t="s">
        <v>215</v>
      </c>
      <c r="D41" s="238" t="s">
        <v>214</v>
      </c>
      <c r="E41" s="274">
        <v>1500</v>
      </c>
    </row>
    <row r="42" spans="1:5" ht="12.75" customHeight="1" x14ac:dyDescent="0.2">
      <c r="A42" s="238" t="s">
        <v>218</v>
      </c>
      <c r="B42" s="238" t="s">
        <v>221</v>
      </c>
      <c r="C42" s="238" t="s">
        <v>224</v>
      </c>
      <c r="D42" s="238" t="s">
        <v>223</v>
      </c>
      <c r="E42" s="274">
        <v>7500</v>
      </c>
    </row>
    <row r="43" spans="1:5" ht="12.75" customHeight="1" x14ac:dyDescent="0.2">
      <c r="A43" s="238" t="s">
        <v>223</v>
      </c>
      <c r="B43" s="238" t="s">
        <v>240</v>
      </c>
      <c r="C43" s="238" t="s">
        <v>239</v>
      </c>
      <c r="D43" s="238" t="s">
        <v>238</v>
      </c>
      <c r="E43" s="274">
        <v>3500</v>
      </c>
    </row>
    <row r="44" spans="1:5" ht="12.75" customHeight="1" x14ac:dyDescent="0.2">
      <c r="A44" s="238" t="s">
        <v>225</v>
      </c>
      <c r="B44" s="238" t="s">
        <v>221</v>
      </c>
      <c r="C44" s="238" t="s">
        <v>230</v>
      </c>
      <c r="D44" s="238" t="s">
        <v>229</v>
      </c>
      <c r="E44" s="274">
        <v>5000</v>
      </c>
    </row>
    <row r="45" spans="1:5" ht="12.75" customHeight="1" x14ac:dyDescent="0.2">
      <c r="A45" s="238" t="s">
        <v>253</v>
      </c>
      <c r="B45" s="238" t="s">
        <v>249</v>
      </c>
      <c r="C45" s="238" t="s">
        <v>252</v>
      </c>
      <c r="D45" s="238" t="s">
        <v>251</v>
      </c>
      <c r="E45" s="274">
        <v>2600</v>
      </c>
    </row>
    <row r="46" spans="1:5" ht="12.75" customHeight="1" x14ac:dyDescent="0.2">
      <c r="A46" s="238" t="s">
        <v>229</v>
      </c>
      <c r="B46" s="238" t="s">
        <v>221</v>
      </c>
      <c r="C46" s="238" t="s">
        <v>234</v>
      </c>
      <c r="D46" s="238" t="s">
        <v>233</v>
      </c>
      <c r="E46" s="274">
        <v>4000</v>
      </c>
    </row>
    <row r="47" spans="1:5" ht="12.75" customHeight="1" x14ac:dyDescent="0.2">
      <c r="A47" s="238" t="s">
        <v>233</v>
      </c>
      <c r="B47" s="238" t="s">
        <v>221</v>
      </c>
      <c r="C47" s="238" t="s">
        <v>236</v>
      </c>
      <c r="D47" s="238" t="s">
        <v>235</v>
      </c>
      <c r="E47" s="274">
        <v>2000</v>
      </c>
    </row>
    <row r="48" spans="1:5" ht="12.75" customHeight="1" x14ac:dyDescent="0.2">
      <c r="A48" s="238" t="s">
        <v>238</v>
      </c>
      <c r="B48" s="238" t="s">
        <v>240</v>
      </c>
      <c r="C48" s="238" t="s">
        <v>243</v>
      </c>
      <c r="D48" s="238" t="s">
        <v>242</v>
      </c>
      <c r="E48" s="274">
        <v>2500</v>
      </c>
    </row>
    <row r="49" spans="1:5" ht="12.75" customHeight="1" x14ac:dyDescent="0.2">
      <c r="A49" s="239"/>
      <c r="B49" s="239"/>
      <c r="C49" s="238" t="s">
        <v>219</v>
      </c>
      <c r="D49" s="238" t="s">
        <v>244</v>
      </c>
      <c r="E49" s="274">
        <v>9000</v>
      </c>
    </row>
    <row r="50" spans="1:5" ht="12.75" customHeight="1" x14ac:dyDescent="0.2">
      <c r="A50" s="238" t="s">
        <v>520</v>
      </c>
      <c r="B50" s="238" t="s">
        <v>520</v>
      </c>
      <c r="C50" s="238" t="s">
        <v>116</v>
      </c>
      <c r="D50" s="238">
        <v>2</v>
      </c>
      <c r="E50" s="274">
        <v>10901</v>
      </c>
    </row>
    <row r="51" spans="1:5" ht="12.75" customHeight="1" x14ac:dyDescent="0.2">
      <c r="A51" s="239"/>
      <c r="B51" s="239"/>
      <c r="C51" s="238" t="s">
        <v>245</v>
      </c>
      <c r="D51" s="238">
        <v>10</v>
      </c>
      <c r="E51" s="274">
        <v>15000</v>
      </c>
    </row>
    <row r="52" spans="1:5" ht="12.75" customHeight="1" x14ac:dyDescent="0.2">
      <c r="A52" s="239"/>
      <c r="B52" s="239"/>
      <c r="C52" s="238" t="s">
        <v>163</v>
      </c>
      <c r="D52" s="238">
        <v>4</v>
      </c>
      <c r="E52" s="274">
        <v>13200</v>
      </c>
    </row>
    <row r="53" spans="1:5" ht="12.75" customHeight="1" x14ac:dyDescent="0.2">
      <c r="A53" s="239"/>
      <c r="B53" s="239"/>
      <c r="C53" s="238" t="s">
        <v>140</v>
      </c>
      <c r="D53" s="238">
        <v>3</v>
      </c>
      <c r="E53" s="274">
        <v>7700</v>
      </c>
    </row>
    <row r="54" spans="1:5" ht="12.75" customHeight="1" x14ac:dyDescent="0.2">
      <c r="A54" s="239"/>
      <c r="B54" s="239"/>
      <c r="C54" s="238" t="s">
        <v>101</v>
      </c>
      <c r="D54" s="238">
        <v>1</v>
      </c>
      <c r="E54" s="274"/>
    </row>
    <row r="55" spans="1:5" ht="12.75" customHeight="1" x14ac:dyDescent="0.2">
      <c r="A55" s="239"/>
      <c r="B55" s="239"/>
      <c r="C55" s="238" t="s">
        <v>192</v>
      </c>
      <c r="D55" s="238">
        <v>5</v>
      </c>
      <c r="E55" s="274">
        <v>36501</v>
      </c>
    </row>
    <row r="56" spans="1:5" ht="12.75" customHeight="1" x14ac:dyDescent="0.2">
      <c r="A56" s="239"/>
      <c r="B56" s="239"/>
      <c r="C56" s="238" t="s">
        <v>217</v>
      </c>
      <c r="D56" s="238">
        <v>7</v>
      </c>
      <c r="E56" s="274">
        <v>11600</v>
      </c>
    </row>
    <row r="57" spans="1:5" ht="12.75" customHeight="1" x14ac:dyDescent="0.2">
      <c r="A57" s="239"/>
      <c r="B57" s="239"/>
      <c r="C57" s="238" t="s">
        <v>237</v>
      </c>
      <c r="D57" s="238">
        <v>9</v>
      </c>
      <c r="E57" s="274">
        <v>11000</v>
      </c>
    </row>
    <row r="58" spans="1:5" ht="12.75" customHeight="1" x14ac:dyDescent="0.2">
      <c r="A58" s="239"/>
      <c r="B58" s="239"/>
      <c r="C58" s="238" t="s">
        <v>228</v>
      </c>
      <c r="D58" s="238">
        <v>8</v>
      </c>
      <c r="E58" s="274">
        <v>30701</v>
      </c>
    </row>
    <row r="59" spans="1:5" ht="12.75" customHeight="1" x14ac:dyDescent="0.2">
      <c r="A59" s="239"/>
      <c r="B59" s="239"/>
      <c r="C59" s="238" t="s">
        <v>206</v>
      </c>
      <c r="D59" s="238">
        <v>6</v>
      </c>
      <c r="E59" s="274"/>
    </row>
    <row r="60" spans="1:5" ht="12.75" customHeight="1" x14ac:dyDescent="0.2">
      <c r="A60" s="240" t="s">
        <v>521</v>
      </c>
      <c r="B60" s="241"/>
      <c r="C60" s="241"/>
      <c r="D60" s="241"/>
      <c r="E60" s="275">
        <v>307610</v>
      </c>
    </row>
    <row r="61" spans="1:5" ht="12.75" customHeight="1" x14ac:dyDescent="0.2"/>
    <row r="62" spans="1:5" ht="12.75" customHeight="1" x14ac:dyDescent="0.2"/>
    <row r="63" spans="1:5" ht="12.75" customHeight="1" x14ac:dyDescent="0.2"/>
    <row r="64" spans="1:5"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511811024" right="0.511811024" top="0.78740157499999996" bottom="0.78740157499999996"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A1:AA1000"/>
  <sheetViews>
    <sheetView showGridLines="0" workbookViewId="0">
      <pane ySplit="5" topLeftCell="A6" activePane="bottomLeft" state="frozen"/>
      <selection pane="bottomLeft" activeCell="B7" sqref="B7"/>
    </sheetView>
  </sheetViews>
  <sheetFormatPr defaultColWidth="12.5703125" defaultRowHeight="15" customHeight="1" x14ac:dyDescent="0.2"/>
  <cols>
    <col min="1" max="1" width="3.42578125" customWidth="1"/>
    <col min="2" max="2" width="13" customWidth="1"/>
    <col min="3" max="3" width="78.42578125" customWidth="1"/>
    <col min="4" max="4" width="7.85546875" customWidth="1"/>
    <col min="5" max="5" width="9.7109375" customWidth="1"/>
    <col min="6" max="6" width="8.28515625" customWidth="1"/>
    <col min="7" max="7" width="10.5703125" customWidth="1"/>
    <col min="8" max="8" width="10.140625" customWidth="1"/>
    <col min="9" max="9" width="7.7109375" customWidth="1"/>
    <col min="10" max="27" width="3.7109375" customWidth="1"/>
  </cols>
  <sheetData>
    <row r="1" spans="1:27" ht="12.75" customHeight="1" x14ac:dyDescent="0.2">
      <c r="B1" s="18"/>
      <c r="C1" s="82"/>
      <c r="D1" s="18"/>
      <c r="E1" s="18"/>
      <c r="F1" s="18"/>
      <c r="G1" s="18"/>
      <c r="H1" s="18"/>
      <c r="I1" s="18"/>
      <c r="J1" s="18"/>
      <c r="K1" s="18"/>
    </row>
    <row r="2" spans="1:27" ht="12.75" customHeight="1" x14ac:dyDescent="0.25">
      <c r="B2" s="8" t="s">
        <v>501</v>
      </c>
      <c r="C2" s="82"/>
      <c r="D2" s="18"/>
      <c r="E2" s="18"/>
      <c r="F2" s="18"/>
      <c r="G2" s="18"/>
      <c r="H2" s="18"/>
      <c r="I2" s="18"/>
      <c r="J2" s="18"/>
      <c r="K2" s="18"/>
    </row>
    <row r="3" spans="1:27" ht="12.75" customHeight="1" x14ac:dyDescent="0.2">
      <c r="B3" s="18"/>
      <c r="C3" s="82"/>
      <c r="D3" s="18"/>
      <c r="E3" s="18"/>
      <c r="F3" s="18"/>
      <c r="G3" s="18"/>
      <c r="H3" s="18"/>
      <c r="I3" s="18"/>
      <c r="J3" s="18"/>
      <c r="K3" s="18"/>
    </row>
    <row r="4" spans="1:27" ht="12.75" customHeight="1" x14ac:dyDescent="0.2">
      <c r="B4" s="18"/>
      <c r="C4" s="82"/>
      <c r="D4" s="18"/>
      <c r="E4" s="18"/>
      <c r="F4" s="18"/>
      <c r="G4" s="18"/>
      <c r="H4" s="18"/>
      <c r="I4" s="18"/>
      <c r="J4" s="18"/>
      <c r="K4" s="18"/>
    </row>
    <row r="5" spans="1:27" ht="12.75" customHeight="1" x14ac:dyDescent="0.2">
      <c r="A5" s="21"/>
      <c r="B5" s="224" t="s">
        <v>91</v>
      </c>
      <c r="C5" s="225" t="s">
        <v>502</v>
      </c>
      <c r="D5" s="268"/>
      <c r="E5" s="248"/>
      <c r="F5" s="248"/>
      <c r="G5" s="248"/>
      <c r="H5" s="248"/>
      <c r="I5" s="248"/>
      <c r="J5" s="248"/>
      <c r="K5" s="248"/>
      <c r="L5" s="248"/>
      <c r="M5" s="248"/>
      <c r="N5" s="248"/>
      <c r="O5" s="248"/>
      <c r="P5" s="248"/>
      <c r="Q5" s="248"/>
      <c r="R5" s="248"/>
      <c r="S5" s="248"/>
      <c r="T5" s="248"/>
      <c r="U5" s="248"/>
      <c r="V5" s="248"/>
      <c r="W5" s="248"/>
      <c r="X5" s="269"/>
      <c r="Y5" s="226"/>
      <c r="Z5" s="226"/>
      <c r="AA5" s="227"/>
    </row>
    <row r="6" spans="1:27" ht="12.75" customHeight="1" x14ac:dyDescent="0.2">
      <c r="B6" s="228"/>
      <c r="D6" s="228">
        <v>1</v>
      </c>
      <c r="E6" s="15">
        <v>2</v>
      </c>
      <c r="F6" s="15">
        <v>3</v>
      </c>
      <c r="G6" s="229">
        <v>4</v>
      </c>
      <c r="H6" s="228">
        <v>5</v>
      </c>
      <c r="I6" s="15">
        <v>6</v>
      </c>
      <c r="J6" s="15">
        <v>7</v>
      </c>
      <c r="K6" s="229">
        <v>8</v>
      </c>
      <c r="L6" s="228">
        <v>9</v>
      </c>
      <c r="M6" s="15">
        <v>10</v>
      </c>
      <c r="N6" s="15">
        <v>11</v>
      </c>
      <c r="O6" s="229">
        <v>12</v>
      </c>
      <c r="P6" s="228">
        <v>13</v>
      </c>
      <c r="Q6" s="15">
        <v>14</v>
      </c>
      <c r="R6" s="15">
        <v>15</v>
      </c>
      <c r="S6" s="229">
        <v>16</v>
      </c>
      <c r="T6" s="228">
        <v>17</v>
      </c>
      <c r="U6" s="15">
        <v>18</v>
      </c>
      <c r="V6" s="15">
        <v>19</v>
      </c>
      <c r="W6" s="229">
        <v>20</v>
      </c>
      <c r="X6" s="228">
        <v>21</v>
      </c>
      <c r="Y6" s="15">
        <v>22</v>
      </c>
      <c r="Z6" s="15">
        <v>23</v>
      </c>
      <c r="AA6" s="229">
        <v>24</v>
      </c>
    </row>
    <row r="7" spans="1:27" ht="12.75" customHeight="1" x14ac:dyDescent="0.2">
      <c r="B7" s="228"/>
      <c r="D7" s="270" t="s">
        <v>503</v>
      </c>
      <c r="E7" s="271"/>
      <c r="F7" s="271"/>
      <c r="G7" s="272"/>
      <c r="H7" s="273" t="s">
        <v>504</v>
      </c>
      <c r="I7" s="271"/>
      <c r="J7" s="271"/>
      <c r="K7" s="272"/>
      <c r="L7" s="273" t="s">
        <v>505</v>
      </c>
      <c r="M7" s="271"/>
      <c r="N7" s="271"/>
      <c r="O7" s="272"/>
      <c r="P7" s="273" t="s">
        <v>506</v>
      </c>
      <c r="Q7" s="271"/>
      <c r="R7" s="271"/>
      <c r="S7" s="272"/>
      <c r="T7" s="273" t="s">
        <v>507</v>
      </c>
      <c r="U7" s="271"/>
      <c r="V7" s="271"/>
      <c r="W7" s="272"/>
      <c r="X7" s="273" t="s">
        <v>508</v>
      </c>
      <c r="Y7" s="271"/>
      <c r="Z7" s="271"/>
      <c r="AA7" s="272"/>
    </row>
    <row r="8" spans="1:27" ht="12.75" customHeight="1" x14ac:dyDescent="0.2">
      <c r="A8" s="21"/>
      <c r="B8" s="230" t="s">
        <v>102</v>
      </c>
      <c r="C8" s="231" t="s">
        <v>509</v>
      </c>
      <c r="D8" s="265">
        <v>30000</v>
      </c>
      <c r="E8" s="266"/>
      <c r="F8" s="266"/>
      <c r="G8" s="267"/>
      <c r="H8" s="265"/>
      <c r="I8" s="266"/>
      <c r="J8" s="266"/>
      <c r="K8" s="267"/>
      <c r="L8" s="265"/>
      <c r="M8" s="266"/>
      <c r="N8" s="266"/>
      <c r="O8" s="267"/>
      <c r="P8" s="265"/>
      <c r="Q8" s="266"/>
      <c r="R8" s="266"/>
      <c r="S8" s="267"/>
      <c r="T8" s="265"/>
      <c r="U8" s="266"/>
      <c r="V8" s="266"/>
      <c r="W8" s="267"/>
      <c r="X8" s="265"/>
      <c r="Y8" s="266"/>
      <c r="Z8" s="266"/>
      <c r="AA8" s="267"/>
    </row>
    <row r="9" spans="1:27" ht="12.75" customHeight="1" x14ac:dyDescent="0.2">
      <c r="A9" s="21"/>
      <c r="B9" s="230" t="s">
        <v>107</v>
      </c>
      <c r="C9" s="231" t="s">
        <v>510</v>
      </c>
      <c r="D9" s="265"/>
      <c r="E9" s="266"/>
      <c r="F9" s="266"/>
      <c r="G9" s="267"/>
      <c r="H9" s="265">
        <v>5000</v>
      </c>
      <c r="I9" s="266"/>
      <c r="J9" s="266"/>
      <c r="K9" s="267"/>
      <c r="L9" s="265">
        <v>5000</v>
      </c>
      <c r="M9" s="266"/>
      <c r="N9" s="266"/>
      <c r="O9" s="267"/>
      <c r="P9" s="265">
        <v>5000</v>
      </c>
      <c r="Q9" s="266"/>
      <c r="R9" s="266"/>
      <c r="S9" s="267"/>
      <c r="T9" s="265">
        <v>5000</v>
      </c>
      <c r="U9" s="266"/>
      <c r="V9" s="266"/>
      <c r="W9" s="267"/>
      <c r="X9" s="265"/>
      <c r="Y9" s="266"/>
      <c r="Z9" s="266"/>
      <c r="AA9" s="267"/>
    </row>
    <row r="10" spans="1:27" ht="12.75" customHeight="1" x14ac:dyDescent="0.2">
      <c r="A10" s="21"/>
      <c r="B10" s="230" t="s">
        <v>109</v>
      </c>
      <c r="C10" s="231" t="s">
        <v>511</v>
      </c>
      <c r="D10" s="265"/>
      <c r="E10" s="266"/>
      <c r="F10" s="266"/>
      <c r="G10" s="267"/>
      <c r="H10" s="265"/>
      <c r="I10" s="266"/>
      <c r="J10" s="266"/>
      <c r="K10" s="267"/>
      <c r="L10" s="265"/>
      <c r="M10" s="266"/>
      <c r="N10" s="266"/>
      <c r="O10" s="267"/>
      <c r="P10" s="265"/>
      <c r="Q10" s="266"/>
      <c r="R10" s="266"/>
      <c r="S10" s="267"/>
      <c r="T10" s="265"/>
      <c r="U10" s="266"/>
      <c r="V10" s="266"/>
      <c r="W10" s="267"/>
      <c r="X10" s="265">
        <v>10000</v>
      </c>
      <c r="Y10" s="266"/>
      <c r="Z10" s="266"/>
      <c r="AA10" s="267"/>
    </row>
    <row r="11" spans="1:27" ht="12.75" customHeight="1" x14ac:dyDescent="0.2">
      <c r="B11" s="232">
        <v>2</v>
      </c>
      <c r="C11" s="233" t="s">
        <v>512</v>
      </c>
      <c r="D11" s="265"/>
      <c r="E11" s="266"/>
      <c r="F11" s="266"/>
      <c r="G11" s="267"/>
      <c r="H11" s="265"/>
      <c r="I11" s="266"/>
      <c r="J11" s="266"/>
      <c r="K11" s="267"/>
      <c r="L11" s="265">
        <v>20000</v>
      </c>
      <c r="M11" s="266"/>
      <c r="N11" s="266"/>
      <c r="O11" s="267"/>
      <c r="P11" s="265">
        <v>40000</v>
      </c>
      <c r="Q11" s="266"/>
      <c r="R11" s="266"/>
      <c r="S11" s="267"/>
      <c r="T11" s="265">
        <v>10000</v>
      </c>
      <c r="U11" s="266"/>
      <c r="V11" s="266"/>
      <c r="W11" s="267"/>
      <c r="X11" s="265">
        <v>10000</v>
      </c>
      <c r="Y11" s="266"/>
      <c r="Z11" s="266"/>
      <c r="AA11" s="267"/>
    </row>
    <row r="12" spans="1:27" ht="12.75" customHeight="1" x14ac:dyDescent="0.2">
      <c r="B12" s="234" t="s">
        <v>142</v>
      </c>
      <c r="C12" s="235" t="s">
        <v>513</v>
      </c>
      <c r="D12" s="265"/>
      <c r="E12" s="266"/>
      <c r="F12" s="266"/>
      <c r="G12" s="267"/>
      <c r="H12" s="265">
        <v>10000</v>
      </c>
      <c r="I12" s="266"/>
      <c r="J12" s="266"/>
      <c r="K12" s="267"/>
      <c r="L12" s="265">
        <v>25000</v>
      </c>
      <c r="M12" s="266"/>
      <c r="N12" s="266"/>
      <c r="O12" s="267"/>
      <c r="P12" s="265">
        <v>25000</v>
      </c>
      <c r="Q12" s="266"/>
      <c r="R12" s="266"/>
      <c r="S12" s="267"/>
      <c r="T12" s="265">
        <v>25000</v>
      </c>
      <c r="U12" s="266"/>
      <c r="V12" s="266"/>
      <c r="W12" s="267"/>
      <c r="X12" s="265">
        <v>5000</v>
      </c>
      <c r="Y12" s="266"/>
      <c r="Z12" s="266"/>
      <c r="AA12" s="267"/>
    </row>
    <row r="13" spans="1:27" ht="12.75" customHeight="1" x14ac:dyDescent="0.2">
      <c r="A13" s="28"/>
      <c r="B13" s="234" t="s">
        <v>153</v>
      </c>
      <c r="C13" s="235" t="s">
        <v>514</v>
      </c>
      <c r="D13" s="265"/>
      <c r="E13" s="266"/>
      <c r="F13" s="266"/>
      <c r="G13" s="267"/>
      <c r="H13" s="265"/>
      <c r="I13" s="266"/>
      <c r="J13" s="266"/>
      <c r="K13" s="267"/>
      <c r="L13" s="265">
        <v>15000</v>
      </c>
      <c r="M13" s="266"/>
      <c r="N13" s="266"/>
      <c r="O13" s="267"/>
      <c r="P13" s="265">
        <v>15000</v>
      </c>
      <c r="Q13" s="266"/>
      <c r="R13" s="266"/>
      <c r="S13" s="267"/>
      <c r="T13" s="265">
        <v>20000</v>
      </c>
      <c r="U13" s="266"/>
      <c r="V13" s="266"/>
      <c r="W13" s="267"/>
      <c r="X13" s="265">
        <v>10000</v>
      </c>
      <c r="Y13" s="266"/>
      <c r="Z13" s="266"/>
      <c r="AA13" s="267"/>
    </row>
    <row r="14" spans="1:27" ht="12.75" customHeight="1" x14ac:dyDescent="0.2">
      <c r="A14" s="15"/>
      <c r="B14" s="232">
        <v>4</v>
      </c>
      <c r="C14" s="233" t="s">
        <v>515</v>
      </c>
      <c r="D14" s="265"/>
      <c r="E14" s="266"/>
      <c r="F14" s="266"/>
      <c r="G14" s="267"/>
      <c r="H14" s="265"/>
      <c r="I14" s="266"/>
      <c r="J14" s="266"/>
      <c r="K14" s="267"/>
      <c r="L14" s="265"/>
      <c r="M14" s="266"/>
      <c r="N14" s="266"/>
      <c r="O14" s="267"/>
      <c r="P14" s="265"/>
      <c r="Q14" s="266"/>
      <c r="R14" s="266"/>
      <c r="S14" s="267"/>
      <c r="T14" s="265"/>
      <c r="U14" s="266"/>
      <c r="V14" s="266"/>
      <c r="W14" s="267"/>
      <c r="X14" s="265">
        <v>7000</v>
      </c>
      <c r="Y14" s="266"/>
      <c r="Z14" s="266"/>
      <c r="AA14" s="267"/>
    </row>
    <row r="15" spans="1:27" ht="12.75" customHeight="1" x14ac:dyDescent="0.2">
      <c r="A15" s="15"/>
      <c r="B15" s="234" t="s">
        <v>197</v>
      </c>
      <c r="C15" s="235" t="s">
        <v>516</v>
      </c>
      <c r="D15" s="265"/>
      <c r="E15" s="266"/>
      <c r="F15" s="266"/>
      <c r="G15" s="267"/>
      <c r="H15" s="265"/>
      <c r="I15" s="266"/>
      <c r="J15" s="266"/>
      <c r="K15" s="267"/>
      <c r="L15" s="265"/>
      <c r="M15" s="266"/>
      <c r="N15" s="266"/>
      <c r="O15" s="267"/>
      <c r="P15" s="265"/>
      <c r="Q15" s="266"/>
      <c r="R15" s="266"/>
      <c r="S15" s="267"/>
      <c r="T15" s="265">
        <v>4000</v>
      </c>
      <c r="U15" s="266"/>
      <c r="V15" s="266"/>
      <c r="W15" s="267"/>
      <c r="X15" s="265">
        <v>4000</v>
      </c>
      <c r="Y15" s="266"/>
      <c r="Z15" s="266"/>
      <c r="AA15" s="267"/>
    </row>
    <row r="16" spans="1:27" ht="12.75" customHeight="1" x14ac:dyDescent="0.2">
      <c r="B16" s="234" t="s">
        <v>200</v>
      </c>
      <c r="C16" s="235" t="s">
        <v>517</v>
      </c>
      <c r="D16" s="265"/>
      <c r="E16" s="266"/>
      <c r="F16" s="266"/>
      <c r="G16" s="267"/>
      <c r="H16" s="265"/>
      <c r="I16" s="266"/>
      <c r="J16" s="266"/>
      <c r="K16" s="267"/>
      <c r="L16" s="265"/>
      <c r="M16" s="266"/>
      <c r="N16" s="266"/>
      <c r="O16" s="267"/>
      <c r="P16" s="265"/>
      <c r="Q16" s="266"/>
      <c r="R16" s="266"/>
      <c r="S16" s="267"/>
      <c r="T16" s="265">
        <v>2500</v>
      </c>
      <c r="U16" s="266"/>
      <c r="V16" s="266"/>
      <c r="W16" s="267"/>
      <c r="X16" s="265">
        <v>2500</v>
      </c>
      <c r="Y16" s="266"/>
      <c r="Z16" s="266"/>
      <c r="AA16" s="267"/>
    </row>
    <row r="17" spans="1:27" ht="12.75" customHeight="1" x14ac:dyDescent="0.2">
      <c r="A17" s="28"/>
      <c r="B17" s="234" t="s">
        <v>203</v>
      </c>
      <c r="C17" s="235" t="s">
        <v>518</v>
      </c>
      <c r="D17" s="265"/>
      <c r="E17" s="266"/>
      <c r="F17" s="266"/>
      <c r="G17" s="267"/>
      <c r="H17" s="265"/>
      <c r="I17" s="266"/>
      <c r="J17" s="266"/>
      <c r="K17" s="267"/>
      <c r="L17" s="265"/>
      <c r="M17" s="266"/>
      <c r="N17" s="266"/>
      <c r="O17" s="267"/>
      <c r="P17" s="265"/>
      <c r="Q17" s="266"/>
      <c r="R17" s="266"/>
      <c r="S17" s="267"/>
      <c r="T17" s="265"/>
      <c r="U17" s="266"/>
      <c r="V17" s="266"/>
      <c r="W17" s="267"/>
      <c r="X17" s="265">
        <v>0</v>
      </c>
      <c r="Y17" s="266"/>
      <c r="Z17" s="266"/>
      <c r="AA17" s="267"/>
    </row>
    <row r="18" spans="1:27" ht="12.75" customHeight="1" x14ac:dyDescent="0.2">
      <c r="A18" s="15"/>
      <c r="B18" s="234" t="s">
        <v>272</v>
      </c>
      <c r="C18" s="235" t="s">
        <v>519</v>
      </c>
      <c r="D18" s="265"/>
      <c r="E18" s="266"/>
      <c r="F18" s="266"/>
      <c r="G18" s="267"/>
      <c r="H18" s="265">
        <f>20000*35%</f>
        <v>7000</v>
      </c>
      <c r="I18" s="266"/>
      <c r="J18" s="266"/>
      <c r="K18" s="267"/>
      <c r="L18" s="265">
        <f>13000/4</f>
        <v>3250</v>
      </c>
      <c r="M18" s="266"/>
      <c r="N18" s="266"/>
      <c r="O18" s="267"/>
      <c r="P18" s="265">
        <f>13000/4</f>
        <v>3250</v>
      </c>
      <c r="Q18" s="266"/>
      <c r="R18" s="266"/>
      <c r="S18" s="267"/>
      <c r="T18" s="265">
        <f>13000/4</f>
        <v>3250</v>
      </c>
      <c r="U18" s="266"/>
      <c r="V18" s="266"/>
      <c r="W18" s="267"/>
      <c r="X18" s="265">
        <f>13000/4</f>
        <v>3250</v>
      </c>
      <c r="Y18" s="266"/>
      <c r="Z18" s="266"/>
      <c r="AA18" s="267"/>
    </row>
    <row r="19" spans="1:27" ht="12.75" customHeight="1" x14ac:dyDescent="0.2">
      <c r="B19" s="18"/>
      <c r="C19" s="82"/>
      <c r="D19" s="18"/>
      <c r="E19" s="18"/>
      <c r="F19" s="18"/>
      <c r="G19" s="18"/>
      <c r="H19" s="18"/>
      <c r="I19" s="18"/>
      <c r="J19" s="18"/>
      <c r="K19" s="18"/>
    </row>
    <row r="20" spans="1:27" ht="12.75" customHeight="1" x14ac:dyDescent="0.2">
      <c r="B20" s="18"/>
      <c r="C20" s="82"/>
      <c r="D20" s="18"/>
      <c r="E20" s="18"/>
      <c r="F20" s="18"/>
      <c r="G20" s="18"/>
      <c r="H20" s="18"/>
      <c r="I20" s="18"/>
      <c r="J20" s="18"/>
      <c r="K20" s="18"/>
    </row>
    <row r="21" spans="1:27" ht="12.75" customHeight="1" x14ac:dyDescent="0.2">
      <c r="B21" s="18"/>
      <c r="C21" s="82"/>
      <c r="D21" s="18"/>
      <c r="E21" s="18"/>
      <c r="F21" s="18"/>
      <c r="G21" s="18"/>
      <c r="H21" s="18"/>
      <c r="I21" s="18"/>
      <c r="J21" s="18"/>
      <c r="K21" s="18"/>
    </row>
    <row r="22" spans="1:27" ht="12.75" customHeight="1" x14ac:dyDescent="0.2">
      <c r="B22" s="18"/>
      <c r="C22" s="82"/>
      <c r="D22" s="18"/>
      <c r="E22" s="18"/>
      <c r="F22" s="18"/>
      <c r="G22" s="18"/>
      <c r="H22" s="18"/>
      <c r="I22" s="18"/>
      <c r="J22" s="18"/>
      <c r="K22" s="18"/>
    </row>
    <row r="23" spans="1:27" ht="12.75" customHeight="1" x14ac:dyDescent="0.2">
      <c r="B23" s="18"/>
      <c r="C23" s="82"/>
      <c r="D23" s="18"/>
      <c r="E23" s="18"/>
      <c r="F23" s="18"/>
      <c r="G23" s="18"/>
      <c r="H23" s="18"/>
      <c r="I23" s="18"/>
      <c r="J23" s="18"/>
      <c r="K23" s="18"/>
    </row>
    <row r="24" spans="1:27" ht="12.75" customHeight="1" x14ac:dyDescent="0.2">
      <c r="B24" s="18"/>
      <c r="C24" s="82"/>
      <c r="D24" s="18"/>
      <c r="E24" s="18"/>
      <c r="F24" s="18"/>
      <c r="G24" s="18"/>
      <c r="H24" s="18"/>
      <c r="I24" s="18"/>
      <c r="J24" s="18"/>
      <c r="K24" s="18"/>
    </row>
    <row r="25" spans="1:27" ht="12.75" customHeight="1" x14ac:dyDescent="0.2">
      <c r="B25" s="18"/>
      <c r="C25" s="82"/>
      <c r="D25" s="18"/>
      <c r="E25" s="18"/>
      <c r="F25" s="18"/>
      <c r="G25" s="18"/>
      <c r="H25" s="18"/>
      <c r="I25" s="18"/>
      <c r="J25" s="18"/>
      <c r="K25" s="18"/>
    </row>
    <row r="26" spans="1:27" ht="12.75" customHeight="1" x14ac:dyDescent="0.2">
      <c r="B26" s="18"/>
      <c r="C26" s="82"/>
      <c r="D26" s="18"/>
      <c r="E26" s="18"/>
      <c r="F26" s="18"/>
      <c r="G26" s="18"/>
      <c r="H26" s="18"/>
      <c r="I26" s="18"/>
      <c r="J26" s="18"/>
      <c r="K26" s="18"/>
    </row>
    <row r="27" spans="1:27" ht="12.75" customHeight="1" x14ac:dyDescent="0.2">
      <c r="B27" s="18"/>
      <c r="C27" s="82"/>
      <c r="D27" s="18"/>
      <c r="E27" s="18"/>
      <c r="F27" s="18"/>
      <c r="G27" s="18"/>
      <c r="H27" s="18"/>
      <c r="I27" s="18"/>
      <c r="J27" s="18"/>
      <c r="K27" s="18"/>
    </row>
    <row r="28" spans="1:27" ht="12.75" customHeight="1" x14ac:dyDescent="0.2">
      <c r="B28" s="18"/>
      <c r="C28" s="82"/>
      <c r="D28" s="18"/>
      <c r="E28" s="18"/>
      <c r="F28" s="18"/>
      <c r="G28" s="18"/>
      <c r="H28" s="18"/>
      <c r="I28" s="18"/>
      <c r="J28" s="18"/>
      <c r="K28" s="18"/>
    </row>
    <row r="29" spans="1:27" ht="12.75" customHeight="1" x14ac:dyDescent="0.2">
      <c r="B29" s="18"/>
      <c r="C29" s="82"/>
      <c r="D29" s="18"/>
      <c r="E29" s="18"/>
      <c r="F29" s="18"/>
      <c r="G29" s="18"/>
      <c r="H29" s="18"/>
      <c r="I29" s="18"/>
      <c r="J29" s="18"/>
      <c r="K29" s="18"/>
    </row>
    <row r="30" spans="1:27" ht="12.75" customHeight="1" x14ac:dyDescent="0.2">
      <c r="B30" s="18"/>
      <c r="C30" s="82"/>
      <c r="D30" s="18"/>
      <c r="E30" s="18"/>
      <c r="F30" s="18"/>
      <c r="G30" s="18"/>
      <c r="H30" s="18"/>
      <c r="I30" s="18"/>
      <c r="J30" s="18"/>
      <c r="K30" s="18"/>
    </row>
    <row r="31" spans="1:27" ht="12.75" customHeight="1" x14ac:dyDescent="0.2">
      <c r="B31" s="18"/>
      <c r="C31" s="82"/>
      <c r="D31" s="18"/>
      <c r="E31" s="18"/>
      <c r="F31" s="18"/>
      <c r="G31" s="18"/>
      <c r="H31" s="18"/>
      <c r="I31" s="18"/>
      <c r="J31" s="18"/>
      <c r="K31" s="18"/>
    </row>
    <row r="32" spans="1:27" ht="12.75" customHeight="1" x14ac:dyDescent="0.2">
      <c r="B32" s="18"/>
      <c r="C32" s="82"/>
      <c r="D32" s="18"/>
      <c r="E32" s="18"/>
      <c r="F32" s="18"/>
      <c r="G32" s="18"/>
      <c r="H32" s="18"/>
      <c r="I32" s="18"/>
      <c r="J32" s="18"/>
      <c r="K32" s="18"/>
    </row>
    <row r="33" spans="2:11" ht="12.75" customHeight="1" x14ac:dyDescent="0.2">
      <c r="B33" s="18"/>
      <c r="C33" s="82"/>
      <c r="D33" s="18"/>
      <c r="E33" s="18"/>
      <c r="F33" s="18"/>
      <c r="G33" s="18"/>
      <c r="H33" s="18"/>
      <c r="I33" s="18"/>
      <c r="J33" s="18"/>
      <c r="K33" s="18"/>
    </row>
    <row r="34" spans="2:11" ht="12.75" customHeight="1" x14ac:dyDescent="0.2">
      <c r="B34" s="18"/>
      <c r="C34" s="82"/>
      <c r="D34" s="18"/>
      <c r="E34" s="18"/>
      <c r="F34" s="18"/>
      <c r="G34" s="18"/>
      <c r="H34" s="18"/>
      <c r="I34" s="18"/>
      <c r="J34" s="18"/>
      <c r="K34" s="18"/>
    </row>
    <row r="35" spans="2:11" ht="12.75" customHeight="1" x14ac:dyDescent="0.2">
      <c r="B35" s="18"/>
      <c r="C35" s="82"/>
      <c r="D35" s="18"/>
      <c r="E35" s="18"/>
      <c r="F35" s="18"/>
      <c r="G35" s="18"/>
      <c r="H35" s="18"/>
      <c r="I35" s="18"/>
      <c r="J35" s="18"/>
      <c r="K35" s="18"/>
    </row>
    <row r="36" spans="2:11" ht="12.75" customHeight="1" x14ac:dyDescent="0.2">
      <c r="B36" s="18"/>
      <c r="C36" s="82"/>
      <c r="D36" s="18"/>
      <c r="E36" s="18"/>
      <c r="F36" s="18"/>
      <c r="G36" s="18"/>
      <c r="H36" s="18"/>
      <c r="I36" s="18"/>
      <c r="J36" s="18"/>
      <c r="K36" s="18"/>
    </row>
    <row r="37" spans="2:11" ht="12.75" customHeight="1" x14ac:dyDescent="0.2">
      <c r="B37" s="18"/>
      <c r="C37" s="82"/>
      <c r="D37" s="18"/>
      <c r="E37" s="18"/>
      <c r="F37" s="18"/>
      <c r="G37" s="18"/>
      <c r="H37" s="18"/>
      <c r="I37" s="18"/>
      <c r="J37" s="18"/>
      <c r="K37" s="18"/>
    </row>
    <row r="38" spans="2:11" ht="12.75" customHeight="1" x14ac:dyDescent="0.2">
      <c r="B38" s="18"/>
      <c r="C38" s="82"/>
      <c r="D38" s="18"/>
      <c r="E38" s="18"/>
      <c r="F38" s="18"/>
      <c r="G38" s="18"/>
      <c r="H38" s="18"/>
      <c r="I38" s="18"/>
      <c r="J38" s="18"/>
      <c r="K38" s="18"/>
    </row>
    <row r="39" spans="2:11" ht="12.75" customHeight="1" x14ac:dyDescent="0.2">
      <c r="B39" s="18"/>
      <c r="C39" s="82"/>
      <c r="D39" s="18"/>
      <c r="E39" s="18"/>
      <c r="F39" s="18"/>
      <c r="G39" s="18"/>
      <c r="H39" s="18"/>
      <c r="I39" s="18"/>
      <c r="J39" s="18"/>
      <c r="K39" s="18"/>
    </row>
    <row r="40" spans="2:11" ht="12.75" customHeight="1" x14ac:dyDescent="0.2">
      <c r="B40" s="18"/>
      <c r="C40" s="82"/>
      <c r="D40" s="18"/>
      <c r="E40" s="18"/>
      <c r="F40" s="18"/>
      <c r="G40" s="18"/>
      <c r="H40" s="18"/>
      <c r="I40" s="18"/>
      <c r="J40" s="18"/>
      <c r="K40" s="18"/>
    </row>
    <row r="41" spans="2:11" ht="12.75" customHeight="1" x14ac:dyDescent="0.2">
      <c r="B41" s="18"/>
      <c r="C41" s="82"/>
      <c r="D41" s="18"/>
      <c r="E41" s="18"/>
      <c r="F41" s="18"/>
      <c r="G41" s="18"/>
      <c r="H41" s="18"/>
      <c r="I41" s="18"/>
      <c r="J41" s="18"/>
      <c r="K41" s="18"/>
    </row>
    <row r="42" spans="2:11" ht="12.75" customHeight="1" x14ac:dyDescent="0.2">
      <c r="B42" s="18"/>
      <c r="C42" s="82"/>
      <c r="D42" s="18"/>
      <c r="E42" s="18"/>
      <c r="F42" s="18"/>
      <c r="G42" s="18"/>
      <c r="H42" s="18"/>
      <c r="I42" s="18"/>
      <c r="J42" s="18"/>
      <c r="K42" s="18"/>
    </row>
    <row r="43" spans="2:11" ht="12.75" customHeight="1" x14ac:dyDescent="0.2">
      <c r="B43" s="18"/>
      <c r="C43" s="82"/>
      <c r="D43" s="18"/>
      <c r="E43" s="18"/>
      <c r="F43" s="18"/>
      <c r="G43" s="18"/>
      <c r="H43" s="18"/>
      <c r="I43" s="18"/>
      <c r="J43" s="18"/>
      <c r="K43" s="18"/>
    </row>
    <row r="44" spans="2:11" ht="12.75" customHeight="1" x14ac:dyDescent="0.2">
      <c r="B44" s="18"/>
      <c r="C44" s="82"/>
      <c r="D44" s="18"/>
      <c r="E44" s="18"/>
      <c r="F44" s="18"/>
      <c r="G44" s="18"/>
      <c r="H44" s="18"/>
      <c r="I44" s="18"/>
      <c r="J44" s="18"/>
      <c r="K44" s="18"/>
    </row>
    <row r="45" spans="2:11" ht="12.75" customHeight="1" x14ac:dyDescent="0.2">
      <c r="B45" s="18"/>
      <c r="C45" s="82"/>
      <c r="D45" s="18"/>
      <c r="E45" s="18"/>
      <c r="F45" s="18"/>
      <c r="G45" s="18"/>
      <c r="H45" s="18"/>
      <c r="I45" s="18"/>
      <c r="J45" s="18"/>
      <c r="K45" s="18"/>
    </row>
    <row r="46" spans="2:11" ht="12.75" customHeight="1" x14ac:dyDescent="0.2">
      <c r="B46" s="18"/>
      <c r="C46" s="82"/>
      <c r="D46" s="18"/>
      <c r="E46" s="18"/>
      <c r="F46" s="18"/>
      <c r="G46" s="18"/>
      <c r="H46" s="18"/>
      <c r="I46" s="18"/>
      <c r="J46" s="18"/>
      <c r="K46" s="18"/>
    </row>
    <row r="47" spans="2:11" ht="12.75" customHeight="1" x14ac:dyDescent="0.2">
      <c r="B47" s="18"/>
      <c r="C47" s="82"/>
      <c r="D47" s="18"/>
      <c r="E47" s="18"/>
      <c r="F47" s="18"/>
      <c r="G47" s="18"/>
      <c r="H47" s="18"/>
      <c r="I47" s="18"/>
      <c r="J47" s="18"/>
      <c r="K47" s="18"/>
    </row>
    <row r="48" spans="2:11" ht="12.75" customHeight="1" x14ac:dyDescent="0.2">
      <c r="B48" s="18"/>
      <c r="C48" s="82"/>
      <c r="D48" s="18"/>
      <c r="E48" s="18"/>
      <c r="F48" s="18"/>
      <c r="G48" s="18"/>
      <c r="H48" s="18"/>
      <c r="I48" s="18"/>
      <c r="J48" s="18"/>
      <c r="K48" s="18"/>
    </row>
    <row r="49" spans="2:11" ht="12.75" customHeight="1" x14ac:dyDescent="0.2">
      <c r="B49" s="18"/>
      <c r="C49" s="82"/>
      <c r="D49" s="18"/>
      <c r="E49" s="18"/>
      <c r="F49" s="18"/>
      <c r="G49" s="18"/>
      <c r="H49" s="18"/>
      <c r="I49" s="18"/>
      <c r="J49" s="18"/>
      <c r="K49" s="18"/>
    </row>
    <row r="50" spans="2:11" ht="12.75" customHeight="1" x14ac:dyDescent="0.2">
      <c r="B50" s="18"/>
      <c r="C50" s="82"/>
      <c r="D50" s="18"/>
      <c r="E50" s="18"/>
      <c r="F50" s="18"/>
      <c r="G50" s="18"/>
      <c r="H50" s="18"/>
      <c r="I50" s="18"/>
      <c r="J50" s="18"/>
      <c r="K50" s="18"/>
    </row>
    <row r="51" spans="2:11" ht="12.75" customHeight="1" x14ac:dyDescent="0.2">
      <c r="B51" s="18"/>
      <c r="C51" s="82"/>
      <c r="D51" s="18"/>
      <c r="E51" s="18"/>
      <c r="F51" s="18"/>
      <c r="G51" s="18"/>
      <c r="H51" s="18"/>
      <c r="I51" s="18"/>
      <c r="J51" s="18"/>
      <c r="K51" s="18"/>
    </row>
    <row r="52" spans="2:11" ht="12.75" customHeight="1" x14ac:dyDescent="0.2">
      <c r="B52" s="18"/>
      <c r="C52" s="82"/>
      <c r="D52" s="18"/>
      <c r="E52" s="18"/>
      <c r="F52" s="18"/>
      <c r="G52" s="18"/>
      <c r="H52" s="18"/>
      <c r="I52" s="18"/>
      <c r="J52" s="18"/>
      <c r="K52" s="18"/>
    </row>
    <row r="53" spans="2:11" ht="12.75" customHeight="1" x14ac:dyDescent="0.2">
      <c r="B53" s="18"/>
      <c r="C53" s="82"/>
      <c r="D53" s="18"/>
      <c r="E53" s="18"/>
      <c r="F53" s="18"/>
      <c r="G53" s="18"/>
      <c r="H53" s="18"/>
      <c r="I53" s="18"/>
      <c r="J53" s="18"/>
      <c r="K53" s="18"/>
    </row>
    <row r="54" spans="2:11" ht="12.75" customHeight="1" x14ac:dyDescent="0.2">
      <c r="B54" s="18"/>
      <c r="C54" s="82"/>
      <c r="D54" s="18"/>
      <c r="E54" s="18"/>
      <c r="F54" s="18"/>
      <c r="G54" s="18"/>
      <c r="H54" s="18"/>
      <c r="I54" s="18"/>
      <c r="J54" s="18"/>
      <c r="K54" s="18"/>
    </row>
    <row r="55" spans="2:11" ht="12.75" customHeight="1" x14ac:dyDescent="0.2">
      <c r="B55" s="18"/>
      <c r="C55" s="82"/>
      <c r="D55" s="18"/>
      <c r="E55" s="18"/>
      <c r="F55" s="18"/>
      <c r="G55" s="18"/>
      <c r="H55" s="18"/>
      <c r="I55" s="18"/>
      <c r="J55" s="18"/>
      <c r="K55" s="18"/>
    </row>
    <row r="56" spans="2:11" ht="12.75" customHeight="1" x14ac:dyDescent="0.2">
      <c r="B56" s="18"/>
      <c r="C56" s="82"/>
      <c r="D56" s="18"/>
      <c r="E56" s="18"/>
      <c r="F56" s="18"/>
      <c r="G56" s="18"/>
      <c r="H56" s="18"/>
      <c r="I56" s="18"/>
      <c r="J56" s="18"/>
      <c r="K56" s="18"/>
    </row>
    <row r="57" spans="2:11" ht="12.75" customHeight="1" x14ac:dyDescent="0.2">
      <c r="B57" s="18"/>
      <c r="C57" s="82"/>
      <c r="D57" s="18"/>
      <c r="E57" s="18"/>
      <c r="F57" s="18"/>
      <c r="G57" s="18"/>
      <c r="H57" s="18"/>
      <c r="I57" s="18"/>
      <c r="J57" s="18"/>
      <c r="K57" s="18"/>
    </row>
    <row r="58" spans="2:11" ht="12.75" customHeight="1" x14ac:dyDescent="0.2">
      <c r="B58" s="18"/>
      <c r="C58" s="82"/>
      <c r="D58" s="18"/>
      <c r="E58" s="18"/>
      <c r="F58" s="18"/>
      <c r="G58" s="18"/>
      <c r="H58" s="18"/>
      <c r="I58" s="18"/>
      <c r="J58" s="18"/>
      <c r="K58" s="18"/>
    </row>
    <row r="59" spans="2:11" ht="12.75" customHeight="1" x14ac:dyDescent="0.2">
      <c r="B59" s="18"/>
      <c r="C59" s="82"/>
      <c r="D59" s="18"/>
      <c r="E59" s="18"/>
      <c r="F59" s="18"/>
      <c r="G59" s="18"/>
      <c r="H59" s="18"/>
      <c r="I59" s="18"/>
      <c r="J59" s="18"/>
      <c r="K59" s="18"/>
    </row>
    <row r="60" spans="2:11" ht="12.75" customHeight="1" x14ac:dyDescent="0.2">
      <c r="B60" s="18"/>
      <c r="C60" s="82"/>
      <c r="D60" s="18"/>
      <c r="E60" s="18"/>
      <c r="F60" s="18"/>
      <c r="G60" s="18"/>
      <c r="H60" s="18"/>
      <c r="I60" s="18"/>
      <c r="J60" s="18"/>
      <c r="K60" s="18"/>
    </row>
    <row r="61" spans="2:11" ht="12.75" customHeight="1" x14ac:dyDescent="0.2">
      <c r="B61" s="18"/>
      <c r="C61" s="82"/>
      <c r="D61" s="18"/>
      <c r="E61" s="18"/>
      <c r="F61" s="18"/>
      <c r="G61" s="18"/>
      <c r="H61" s="18"/>
      <c r="I61" s="18"/>
      <c r="J61" s="18"/>
      <c r="K61" s="18"/>
    </row>
    <row r="62" spans="2:11" ht="12.75" customHeight="1" x14ac:dyDescent="0.2">
      <c r="B62" s="18"/>
      <c r="C62" s="82"/>
      <c r="D62" s="18"/>
      <c r="E62" s="18"/>
      <c r="F62" s="18"/>
      <c r="G62" s="18"/>
      <c r="H62" s="18"/>
      <c r="I62" s="18"/>
      <c r="J62" s="18"/>
      <c r="K62" s="18"/>
    </row>
    <row r="63" spans="2:11" ht="12.75" customHeight="1" x14ac:dyDescent="0.2">
      <c r="B63" s="18"/>
      <c r="C63" s="82"/>
      <c r="D63" s="18"/>
      <c r="E63" s="18"/>
      <c r="F63" s="18"/>
      <c r="G63" s="18"/>
      <c r="H63" s="18"/>
      <c r="I63" s="18"/>
      <c r="J63" s="18"/>
      <c r="K63" s="18"/>
    </row>
    <row r="64" spans="2:11" ht="12.75" customHeight="1" x14ac:dyDescent="0.2">
      <c r="B64" s="18"/>
      <c r="C64" s="82"/>
      <c r="D64" s="18"/>
      <c r="E64" s="18"/>
      <c r="F64" s="18"/>
      <c r="G64" s="18"/>
      <c r="H64" s="18"/>
      <c r="I64" s="18"/>
      <c r="J64" s="18"/>
      <c r="K64" s="18"/>
    </row>
    <row r="65" spans="2:11" ht="12.75" customHeight="1" x14ac:dyDescent="0.2">
      <c r="B65" s="18"/>
      <c r="C65" s="82"/>
      <c r="D65" s="18"/>
      <c r="E65" s="18"/>
      <c r="F65" s="18"/>
      <c r="G65" s="18"/>
      <c r="H65" s="18"/>
      <c r="I65" s="18"/>
      <c r="J65" s="18"/>
      <c r="K65" s="18"/>
    </row>
    <row r="66" spans="2:11" ht="12.75" customHeight="1" x14ac:dyDescent="0.2">
      <c r="B66" s="18"/>
      <c r="C66" s="82"/>
      <c r="D66" s="18"/>
      <c r="E66" s="18"/>
      <c r="F66" s="18"/>
      <c r="G66" s="18"/>
      <c r="H66" s="18"/>
      <c r="I66" s="18"/>
      <c r="J66" s="18"/>
      <c r="K66" s="18"/>
    </row>
    <row r="67" spans="2:11" ht="12.75" customHeight="1" x14ac:dyDescent="0.2">
      <c r="B67" s="18"/>
      <c r="C67" s="82"/>
      <c r="D67" s="18"/>
      <c r="E67" s="18"/>
      <c r="F67" s="18"/>
      <c r="G67" s="18"/>
      <c r="H67" s="18"/>
      <c r="I67" s="18"/>
      <c r="J67" s="18"/>
      <c r="K67" s="18"/>
    </row>
    <row r="68" spans="2:11" ht="12.75" customHeight="1" x14ac:dyDescent="0.2">
      <c r="B68" s="18"/>
      <c r="C68" s="82"/>
      <c r="D68" s="18"/>
      <c r="E68" s="18"/>
      <c r="F68" s="18"/>
      <c r="G68" s="18"/>
      <c r="H68" s="18"/>
      <c r="I68" s="18"/>
      <c r="J68" s="18"/>
      <c r="K68" s="18"/>
    </row>
    <row r="69" spans="2:11" ht="12.75" customHeight="1" x14ac:dyDescent="0.2">
      <c r="B69" s="18"/>
      <c r="C69" s="82"/>
      <c r="D69" s="18"/>
      <c r="E69" s="18"/>
      <c r="F69" s="18"/>
      <c r="G69" s="18"/>
      <c r="H69" s="18"/>
      <c r="I69" s="18"/>
      <c r="J69" s="18"/>
      <c r="K69" s="18"/>
    </row>
    <row r="70" spans="2:11" ht="12.75" customHeight="1" x14ac:dyDescent="0.2">
      <c r="B70" s="18"/>
      <c r="C70" s="82"/>
      <c r="D70" s="18"/>
      <c r="E70" s="18"/>
      <c r="F70" s="18"/>
      <c r="G70" s="18"/>
      <c r="H70" s="18"/>
      <c r="I70" s="18"/>
      <c r="J70" s="18"/>
      <c r="K70" s="18"/>
    </row>
    <row r="71" spans="2:11" ht="12.75" customHeight="1" x14ac:dyDescent="0.2">
      <c r="B71" s="18"/>
      <c r="C71" s="82"/>
      <c r="D71" s="18"/>
      <c r="E71" s="18"/>
      <c r="F71" s="18"/>
      <c r="G71" s="18"/>
      <c r="H71" s="18"/>
      <c r="I71" s="18"/>
      <c r="J71" s="18"/>
      <c r="K71" s="18"/>
    </row>
    <row r="72" spans="2:11" ht="12.75" customHeight="1" x14ac:dyDescent="0.2">
      <c r="B72" s="18"/>
      <c r="C72" s="82"/>
      <c r="D72" s="18"/>
      <c r="E72" s="18"/>
      <c r="F72" s="18"/>
      <c r="G72" s="18"/>
      <c r="H72" s="18"/>
      <c r="I72" s="18"/>
      <c r="J72" s="18"/>
      <c r="K72" s="18"/>
    </row>
    <row r="73" spans="2:11" ht="12.75" customHeight="1" x14ac:dyDescent="0.2">
      <c r="B73" s="18"/>
      <c r="C73" s="82"/>
      <c r="D73" s="18"/>
      <c r="E73" s="18"/>
      <c r="F73" s="18"/>
      <c r="G73" s="18"/>
      <c r="H73" s="18"/>
      <c r="I73" s="18"/>
      <c r="J73" s="18"/>
      <c r="K73" s="18"/>
    </row>
    <row r="74" spans="2:11" ht="12.75" customHeight="1" x14ac:dyDescent="0.2">
      <c r="B74" s="18"/>
      <c r="C74" s="82"/>
      <c r="D74" s="18"/>
      <c r="E74" s="18"/>
      <c r="F74" s="18"/>
      <c r="G74" s="18"/>
      <c r="H74" s="18"/>
      <c r="I74" s="18"/>
      <c r="J74" s="18"/>
      <c r="K74" s="18"/>
    </row>
    <row r="75" spans="2:11" ht="12.75" customHeight="1" x14ac:dyDescent="0.2">
      <c r="B75" s="18"/>
      <c r="C75" s="82"/>
      <c r="D75" s="18"/>
      <c r="E75" s="18"/>
      <c r="F75" s="18"/>
      <c r="G75" s="18"/>
      <c r="H75" s="18"/>
      <c r="I75" s="18"/>
      <c r="J75" s="18"/>
      <c r="K75" s="18"/>
    </row>
    <row r="76" spans="2:11" ht="12.75" customHeight="1" x14ac:dyDescent="0.2">
      <c r="B76" s="18"/>
      <c r="C76" s="82"/>
      <c r="D76" s="18"/>
      <c r="E76" s="18"/>
      <c r="F76" s="18"/>
      <c r="G76" s="18"/>
      <c r="H76" s="18"/>
      <c r="I76" s="18"/>
      <c r="J76" s="18"/>
      <c r="K76" s="18"/>
    </row>
    <row r="77" spans="2:11" ht="12.75" customHeight="1" x14ac:dyDescent="0.2">
      <c r="B77" s="18"/>
      <c r="C77" s="82"/>
      <c r="D77" s="18"/>
      <c r="E77" s="18"/>
      <c r="F77" s="18"/>
      <c r="G77" s="18"/>
      <c r="H77" s="18"/>
      <c r="I77" s="18"/>
      <c r="J77" s="18"/>
      <c r="K77" s="18"/>
    </row>
    <row r="78" spans="2:11" ht="12.75" customHeight="1" x14ac:dyDescent="0.2">
      <c r="B78" s="18"/>
      <c r="C78" s="82"/>
      <c r="D78" s="18"/>
      <c r="E78" s="18"/>
      <c r="F78" s="18"/>
      <c r="G78" s="18"/>
      <c r="H78" s="18"/>
      <c r="I78" s="18"/>
      <c r="J78" s="18"/>
      <c r="K78" s="18"/>
    </row>
    <row r="79" spans="2:11" ht="12.75" customHeight="1" x14ac:dyDescent="0.2">
      <c r="B79" s="18"/>
      <c r="C79" s="82"/>
      <c r="D79" s="18"/>
      <c r="E79" s="18"/>
      <c r="F79" s="18"/>
      <c r="G79" s="18"/>
      <c r="H79" s="18"/>
      <c r="I79" s="18"/>
      <c r="J79" s="18"/>
      <c r="K79" s="18"/>
    </row>
    <row r="80" spans="2:11" ht="12.75" customHeight="1" x14ac:dyDescent="0.2">
      <c r="B80" s="18"/>
      <c r="C80" s="82"/>
      <c r="D80" s="18"/>
      <c r="E80" s="18"/>
      <c r="F80" s="18"/>
      <c r="G80" s="18"/>
      <c r="H80" s="18"/>
      <c r="I80" s="18"/>
      <c r="J80" s="18"/>
      <c r="K80" s="18"/>
    </row>
    <row r="81" spans="2:11" ht="12.75" customHeight="1" x14ac:dyDescent="0.2">
      <c r="B81" s="18"/>
      <c r="C81" s="82"/>
      <c r="D81" s="18"/>
      <c r="E81" s="18"/>
      <c r="F81" s="18"/>
      <c r="G81" s="18"/>
      <c r="H81" s="18"/>
      <c r="I81" s="18"/>
      <c r="J81" s="18"/>
      <c r="K81" s="18"/>
    </row>
    <row r="82" spans="2:11" ht="12.75" customHeight="1" x14ac:dyDescent="0.2">
      <c r="B82" s="18"/>
      <c r="C82" s="82"/>
      <c r="D82" s="18"/>
      <c r="E82" s="18"/>
      <c r="F82" s="18"/>
      <c r="G82" s="18"/>
      <c r="H82" s="18"/>
      <c r="I82" s="18"/>
      <c r="J82" s="18"/>
      <c r="K82" s="18"/>
    </row>
    <row r="83" spans="2:11" ht="12.75" customHeight="1" x14ac:dyDescent="0.2">
      <c r="B83" s="18"/>
      <c r="C83" s="82"/>
      <c r="D83" s="18"/>
      <c r="E83" s="18"/>
      <c r="F83" s="18"/>
      <c r="G83" s="18"/>
      <c r="H83" s="18"/>
      <c r="I83" s="18"/>
      <c r="J83" s="18"/>
      <c r="K83" s="18"/>
    </row>
    <row r="84" spans="2:11" ht="12.75" customHeight="1" x14ac:dyDescent="0.2">
      <c r="B84" s="18"/>
      <c r="C84" s="82"/>
      <c r="D84" s="18"/>
      <c r="E84" s="18"/>
      <c r="F84" s="18"/>
      <c r="G84" s="18"/>
      <c r="H84" s="18"/>
      <c r="I84" s="18"/>
      <c r="J84" s="18"/>
      <c r="K84" s="18"/>
    </row>
    <row r="85" spans="2:11" ht="12.75" customHeight="1" x14ac:dyDescent="0.2">
      <c r="B85" s="18"/>
      <c r="C85" s="82"/>
      <c r="D85" s="18"/>
      <c r="E85" s="18"/>
      <c r="F85" s="18"/>
      <c r="G85" s="18"/>
      <c r="H85" s="18"/>
      <c r="I85" s="18"/>
      <c r="J85" s="18"/>
      <c r="K85" s="18"/>
    </row>
    <row r="86" spans="2:11" ht="12.75" customHeight="1" x14ac:dyDescent="0.2">
      <c r="B86" s="18"/>
      <c r="C86" s="82"/>
      <c r="D86" s="18"/>
      <c r="E86" s="18"/>
      <c r="F86" s="18"/>
      <c r="G86" s="18"/>
      <c r="H86" s="18"/>
      <c r="I86" s="18"/>
      <c r="J86" s="18"/>
      <c r="K86" s="18"/>
    </row>
    <row r="87" spans="2:11" ht="12.75" customHeight="1" x14ac:dyDescent="0.2">
      <c r="B87" s="18"/>
      <c r="C87" s="82"/>
      <c r="D87" s="18"/>
      <c r="E87" s="18"/>
      <c r="F87" s="18"/>
      <c r="G87" s="18"/>
      <c r="H87" s="18"/>
      <c r="I87" s="18"/>
      <c r="J87" s="18"/>
      <c r="K87" s="18"/>
    </row>
    <row r="88" spans="2:11" ht="12.75" customHeight="1" x14ac:dyDescent="0.2">
      <c r="B88" s="18"/>
      <c r="C88" s="82"/>
      <c r="D88" s="18"/>
      <c r="E88" s="18"/>
      <c r="F88" s="18"/>
      <c r="G88" s="18"/>
      <c r="H88" s="18"/>
      <c r="I88" s="18"/>
      <c r="J88" s="18"/>
      <c r="K88" s="18"/>
    </row>
    <row r="89" spans="2:11" ht="12.75" customHeight="1" x14ac:dyDescent="0.2">
      <c r="B89" s="18"/>
      <c r="C89" s="82"/>
      <c r="D89" s="18"/>
      <c r="E89" s="18"/>
      <c r="F89" s="18"/>
      <c r="G89" s="18"/>
      <c r="H89" s="18"/>
      <c r="I89" s="18"/>
      <c r="J89" s="18"/>
      <c r="K89" s="18"/>
    </row>
    <row r="90" spans="2:11" ht="12.75" customHeight="1" x14ac:dyDescent="0.2">
      <c r="B90" s="18"/>
      <c r="C90" s="82"/>
      <c r="D90" s="18"/>
      <c r="E90" s="18"/>
      <c r="F90" s="18"/>
      <c r="G90" s="18"/>
      <c r="H90" s="18"/>
      <c r="I90" s="18"/>
      <c r="J90" s="18"/>
      <c r="K90" s="18"/>
    </row>
    <row r="91" spans="2:11" ht="12.75" customHeight="1" x14ac:dyDescent="0.2">
      <c r="B91" s="18"/>
      <c r="C91" s="82"/>
      <c r="D91" s="18"/>
      <c r="E91" s="18"/>
      <c r="F91" s="18"/>
      <c r="G91" s="18"/>
      <c r="H91" s="18"/>
      <c r="I91" s="18"/>
      <c r="J91" s="18"/>
      <c r="K91" s="18"/>
    </row>
    <row r="92" spans="2:11" ht="12.75" customHeight="1" x14ac:dyDescent="0.2">
      <c r="B92" s="18"/>
      <c r="C92" s="82"/>
      <c r="D92" s="18"/>
      <c r="E92" s="18"/>
      <c r="F92" s="18"/>
      <c r="G92" s="18"/>
      <c r="H92" s="18"/>
      <c r="I92" s="18"/>
      <c r="J92" s="18"/>
      <c r="K92" s="18"/>
    </row>
    <row r="93" spans="2:11" ht="12.75" customHeight="1" x14ac:dyDescent="0.2">
      <c r="B93" s="18"/>
      <c r="C93" s="82"/>
      <c r="D93" s="18"/>
      <c r="E93" s="18"/>
      <c r="F93" s="18"/>
      <c r="G93" s="18"/>
      <c r="H93" s="18"/>
      <c r="I93" s="18"/>
      <c r="J93" s="18"/>
      <c r="K93" s="18"/>
    </row>
    <row r="94" spans="2:11" ht="12.75" customHeight="1" x14ac:dyDescent="0.2">
      <c r="B94" s="18"/>
      <c r="C94" s="82"/>
      <c r="D94" s="18"/>
      <c r="E94" s="18"/>
      <c r="F94" s="18"/>
      <c r="G94" s="18"/>
      <c r="H94" s="18"/>
      <c r="I94" s="18"/>
      <c r="J94" s="18"/>
      <c r="K94" s="18"/>
    </row>
    <row r="95" spans="2:11" ht="12.75" customHeight="1" x14ac:dyDescent="0.2">
      <c r="B95" s="18"/>
      <c r="C95" s="82"/>
      <c r="D95" s="18"/>
      <c r="E95" s="18"/>
      <c r="F95" s="18"/>
      <c r="G95" s="18"/>
      <c r="H95" s="18"/>
      <c r="I95" s="18"/>
      <c r="J95" s="18"/>
      <c r="K95" s="18"/>
    </row>
    <row r="96" spans="2:11" ht="12.75" customHeight="1" x14ac:dyDescent="0.2">
      <c r="B96" s="18"/>
      <c r="C96" s="82"/>
      <c r="D96" s="18"/>
      <c r="E96" s="18"/>
      <c r="F96" s="18"/>
      <c r="G96" s="18"/>
      <c r="H96" s="18"/>
      <c r="I96" s="18"/>
      <c r="J96" s="18"/>
      <c r="K96" s="18"/>
    </row>
    <row r="97" spans="2:11" ht="12.75" customHeight="1" x14ac:dyDescent="0.2">
      <c r="B97" s="18"/>
      <c r="C97" s="82"/>
      <c r="D97" s="18"/>
      <c r="E97" s="18"/>
      <c r="F97" s="18"/>
      <c r="G97" s="18"/>
      <c r="H97" s="18"/>
      <c r="I97" s="18"/>
      <c r="J97" s="18"/>
      <c r="K97" s="18"/>
    </row>
    <row r="98" spans="2:11" ht="12.75" customHeight="1" x14ac:dyDescent="0.2">
      <c r="B98" s="18"/>
      <c r="C98" s="82"/>
      <c r="D98" s="18"/>
      <c r="E98" s="18"/>
      <c r="F98" s="18"/>
      <c r="G98" s="18"/>
      <c r="H98" s="18"/>
      <c r="I98" s="18"/>
      <c r="J98" s="18"/>
      <c r="K98" s="18"/>
    </row>
    <row r="99" spans="2:11" ht="12.75" customHeight="1" x14ac:dyDescent="0.2">
      <c r="B99" s="18"/>
      <c r="C99" s="82"/>
      <c r="D99" s="18"/>
      <c r="E99" s="18"/>
      <c r="F99" s="18"/>
      <c r="G99" s="18"/>
      <c r="H99" s="18"/>
      <c r="I99" s="18"/>
      <c r="J99" s="18"/>
      <c r="K99" s="18"/>
    </row>
    <row r="100" spans="2:11" ht="12.75" customHeight="1" x14ac:dyDescent="0.2">
      <c r="B100" s="18"/>
      <c r="C100" s="82"/>
      <c r="D100" s="18"/>
      <c r="E100" s="18"/>
      <c r="F100" s="18"/>
      <c r="G100" s="18"/>
      <c r="H100" s="18"/>
      <c r="I100" s="18"/>
      <c r="J100" s="18"/>
      <c r="K100" s="18"/>
    </row>
    <row r="101" spans="2:11" ht="12.75" customHeight="1" x14ac:dyDescent="0.2">
      <c r="B101" s="18"/>
      <c r="C101" s="82"/>
      <c r="D101" s="18"/>
      <c r="E101" s="18"/>
      <c r="F101" s="18"/>
      <c r="G101" s="18"/>
      <c r="H101" s="18"/>
      <c r="I101" s="18"/>
      <c r="J101" s="18"/>
      <c r="K101" s="18"/>
    </row>
    <row r="102" spans="2:11" ht="12.75" customHeight="1" x14ac:dyDescent="0.2">
      <c r="B102" s="18"/>
      <c r="C102" s="82"/>
      <c r="D102" s="18"/>
      <c r="E102" s="18"/>
      <c r="F102" s="18"/>
      <c r="G102" s="18"/>
      <c r="H102" s="18"/>
      <c r="I102" s="18"/>
      <c r="J102" s="18"/>
      <c r="K102" s="18"/>
    </row>
    <row r="103" spans="2:11" ht="12.75" customHeight="1" x14ac:dyDescent="0.2">
      <c r="B103" s="18"/>
      <c r="C103" s="82"/>
      <c r="D103" s="18"/>
      <c r="E103" s="18"/>
      <c r="F103" s="18"/>
      <c r="G103" s="18"/>
      <c r="H103" s="18"/>
      <c r="I103" s="18"/>
      <c r="J103" s="18"/>
      <c r="K103" s="18"/>
    </row>
    <row r="104" spans="2:11" ht="12.75" customHeight="1" x14ac:dyDescent="0.2">
      <c r="B104" s="18"/>
      <c r="C104" s="82"/>
      <c r="D104" s="18"/>
      <c r="E104" s="18"/>
      <c r="F104" s="18"/>
      <c r="G104" s="18"/>
      <c r="H104" s="18"/>
      <c r="I104" s="18"/>
      <c r="J104" s="18"/>
      <c r="K104" s="18"/>
    </row>
    <row r="105" spans="2:11" ht="12.75" customHeight="1" x14ac:dyDescent="0.2">
      <c r="B105" s="18"/>
      <c r="C105" s="82"/>
      <c r="D105" s="18"/>
      <c r="E105" s="18"/>
      <c r="F105" s="18"/>
      <c r="G105" s="18"/>
      <c r="H105" s="18"/>
      <c r="I105" s="18"/>
      <c r="J105" s="18"/>
      <c r="K105" s="18"/>
    </row>
    <row r="106" spans="2:11" ht="12.75" customHeight="1" x14ac:dyDescent="0.2">
      <c r="B106" s="18"/>
      <c r="C106" s="82"/>
      <c r="D106" s="18"/>
      <c r="E106" s="18"/>
      <c r="F106" s="18"/>
      <c r="G106" s="18"/>
      <c r="H106" s="18"/>
      <c r="I106" s="18"/>
      <c r="J106" s="18"/>
      <c r="K106" s="18"/>
    </row>
    <row r="107" spans="2:11" ht="12.75" customHeight="1" x14ac:dyDescent="0.2">
      <c r="B107" s="18"/>
      <c r="C107" s="82"/>
      <c r="D107" s="18"/>
      <c r="E107" s="18"/>
      <c r="F107" s="18"/>
      <c r="G107" s="18"/>
      <c r="H107" s="18"/>
      <c r="I107" s="18"/>
      <c r="J107" s="18"/>
      <c r="K107" s="18"/>
    </row>
    <row r="108" spans="2:11" ht="12.75" customHeight="1" x14ac:dyDescent="0.2">
      <c r="B108" s="18"/>
      <c r="C108" s="82"/>
      <c r="D108" s="18"/>
      <c r="E108" s="18"/>
      <c r="F108" s="18"/>
      <c r="G108" s="18"/>
      <c r="H108" s="18"/>
      <c r="I108" s="18"/>
      <c r="J108" s="18"/>
      <c r="K108" s="18"/>
    </row>
    <row r="109" spans="2:11" ht="12.75" customHeight="1" x14ac:dyDescent="0.2">
      <c r="B109" s="18"/>
      <c r="C109" s="82"/>
      <c r="D109" s="18"/>
      <c r="E109" s="18"/>
      <c r="F109" s="18"/>
      <c r="G109" s="18"/>
      <c r="H109" s="18"/>
      <c r="I109" s="18"/>
      <c r="J109" s="18"/>
      <c r="K109" s="18"/>
    </row>
    <row r="110" spans="2:11" ht="12.75" customHeight="1" x14ac:dyDescent="0.2">
      <c r="B110" s="18"/>
      <c r="C110" s="82"/>
      <c r="D110" s="18"/>
      <c r="E110" s="18"/>
      <c r="F110" s="18"/>
      <c r="G110" s="18"/>
      <c r="H110" s="18"/>
      <c r="I110" s="18"/>
      <c r="J110" s="18"/>
      <c r="K110" s="18"/>
    </row>
    <row r="111" spans="2:11" ht="12.75" customHeight="1" x14ac:dyDescent="0.2">
      <c r="B111" s="18"/>
      <c r="C111" s="82"/>
      <c r="D111" s="18"/>
      <c r="E111" s="18"/>
      <c r="F111" s="18"/>
      <c r="G111" s="18"/>
      <c r="H111" s="18"/>
      <c r="I111" s="18"/>
      <c r="J111" s="18"/>
      <c r="K111" s="18"/>
    </row>
    <row r="112" spans="2:11" ht="12.75" customHeight="1" x14ac:dyDescent="0.2">
      <c r="B112" s="18"/>
      <c r="C112" s="82"/>
      <c r="D112" s="18"/>
      <c r="E112" s="18"/>
      <c r="F112" s="18"/>
      <c r="G112" s="18"/>
      <c r="H112" s="18"/>
      <c r="I112" s="18"/>
      <c r="J112" s="18"/>
      <c r="K112" s="18"/>
    </row>
    <row r="113" spans="2:11" ht="12.75" customHeight="1" x14ac:dyDescent="0.2">
      <c r="B113" s="18"/>
      <c r="C113" s="82"/>
      <c r="D113" s="18"/>
      <c r="E113" s="18"/>
      <c r="F113" s="18"/>
      <c r="G113" s="18"/>
      <c r="H113" s="18"/>
      <c r="I113" s="18"/>
      <c r="J113" s="18"/>
      <c r="K113" s="18"/>
    </row>
    <row r="114" spans="2:11" ht="12.75" customHeight="1" x14ac:dyDescent="0.2">
      <c r="B114" s="18"/>
      <c r="C114" s="82"/>
      <c r="D114" s="18"/>
      <c r="E114" s="18"/>
      <c r="F114" s="18"/>
      <c r="G114" s="18"/>
      <c r="H114" s="18"/>
      <c r="I114" s="18"/>
      <c r="J114" s="18"/>
      <c r="K114" s="18"/>
    </row>
    <row r="115" spans="2:11" ht="12.75" customHeight="1" x14ac:dyDescent="0.2">
      <c r="B115" s="18"/>
      <c r="C115" s="82"/>
      <c r="D115" s="18"/>
      <c r="E115" s="18"/>
      <c r="F115" s="18"/>
      <c r="G115" s="18"/>
      <c r="H115" s="18"/>
      <c r="I115" s="18"/>
      <c r="J115" s="18"/>
      <c r="K115" s="18"/>
    </row>
    <row r="116" spans="2:11" ht="12.75" customHeight="1" x14ac:dyDescent="0.2">
      <c r="B116" s="18"/>
      <c r="C116" s="82"/>
      <c r="D116" s="18"/>
      <c r="E116" s="18"/>
      <c r="F116" s="18"/>
      <c r="G116" s="18"/>
      <c r="H116" s="18"/>
      <c r="I116" s="18"/>
      <c r="J116" s="18"/>
      <c r="K116" s="18"/>
    </row>
    <row r="117" spans="2:11" ht="12.75" customHeight="1" x14ac:dyDescent="0.2">
      <c r="B117" s="18"/>
      <c r="C117" s="82"/>
      <c r="D117" s="18"/>
      <c r="E117" s="18"/>
      <c r="F117" s="18"/>
      <c r="G117" s="18"/>
      <c r="H117" s="18"/>
      <c r="I117" s="18"/>
      <c r="J117" s="18"/>
      <c r="K117" s="18"/>
    </row>
    <row r="118" spans="2:11" ht="12.75" customHeight="1" x14ac:dyDescent="0.2">
      <c r="B118" s="18"/>
      <c r="C118" s="82"/>
      <c r="D118" s="18"/>
      <c r="E118" s="18"/>
      <c r="F118" s="18"/>
      <c r="G118" s="18"/>
      <c r="H118" s="18"/>
      <c r="I118" s="18"/>
      <c r="J118" s="18"/>
      <c r="K118" s="18"/>
    </row>
    <row r="119" spans="2:11" ht="12.75" customHeight="1" x14ac:dyDescent="0.2">
      <c r="B119" s="18"/>
      <c r="C119" s="82"/>
      <c r="D119" s="18"/>
      <c r="E119" s="18"/>
      <c r="F119" s="18"/>
      <c r="G119" s="18"/>
      <c r="H119" s="18"/>
      <c r="I119" s="18"/>
      <c r="J119" s="18"/>
      <c r="K119" s="18"/>
    </row>
    <row r="120" spans="2:11" ht="12.75" customHeight="1" x14ac:dyDescent="0.2">
      <c r="B120" s="18"/>
      <c r="C120" s="82"/>
      <c r="D120" s="18"/>
      <c r="E120" s="18"/>
      <c r="F120" s="18"/>
      <c r="G120" s="18"/>
      <c r="H120" s="18"/>
      <c r="I120" s="18"/>
      <c r="J120" s="18"/>
      <c r="K120" s="18"/>
    </row>
    <row r="121" spans="2:11" ht="12.75" customHeight="1" x14ac:dyDescent="0.2">
      <c r="B121" s="18"/>
      <c r="C121" s="82"/>
      <c r="D121" s="18"/>
      <c r="E121" s="18"/>
      <c r="F121" s="18"/>
      <c r="G121" s="18"/>
      <c r="H121" s="18"/>
      <c r="I121" s="18"/>
      <c r="J121" s="18"/>
      <c r="K121" s="18"/>
    </row>
    <row r="122" spans="2:11" ht="12.75" customHeight="1" x14ac:dyDescent="0.2">
      <c r="B122" s="18"/>
      <c r="C122" s="82"/>
      <c r="D122" s="18"/>
      <c r="E122" s="18"/>
      <c r="F122" s="18"/>
      <c r="G122" s="18"/>
      <c r="H122" s="18"/>
      <c r="I122" s="18"/>
      <c r="J122" s="18"/>
      <c r="K122" s="18"/>
    </row>
    <row r="123" spans="2:11" ht="12.75" customHeight="1" x14ac:dyDescent="0.2">
      <c r="B123" s="18"/>
      <c r="C123" s="82"/>
      <c r="D123" s="18"/>
      <c r="E123" s="18"/>
      <c r="F123" s="18"/>
      <c r="G123" s="18"/>
      <c r="H123" s="18"/>
      <c r="I123" s="18"/>
      <c r="J123" s="18"/>
      <c r="K123" s="18"/>
    </row>
    <row r="124" spans="2:11" ht="12.75" customHeight="1" x14ac:dyDescent="0.2">
      <c r="B124" s="18"/>
      <c r="C124" s="82"/>
      <c r="D124" s="18"/>
      <c r="E124" s="18"/>
      <c r="F124" s="18"/>
      <c r="G124" s="18"/>
      <c r="H124" s="18"/>
      <c r="I124" s="18"/>
      <c r="J124" s="18"/>
      <c r="K124" s="18"/>
    </row>
    <row r="125" spans="2:11" ht="12.75" customHeight="1" x14ac:dyDescent="0.2">
      <c r="B125" s="18"/>
      <c r="C125" s="82"/>
      <c r="D125" s="18"/>
      <c r="E125" s="18"/>
      <c r="F125" s="18"/>
      <c r="G125" s="18"/>
      <c r="H125" s="18"/>
      <c r="I125" s="18"/>
      <c r="J125" s="18"/>
      <c r="K125" s="18"/>
    </row>
    <row r="126" spans="2:11" ht="12.75" customHeight="1" x14ac:dyDescent="0.2">
      <c r="B126" s="18"/>
      <c r="C126" s="82"/>
      <c r="D126" s="18"/>
      <c r="E126" s="18"/>
      <c r="F126" s="18"/>
      <c r="G126" s="18"/>
      <c r="H126" s="18"/>
      <c r="I126" s="18"/>
      <c r="J126" s="18"/>
      <c r="K126" s="18"/>
    </row>
    <row r="127" spans="2:11" ht="12.75" customHeight="1" x14ac:dyDescent="0.2">
      <c r="B127" s="18"/>
      <c r="C127" s="82"/>
      <c r="D127" s="18"/>
      <c r="E127" s="18"/>
      <c r="F127" s="18"/>
      <c r="G127" s="18"/>
      <c r="H127" s="18"/>
      <c r="I127" s="18"/>
      <c r="J127" s="18"/>
      <c r="K127" s="18"/>
    </row>
    <row r="128" spans="2:11" ht="12.75" customHeight="1" x14ac:dyDescent="0.2">
      <c r="B128" s="18"/>
      <c r="C128" s="82"/>
      <c r="D128" s="18"/>
      <c r="E128" s="18"/>
      <c r="F128" s="18"/>
      <c r="G128" s="18"/>
      <c r="H128" s="18"/>
      <c r="I128" s="18"/>
      <c r="J128" s="18"/>
      <c r="K128" s="18"/>
    </row>
    <row r="129" spans="2:11" ht="12.75" customHeight="1" x14ac:dyDescent="0.2">
      <c r="B129" s="18"/>
      <c r="C129" s="82"/>
      <c r="D129" s="18"/>
      <c r="E129" s="18"/>
      <c r="F129" s="18"/>
      <c r="G129" s="18"/>
      <c r="H129" s="18"/>
      <c r="I129" s="18"/>
      <c r="J129" s="18"/>
      <c r="K129" s="18"/>
    </row>
    <row r="130" spans="2:11" ht="12.75" customHeight="1" x14ac:dyDescent="0.2">
      <c r="B130" s="18"/>
      <c r="C130" s="82"/>
      <c r="D130" s="18"/>
      <c r="E130" s="18"/>
      <c r="F130" s="18"/>
      <c r="G130" s="18"/>
      <c r="H130" s="18"/>
      <c r="I130" s="18"/>
      <c r="J130" s="18"/>
      <c r="K130" s="18"/>
    </row>
    <row r="131" spans="2:11" ht="12.75" customHeight="1" x14ac:dyDescent="0.2">
      <c r="B131" s="18"/>
      <c r="C131" s="82"/>
      <c r="D131" s="18"/>
      <c r="E131" s="18"/>
      <c r="F131" s="18"/>
      <c r="G131" s="18"/>
      <c r="H131" s="18"/>
      <c r="I131" s="18"/>
      <c r="J131" s="18"/>
      <c r="K131" s="18"/>
    </row>
    <row r="132" spans="2:11" ht="12.75" customHeight="1" x14ac:dyDescent="0.2">
      <c r="B132" s="18"/>
      <c r="C132" s="82"/>
      <c r="D132" s="18"/>
      <c r="E132" s="18"/>
      <c r="F132" s="18"/>
      <c r="G132" s="18"/>
      <c r="H132" s="18"/>
      <c r="I132" s="18"/>
      <c r="J132" s="18"/>
      <c r="K132" s="18"/>
    </row>
    <row r="133" spans="2:11" ht="12.75" customHeight="1" x14ac:dyDescent="0.2">
      <c r="B133" s="18"/>
      <c r="C133" s="82"/>
      <c r="D133" s="18"/>
      <c r="E133" s="18"/>
      <c r="F133" s="18"/>
      <c r="G133" s="18"/>
      <c r="H133" s="18"/>
      <c r="I133" s="18"/>
      <c r="J133" s="18"/>
      <c r="K133" s="18"/>
    </row>
    <row r="134" spans="2:11" ht="12.75" customHeight="1" x14ac:dyDescent="0.2">
      <c r="B134" s="18"/>
      <c r="C134" s="82"/>
      <c r="D134" s="18"/>
      <c r="E134" s="18"/>
      <c r="F134" s="18"/>
      <c r="G134" s="18"/>
      <c r="H134" s="18"/>
      <c r="I134" s="18"/>
      <c r="J134" s="18"/>
      <c r="K134" s="18"/>
    </row>
    <row r="135" spans="2:11" ht="12.75" customHeight="1" x14ac:dyDescent="0.2">
      <c r="B135" s="18"/>
      <c r="C135" s="82"/>
      <c r="D135" s="18"/>
      <c r="E135" s="18"/>
      <c r="F135" s="18"/>
      <c r="G135" s="18"/>
      <c r="H135" s="18"/>
      <c r="I135" s="18"/>
      <c r="J135" s="18"/>
      <c r="K135" s="18"/>
    </row>
    <row r="136" spans="2:11" ht="12.75" customHeight="1" x14ac:dyDescent="0.2">
      <c r="B136" s="18"/>
      <c r="C136" s="82"/>
      <c r="D136" s="18"/>
      <c r="E136" s="18"/>
      <c r="F136" s="18"/>
      <c r="G136" s="18"/>
      <c r="H136" s="18"/>
      <c r="I136" s="18"/>
      <c r="J136" s="18"/>
      <c r="K136" s="18"/>
    </row>
    <row r="137" spans="2:11" ht="12.75" customHeight="1" x14ac:dyDescent="0.2">
      <c r="B137" s="18"/>
      <c r="C137" s="82"/>
      <c r="D137" s="18"/>
      <c r="E137" s="18"/>
      <c r="F137" s="18"/>
      <c r="G137" s="18"/>
      <c r="H137" s="18"/>
      <c r="I137" s="18"/>
      <c r="J137" s="18"/>
      <c r="K137" s="18"/>
    </row>
    <row r="138" spans="2:11" ht="12.75" customHeight="1" x14ac:dyDescent="0.2">
      <c r="B138" s="18"/>
      <c r="C138" s="82"/>
      <c r="D138" s="18"/>
      <c r="E138" s="18"/>
      <c r="F138" s="18"/>
      <c r="G138" s="18"/>
      <c r="H138" s="18"/>
      <c r="I138" s="18"/>
      <c r="J138" s="18"/>
      <c r="K138" s="18"/>
    </row>
    <row r="139" spans="2:11" ht="12.75" customHeight="1" x14ac:dyDescent="0.2">
      <c r="B139" s="18"/>
      <c r="C139" s="82"/>
      <c r="D139" s="18"/>
      <c r="E139" s="18"/>
      <c r="F139" s="18"/>
      <c r="G139" s="18"/>
      <c r="H139" s="18"/>
      <c r="I139" s="18"/>
      <c r="J139" s="18"/>
      <c r="K139" s="18"/>
    </row>
    <row r="140" spans="2:11" ht="12.75" customHeight="1" x14ac:dyDescent="0.2">
      <c r="B140" s="18"/>
      <c r="C140" s="82"/>
      <c r="D140" s="18"/>
      <c r="E140" s="18"/>
      <c r="F140" s="18"/>
      <c r="G140" s="18"/>
      <c r="H140" s="18"/>
      <c r="I140" s="18"/>
      <c r="J140" s="18"/>
      <c r="K140" s="18"/>
    </row>
    <row r="141" spans="2:11" ht="12.75" customHeight="1" x14ac:dyDescent="0.2">
      <c r="B141" s="18"/>
      <c r="C141" s="82"/>
      <c r="D141" s="18"/>
      <c r="E141" s="18"/>
      <c r="F141" s="18"/>
      <c r="G141" s="18"/>
      <c r="H141" s="18"/>
      <c r="I141" s="18"/>
      <c r="J141" s="18"/>
      <c r="K141" s="18"/>
    </row>
    <row r="142" spans="2:11" ht="12.75" customHeight="1" x14ac:dyDescent="0.2">
      <c r="B142" s="18"/>
      <c r="C142" s="82"/>
      <c r="D142" s="18"/>
      <c r="E142" s="18"/>
      <c r="F142" s="18"/>
      <c r="G142" s="18"/>
      <c r="H142" s="18"/>
      <c r="I142" s="18"/>
      <c r="J142" s="18"/>
      <c r="K142" s="18"/>
    </row>
    <row r="143" spans="2:11" ht="12.75" customHeight="1" x14ac:dyDescent="0.2">
      <c r="B143" s="18"/>
      <c r="C143" s="82"/>
      <c r="D143" s="18"/>
      <c r="E143" s="18"/>
      <c r="F143" s="18"/>
      <c r="G143" s="18"/>
      <c r="H143" s="18"/>
      <c r="I143" s="18"/>
      <c r="J143" s="18"/>
      <c r="K143" s="18"/>
    </row>
    <row r="144" spans="2:11" ht="12.75" customHeight="1" x14ac:dyDescent="0.2">
      <c r="B144" s="18"/>
      <c r="C144" s="82"/>
      <c r="D144" s="18"/>
      <c r="E144" s="18"/>
      <c r="F144" s="18"/>
      <c r="G144" s="18"/>
      <c r="H144" s="18"/>
      <c r="I144" s="18"/>
      <c r="J144" s="18"/>
      <c r="K144" s="18"/>
    </row>
    <row r="145" spans="2:11" ht="12.75" customHeight="1" x14ac:dyDescent="0.2">
      <c r="B145" s="18"/>
      <c r="C145" s="82"/>
      <c r="D145" s="18"/>
      <c r="E145" s="18"/>
      <c r="F145" s="18"/>
      <c r="G145" s="18"/>
      <c r="H145" s="18"/>
      <c r="I145" s="18"/>
      <c r="J145" s="18"/>
      <c r="K145" s="18"/>
    </row>
    <row r="146" spans="2:11" ht="12.75" customHeight="1" x14ac:dyDescent="0.2">
      <c r="B146" s="18"/>
      <c r="C146" s="82"/>
      <c r="D146" s="18"/>
      <c r="E146" s="18"/>
      <c r="F146" s="18"/>
      <c r="G146" s="18"/>
      <c r="H146" s="18"/>
      <c r="I146" s="18"/>
      <c r="J146" s="18"/>
      <c r="K146" s="18"/>
    </row>
    <row r="147" spans="2:11" ht="12.75" customHeight="1" x14ac:dyDescent="0.2">
      <c r="B147" s="18"/>
      <c r="C147" s="82"/>
      <c r="D147" s="18"/>
      <c r="E147" s="18"/>
      <c r="F147" s="18"/>
      <c r="G147" s="18"/>
      <c r="H147" s="18"/>
      <c r="I147" s="18"/>
      <c r="J147" s="18"/>
      <c r="K147" s="18"/>
    </row>
    <row r="148" spans="2:11" ht="12.75" customHeight="1" x14ac:dyDescent="0.2">
      <c r="B148" s="18"/>
      <c r="C148" s="82"/>
      <c r="D148" s="18"/>
      <c r="E148" s="18"/>
      <c r="F148" s="18"/>
      <c r="G148" s="18"/>
      <c r="H148" s="18"/>
      <c r="I148" s="18"/>
      <c r="J148" s="18"/>
      <c r="K148" s="18"/>
    </row>
    <row r="149" spans="2:11" ht="12.75" customHeight="1" x14ac:dyDescent="0.2">
      <c r="B149" s="18"/>
      <c r="C149" s="82"/>
      <c r="D149" s="18"/>
      <c r="E149" s="18"/>
      <c r="F149" s="18"/>
      <c r="G149" s="18"/>
      <c r="H149" s="18"/>
      <c r="I149" s="18"/>
      <c r="J149" s="18"/>
      <c r="K149" s="18"/>
    </row>
    <row r="150" spans="2:11" ht="12.75" customHeight="1" x14ac:dyDescent="0.2">
      <c r="B150" s="18"/>
      <c r="C150" s="82"/>
      <c r="D150" s="18"/>
      <c r="E150" s="18"/>
      <c r="F150" s="18"/>
      <c r="G150" s="18"/>
      <c r="H150" s="18"/>
      <c r="I150" s="18"/>
      <c r="J150" s="18"/>
      <c r="K150" s="18"/>
    </row>
    <row r="151" spans="2:11" ht="12.75" customHeight="1" x14ac:dyDescent="0.2">
      <c r="B151" s="18"/>
      <c r="C151" s="82"/>
      <c r="D151" s="18"/>
      <c r="E151" s="18"/>
      <c r="F151" s="18"/>
      <c r="G151" s="18"/>
      <c r="H151" s="18"/>
      <c r="I151" s="18"/>
      <c r="J151" s="18"/>
      <c r="K151" s="18"/>
    </row>
    <row r="152" spans="2:11" ht="12.75" customHeight="1" x14ac:dyDescent="0.2">
      <c r="B152" s="18"/>
      <c r="C152" s="82"/>
      <c r="D152" s="18"/>
      <c r="E152" s="18"/>
      <c r="F152" s="18"/>
      <c r="G152" s="18"/>
      <c r="H152" s="18"/>
      <c r="I152" s="18"/>
      <c r="J152" s="18"/>
      <c r="K152" s="18"/>
    </row>
    <row r="153" spans="2:11" ht="12.75" customHeight="1" x14ac:dyDescent="0.2">
      <c r="B153" s="18"/>
      <c r="C153" s="82"/>
      <c r="D153" s="18"/>
      <c r="E153" s="18"/>
      <c r="F153" s="18"/>
      <c r="G153" s="18"/>
      <c r="H153" s="18"/>
      <c r="I153" s="18"/>
      <c r="J153" s="18"/>
      <c r="K153" s="18"/>
    </row>
    <row r="154" spans="2:11" ht="12.75" customHeight="1" x14ac:dyDescent="0.2">
      <c r="B154" s="18"/>
      <c r="C154" s="82"/>
      <c r="D154" s="18"/>
      <c r="E154" s="18"/>
      <c r="F154" s="18"/>
      <c r="G154" s="18"/>
      <c r="H154" s="18"/>
      <c r="I154" s="18"/>
      <c r="J154" s="18"/>
      <c r="K154" s="18"/>
    </row>
    <row r="155" spans="2:11" ht="12.75" customHeight="1" x14ac:dyDescent="0.2">
      <c r="B155" s="18"/>
      <c r="C155" s="82"/>
      <c r="D155" s="18"/>
      <c r="E155" s="18"/>
      <c r="F155" s="18"/>
      <c r="G155" s="18"/>
      <c r="H155" s="18"/>
      <c r="I155" s="18"/>
      <c r="J155" s="18"/>
      <c r="K155" s="18"/>
    </row>
    <row r="156" spans="2:11" ht="12.75" customHeight="1" x14ac:dyDescent="0.2">
      <c r="B156" s="18"/>
      <c r="C156" s="82"/>
      <c r="D156" s="18"/>
      <c r="E156" s="18"/>
      <c r="F156" s="18"/>
      <c r="G156" s="18"/>
      <c r="H156" s="18"/>
      <c r="I156" s="18"/>
      <c r="J156" s="18"/>
      <c r="K156" s="18"/>
    </row>
    <row r="157" spans="2:11" ht="12.75" customHeight="1" x14ac:dyDescent="0.2">
      <c r="B157" s="18"/>
      <c r="C157" s="82"/>
      <c r="D157" s="18"/>
      <c r="E157" s="18"/>
      <c r="F157" s="18"/>
      <c r="G157" s="18"/>
      <c r="H157" s="18"/>
      <c r="I157" s="18"/>
      <c r="J157" s="18"/>
      <c r="K157" s="18"/>
    </row>
    <row r="158" spans="2:11" ht="12.75" customHeight="1" x14ac:dyDescent="0.2">
      <c r="B158" s="18"/>
      <c r="C158" s="82"/>
      <c r="D158" s="18"/>
      <c r="E158" s="18"/>
      <c r="F158" s="18"/>
      <c r="G158" s="18"/>
      <c r="H158" s="18"/>
      <c r="I158" s="18"/>
      <c r="J158" s="18"/>
      <c r="K158" s="18"/>
    </row>
    <row r="159" spans="2:11" ht="12.75" customHeight="1" x14ac:dyDescent="0.2">
      <c r="B159" s="18"/>
      <c r="C159" s="82"/>
      <c r="D159" s="18"/>
      <c r="E159" s="18"/>
      <c r="F159" s="18"/>
      <c r="G159" s="18"/>
      <c r="H159" s="18"/>
      <c r="I159" s="18"/>
      <c r="J159" s="18"/>
      <c r="K159" s="18"/>
    </row>
    <row r="160" spans="2:11" ht="12.75" customHeight="1" x14ac:dyDescent="0.2">
      <c r="B160" s="18"/>
      <c r="C160" s="82"/>
      <c r="D160" s="18"/>
      <c r="E160" s="18"/>
      <c r="F160" s="18"/>
      <c r="G160" s="18"/>
      <c r="H160" s="18"/>
      <c r="I160" s="18"/>
      <c r="J160" s="18"/>
      <c r="K160" s="18"/>
    </row>
    <row r="161" spans="2:11" ht="12.75" customHeight="1" x14ac:dyDescent="0.2">
      <c r="B161" s="18"/>
      <c r="C161" s="82"/>
      <c r="D161" s="18"/>
      <c r="E161" s="18"/>
      <c r="F161" s="18"/>
      <c r="G161" s="18"/>
      <c r="H161" s="18"/>
      <c r="I161" s="18"/>
      <c r="J161" s="18"/>
      <c r="K161" s="18"/>
    </row>
    <row r="162" spans="2:11" ht="12.75" customHeight="1" x14ac:dyDescent="0.2">
      <c r="B162" s="18"/>
      <c r="C162" s="82"/>
      <c r="D162" s="18"/>
      <c r="E162" s="18"/>
      <c r="F162" s="18"/>
      <c r="G162" s="18"/>
      <c r="H162" s="18"/>
      <c r="I162" s="18"/>
      <c r="J162" s="18"/>
      <c r="K162" s="18"/>
    </row>
    <row r="163" spans="2:11" ht="12.75" customHeight="1" x14ac:dyDescent="0.2">
      <c r="B163" s="18"/>
      <c r="C163" s="82"/>
      <c r="D163" s="18"/>
      <c r="E163" s="18"/>
      <c r="F163" s="18"/>
      <c r="G163" s="18"/>
      <c r="H163" s="18"/>
      <c r="I163" s="18"/>
      <c r="J163" s="18"/>
      <c r="K163" s="18"/>
    </row>
    <row r="164" spans="2:11" ht="12.75" customHeight="1" x14ac:dyDescent="0.2">
      <c r="B164" s="18"/>
      <c r="C164" s="82"/>
      <c r="D164" s="18"/>
      <c r="E164" s="18"/>
      <c r="F164" s="18"/>
      <c r="G164" s="18"/>
      <c r="H164" s="18"/>
      <c r="I164" s="18"/>
      <c r="J164" s="18"/>
      <c r="K164" s="18"/>
    </row>
    <row r="165" spans="2:11" ht="12.75" customHeight="1" x14ac:dyDescent="0.2">
      <c r="B165" s="18"/>
      <c r="C165" s="82"/>
      <c r="D165" s="18"/>
      <c r="E165" s="18"/>
      <c r="F165" s="18"/>
      <c r="G165" s="18"/>
      <c r="H165" s="18"/>
      <c r="I165" s="18"/>
      <c r="J165" s="18"/>
      <c r="K165" s="18"/>
    </row>
    <row r="166" spans="2:11" ht="12.75" customHeight="1" x14ac:dyDescent="0.2">
      <c r="B166" s="18"/>
      <c r="C166" s="82"/>
      <c r="D166" s="18"/>
      <c r="E166" s="18"/>
      <c r="F166" s="18"/>
      <c r="G166" s="18"/>
      <c r="H166" s="18"/>
      <c r="I166" s="18"/>
      <c r="J166" s="18"/>
      <c r="K166" s="18"/>
    </row>
    <row r="167" spans="2:11" ht="12.75" customHeight="1" x14ac:dyDescent="0.2">
      <c r="B167" s="18"/>
      <c r="C167" s="82"/>
      <c r="D167" s="18"/>
      <c r="E167" s="18"/>
      <c r="F167" s="18"/>
      <c r="G167" s="18"/>
      <c r="H167" s="18"/>
      <c r="I167" s="18"/>
      <c r="J167" s="18"/>
      <c r="K167" s="18"/>
    </row>
    <row r="168" spans="2:11" ht="12.75" customHeight="1" x14ac:dyDescent="0.2">
      <c r="B168" s="18"/>
      <c r="C168" s="82"/>
      <c r="D168" s="18"/>
      <c r="E168" s="18"/>
      <c r="F168" s="18"/>
      <c r="G168" s="18"/>
      <c r="H168" s="18"/>
      <c r="I168" s="18"/>
      <c r="J168" s="18"/>
      <c r="K168" s="18"/>
    </row>
    <row r="169" spans="2:11" ht="12.75" customHeight="1" x14ac:dyDescent="0.2">
      <c r="B169" s="18"/>
      <c r="C169" s="82"/>
      <c r="D169" s="18"/>
      <c r="E169" s="18"/>
      <c r="F169" s="18"/>
      <c r="G169" s="18"/>
      <c r="H169" s="18"/>
      <c r="I169" s="18"/>
      <c r="J169" s="18"/>
      <c r="K169" s="18"/>
    </row>
    <row r="170" spans="2:11" ht="12.75" customHeight="1" x14ac:dyDescent="0.2">
      <c r="B170" s="18"/>
      <c r="C170" s="82"/>
      <c r="D170" s="18"/>
      <c r="E170" s="18"/>
      <c r="F170" s="18"/>
      <c r="G170" s="18"/>
      <c r="H170" s="18"/>
      <c r="I170" s="18"/>
      <c r="J170" s="18"/>
      <c r="K170" s="18"/>
    </row>
    <row r="171" spans="2:11" ht="12.75" customHeight="1" x14ac:dyDescent="0.2">
      <c r="B171" s="18"/>
      <c r="C171" s="82"/>
      <c r="D171" s="18"/>
      <c r="E171" s="18"/>
      <c r="F171" s="18"/>
      <c r="G171" s="18"/>
      <c r="H171" s="18"/>
      <c r="I171" s="18"/>
      <c r="J171" s="18"/>
      <c r="K171" s="18"/>
    </row>
    <row r="172" spans="2:11" ht="12.75" customHeight="1" x14ac:dyDescent="0.2">
      <c r="B172" s="18"/>
      <c r="C172" s="82"/>
      <c r="D172" s="18"/>
      <c r="E172" s="18"/>
      <c r="F172" s="18"/>
      <c r="G172" s="18"/>
      <c r="H172" s="18"/>
      <c r="I172" s="18"/>
      <c r="J172" s="18"/>
      <c r="K172" s="18"/>
    </row>
    <row r="173" spans="2:11" ht="12.75" customHeight="1" x14ac:dyDescent="0.2">
      <c r="B173" s="18"/>
      <c r="C173" s="82"/>
      <c r="D173" s="18"/>
      <c r="E173" s="18"/>
      <c r="F173" s="18"/>
      <c r="G173" s="18"/>
      <c r="H173" s="18"/>
      <c r="I173" s="18"/>
      <c r="J173" s="18"/>
      <c r="K173" s="18"/>
    </row>
    <row r="174" spans="2:11" ht="12.75" customHeight="1" x14ac:dyDescent="0.2">
      <c r="B174" s="18"/>
      <c r="C174" s="82"/>
      <c r="D174" s="18"/>
      <c r="E174" s="18"/>
      <c r="F174" s="18"/>
      <c r="G174" s="18"/>
      <c r="H174" s="18"/>
      <c r="I174" s="18"/>
      <c r="J174" s="18"/>
      <c r="K174" s="18"/>
    </row>
    <row r="175" spans="2:11" ht="12.75" customHeight="1" x14ac:dyDescent="0.2">
      <c r="B175" s="18"/>
      <c r="C175" s="82"/>
      <c r="D175" s="18"/>
      <c r="E175" s="18"/>
      <c r="F175" s="18"/>
      <c r="G175" s="18"/>
      <c r="H175" s="18"/>
      <c r="I175" s="18"/>
      <c r="J175" s="18"/>
      <c r="K175" s="18"/>
    </row>
    <row r="176" spans="2:11" ht="12.75" customHeight="1" x14ac:dyDescent="0.2">
      <c r="B176" s="18"/>
      <c r="C176" s="82"/>
      <c r="D176" s="18"/>
      <c r="E176" s="18"/>
      <c r="F176" s="18"/>
      <c r="G176" s="18"/>
      <c r="H176" s="18"/>
      <c r="I176" s="18"/>
      <c r="J176" s="18"/>
      <c r="K176" s="18"/>
    </row>
    <row r="177" spans="2:11" ht="12.75" customHeight="1" x14ac:dyDescent="0.2">
      <c r="B177" s="18"/>
      <c r="C177" s="82"/>
      <c r="D177" s="18"/>
      <c r="E177" s="18"/>
      <c r="F177" s="18"/>
      <c r="G177" s="18"/>
      <c r="H177" s="18"/>
      <c r="I177" s="18"/>
      <c r="J177" s="18"/>
      <c r="K177" s="18"/>
    </row>
    <row r="178" spans="2:11" ht="12.75" customHeight="1" x14ac:dyDescent="0.2">
      <c r="B178" s="18"/>
      <c r="C178" s="82"/>
      <c r="D178" s="18"/>
      <c r="E178" s="18"/>
      <c r="F178" s="18"/>
      <c r="G178" s="18"/>
      <c r="H178" s="18"/>
      <c r="I178" s="18"/>
      <c r="J178" s="18"/>
      <c r="K178" s="18"/>
    </row>
    <row r="179" spans="2:11" ht="12.75" customHeight="1" x14ac:dyDescent="0.2">
      <c r="B179" s="18"/>
      <c r="C179" s="82"/>
      <c r="D179" s="18"/>
      <c r="E179" s="18"/>
      <c r="F179" s="18"/>
      <c r="G179" s="18"/>
      <c r="H179" s="18"/>
      <c r="I179" s="18"/>
      <c r="J179" s="18"/>
      <c r="K179" s="18"/>
    </row>
    <row r="180" spans="2:11" ht="12.75" customHeight="1" x14ac:dyDescent="0.2">
      <c r="B180" s="18"/>
      <c r="C180" s="82"/>
      <c r="D180" s="18"/>
      <c r="E180" s="18"/>
      <c r="F180" s="18"/>
      <c r="G180" s="18"/>
      <c r="H180" s="18"/>
      <c r="I180" s="18"/>
      <c r="J180" s="18"/>
      <c r="K180" s="18"/>
    </row>
    <row r="181" spans="2:11" ht="12.75" customHeight="1" x14ac:dyDescent="0.2">
      <c r="B181" s="18"/>
      <c r="C181" s="82"/>
      <c r="D181" s="18"/>
      <c r="E181" s="18"/>
      <c r="F181" s="18"/>
      <c r="G181" s="18"/>
      <c r="H181" s="18"/>
      <c r="I181" s="18"/>
      <c r="J181" s="18"/>
      <c r="K181" s="18"/>
    </row>
    <row r="182" spans="2:11" ht="12.75" customHeight="1" x14ac:dyDescent="0.2">
      <c r="B182" s="18"/>
      <c r="C182" s="82"/>
      <c r="D182" s="18"/>
      <c r="E182" s="18"/>
      <c r="F182" s="18"/>
      <c r="G182" s="18"/>
      <c r="H182" s="18"/>
      <c r="I182" s="18"/>
      <c r="J182" s="18"/>
      <c r="K182" s="18"/>
    </row>
    <row r="183" spans="2:11" ht="12.75" customHeight="1" x14ac:dyDescent="0.2">
      <c r="B183" s="18"/>
      <c r="C183" s="82"/>
      <c r="D183" s="18"/>
      <c r="E183" s="18"/>
      <c r="F183" s="18"/>
      <c r="G183" s="18"/>
      <c r="H183" s="18"/>
      <c r="I183" s="18"/>
      <c r="J183" s="18"/>
      <c r="K183" s="18"/>
    </row>
    <row r="184" spans="2:11" ht="12.75" customHeight="1" x14ac:dyDescent="0.2">
      <c r="B184" s="18"/>
      <c r="C184" s="82"/>
      <c r="D184" s="18"/>
      <c r="E184" s="18"/>
      <c r="F184" s="18"/>
      <c r="G184" s="18"/>
      <c r="H184" s="18"/>
      <c r="I184" s="18"/>
      <c r="J184" s="18"/>
      <c r="K184" s="18"/>
    </row>
    <row r="185" spans="2:11" ht="12.75" customHeight="1" x14ac:dyDescent="0.2">
      <c r="B185" s="18"/>
      <c r="C185" s="82"/>
      <c r="D185" s="18"/>
      <c r="E185" s="18"/>
      <c r="F185" s="18"/>
      <c r="G185" s="18"/>
      <c r="H185" s="18"/>
      <c r="I185" s="18"/>
      <c r="J185" s="18"/>
      <c r="K185" s="18"/>
    </row>
    <row r="186" spans="2:11" ht="12.75" customHeight="1" x14ac:dyDescent="0.2">
      <c r="B186" s="18"/>
      <c r="C186" s="82"/>
      <c r="D186" s="18"/>
      <c r="E186" s="18"/>
      <c r="F186" s="18"/>
      <c r="G186" s="18"/>
      <c r="H186" s="18"/>
      <c r="I186" s="18"/>
      <c r="J186" s="18"/>
      <c r="K186" s="18"/>
    </row>
    <row r="187" spans="2:11" ht="12.75" customHeight="1" x14ac:dyDescent="0.2">
      <c r="B187" s="18"/>
      <c r="C187" s="82"/>
      <c r="D187" s="18"/>
      <c r="E187" s="18"/>
      <c r="F187" s="18"/>
      <c r="G187" s="18"/>
      <c r="H187" s="18"/>
      <c r="I187" s="18"/>
      <c r="J187" s="18"/>
      <c r="K187" s="18"/>
    </row>
    <row r="188" spans="2:11" ht="12.75" customHeight="1" x14ac:dyDescent="0.2">
      <c r="B188" s="18"/>
      <c r="C188" s="82"/>
      <c r="D188" s="18"/>
      <c r="E188" s="18"/>
      <c r="F188" s="18"/>
      <c r="G188" s="18"/>
      <c r="H188" s="18"/>
      <c r="I188" s="18"/>
      <c r="J188" s="18"/>
      <c r="K188" s="18"/>
    </row>
    <row r="189" spans="2:11" ht="12.75" customHeight="1" x14ac:dyDescent="0.2">
      <c r="B189" s="18"/>
      <c r="C189" s="82"/>
      <c r="D189" s="18"/>
      <c r="E189" s="18"/>
      <c r="F189" s="18"/>
      <c r="G189" s="18"/>
      <c r="H189" s="18"/>
      <c r="I189" s="18"/>
      <c r="J189" s="18"/>
      <c r="K189" s="18"/>
    </row>
    <row r="190" spans="2:11" ht="12.75" customHeight="1" x14ac:dyDescent="0.2">
      <c r="B190" s="18"/>
      <c r="C190" s="82"/>
      <c r="D190" s="18"/>
      <c r="E190" s="18"/>
      <c r="F190" s="18"/>
      <c r="G190" s="18"/>
      <c r="H190" s="18"/>
      <c r="I190" s="18"/>
      <c r="J190" s="18"/>
      <c r="K190" s="18"/>
    </row>
    <row r="191" spans="2:11" ht="12.75" customHeight="1" x14ac:dyDescent="0.2">
      <c r="B191" s="18"/>
      <c r="C191" s="82"/>
      <c r="D191" s="18"/>
      <c r="E191" s="18"/>
      <c r="F191" s="18"/>
      <c r="G191" s="18"/>
      <c r="H191" s="18"/>
      <c r="I191" s="18"/>
      <c r="J191" s="18"/>
      <c r="K191" s="18"/>
    </row>
    <row r="192" spans="2:11" ht="12.75" customHeight="1" x14ac:dyDescent="0.2">
      <c r="B192" s="18"/>
      <c r="C192" s="82"/>
      <c r="D192" s="18"/>
      <c r="E192" s="18"/>
      <c r="F192" s="18"/>
      <c r="G192" s="18"/>
      <c r="H192" s="18"/>
      <c r="I192" s="18"/>
      <c r="J192" s="18"/>
      <c r="K192" s="18"/>
    </row>
    <row r="193" spans="2:11" ht="12.75" customHeight="1" x14ac:dyDescent="0.2">
      <c r="B193" s="18"/>
      <c r="C193" s="82"/>
      <c r="D193" s="18"/>
      <c r="E193" s="18"/>
      <c r="F193" s="18"/>
      <c r="G193" s="18"/>
      <c r="H193" s="18"/>
      <c r="I193" s="18"/>
      <c r="J193" s="18"/>
      <c r="K193" s="18"/>
    </row>
    <row r="194" spans="2:11" ht="12.75" customHeight="1" x14ac:dyDescent="0.2">
      <c r="B194" s="18"/>
      <c r="C194" s="82"/>
      <c r="D194" s="18"/>
      <c r="E194" s="18"/>
      <c r="F194" s="18"/>
      <c r="G194" s="18"/>
      <c r="H194" s="18"/>
      <c r="I194" s="18"/>
      <c r="J194" s="18"/>
      <c r="K194" s="18"/>
    </row>
    <row r="195" spans="2:11" ht="12.75" customHeight="1" x14ac:dyDescent="0.2">
      <c r="B195" s="18"/>
      <c r="C195" s="82"/>
      <c r="D195" s="18"/>
      <c r="E195" s="18"/>
      <c r="F195" s="18"/>
      <c r="G195" s="18"/>
      <c r="H195" s="18"/>
      <c r="I195" s="18"/>
      <c r="J195" s="18"/>
      <c r="K195" s="18"/>
    </row>
    <row r="196" spans="2:11" ht="12.75" customHeight="1" x14ac:dyDescent="0.2">
      <c r="B196" s="18"/>
      <c r="C196" s="82"/>
      <c r="D196" s="18"/>
      <c r="E196" s="18"/>
      <c r="F196" s="18"/>
      <c r="G196" s="18"/>
      <c r="H196" s="18"/>
      <c r="I196" s="18"/>
      <c r="J196" s="18"/>
      <c r="K196" s="18"/>
    </row>
    <row r="197" spans="2:11" ht="12.75" customHeight="1" x14ac:dyDescent="0.2">
      <c r="B197" s="18"/>
      <c r="C197" s="82"/>
      <c r="D197" s="18"/>
      <c r="E197" s="18"/>
      <c r="F197" s="18"/>
      <c r="G197" s="18"/>
      <c r="H197" s="18"/>
      <c r="I197" s="18"/>
      <c r="J197" s="18"/>
      <c r="K197" s="18"/>
    </row>
    <row r="198" spans="2:11" ht="12.75" customHeight="1" x14ac:dyDescent="0.2">
      <c r="B198" s="18"/>
      <c r="C198" s="82"/>
      <c r="D198" s="18"/>
      <c r="E198" s="18"/>
      <c r="F198" s="18"/>
      <c r="G198" s="18"/>
      <c r="H198" s="18"/>
      <c r="I198" s="18"/>
      <c r="J198" s="18"/>
      <c r="K198" s="18"/>
    </row>
    <row r="199" spans="2:11" ht="12.75" customHeight="1" x14ac:dyDescent="0.2">
      <c r="B199" s="18"/>
      <c r="C199" s="82"/>
      <c r="D199" s="18"/>
      <c r="E199" s="18"/>
      <c r="F199" s="18"/>
      <c r="G199" s="18"/>
      <c r="H199" s="18"/>
      <c r="I199" s="18"/>
      <c r="J199" s="18"/>
      <c r="K199" s="18"/>
    </row>
    <row r="200" spans="2:11" ht="12.75" customHeight="1" x14ac:dyDescent="0.2">
      <c r="B200" s="18"/>
      <c r="C200" s="82"/>
      <c r="D200" s="18"/>
      <c r="E200" s="18"/>
      <c r="F200" s="18"/>
      <c r="G200" s="18"/>
      <c r="H200" s="18"/>
      <c r="I200" s="18"/>
      <c r="J200" s="18"/>
      <c r="K200" s="18"/>
    </row>
    <row r="201" spans="2:11" ht="12.75" customHeight="1" x14ac:dyDescent="0.2">
      <c r="B201" s="18"/>
      <c r="C201" s="82"/>
      <c r="D201" s="18"/>
      <c r="E201" s="18"/>
      <c r="F201" s="18"/>
      <c r="G201" s="18"/>
      <c r="H201" s="18"/>
      <c r="I201" s="18"/>
      <c r="J201" s="18"/>
      <c r="K201" s="18"/>
    </row>
    <row r="202" spans="2:11" ht="12.75" customHeight="1" x14ac:dyDescent="0.2">
      <c r="B202" s="18"/>
      <c r="C202" s="82"/>
      <c r="D202" s="18"/>
      <c r="E202" s="18"/>
      <c r="F202" s="18"/>
      <c r="G202" s="18"/>
      <c r="H202" s="18"/>
      <c r="I202" s="18"/>
      <c r="J202" s="18"/>
      <c r="K202" s="18"/>
    </row>
    <row r="203" spans="2:11" ht="12.75" customHeight="1" x14ac:dyDescent="0.2">
      <c r="B203" s="18"/>
      <c r="C203" s="82"/>
      <c r="D203" s="18"/>
      <c r="E203" s="18"/>
      <c r="F203" s="18"/>
      <c r="G203" s="18"/>
      <c r="H203" s="18"/>
      <c r="I203" s="18"/>
      <c r="J203" s="18"/>
      <c r="K203" s="18"/>
    </row>
    <row r="204" spans="2:11" ht="12.75" customHeight="1" x14ac:dyDescent="0.2">
      <c r="B204" s="18"/>
      <c r="C204" s="82"/>
      <c r="D204" s="18"/>
      <c r="E204" s="18"/>
      <c r="F204" s="18"/>
      <c r="G204" s="18"/>
      <c r="H204" s="18"/>
      <c r="I204" s="18"/>
      <c r="J204" s="18"/>
      <c r="K204" s="18"/>
    </row>
    <row r="205" spans="2:11" ht="12.75" customHeight="1" x14ac:dyDescent="0.2">
      <c r="B205" s="18"/>
      <c r="C205" s="82"/>
      <c r="D205" s="18"/>
      <c r="E205" s="18"/>
      <c r="F205" s="18"/>
      <c r="G205" s="18"/>
      <c r="H205" s="18"/>
      <c r="I205" s="18"/>
      <c r="J205" s="18"/>
      <c r="K205" s="18"/>
    </row>
    <row r="206" spans="2:11" ht="12.75" customHeight="1" x14ac:dyDescent="0.2">
      <c r="B206" s="18"/>
      <c r="C206" s="82"/>
      <c r="D206" s="18"/>
      <c r="E206" s="18"/>
      <c r="F206" s="18"/>
      <c r="G206" s="18"/>
      <c r="H206" s="18"/>
      <c r="I206" s="18"/>
      <c r="J206" s="18"/>
      <c r="K206" s="18"/>
    </row>
    <row r="207" spans="2:11" ht="12.75" customHeight="1" x14ac:dyDescent="0.2">
      <c r="B207" s="18"/>
      <c r="C207" s="82"/>
      <c r="D207" s="18"/>
      <c r="E207" s="18"/>
      <c r="F207" s="18"/>
      <c r="G207" s="18"/>
      <c r="H207" s="18"/>
      <c r="I207" s="18"/>
      <c r="J207" s="18"/>
      <c r="K207" s="18"/>
    </row>
    <row r="208" spans="2:11" ht="12.75" customHeight="1" x14ac:dyDescent="0.2">
      <c r="B208" s="18"/>
      <c r="C208" s="82"/>
      <c r="D208" s="18"/>
      <c r="E208" s="18"/>
      <c r="F208" s="18"/>
      <c r="G208" s="18"/>
      <c r="H208" s="18"/>
      <c r="I208" s="18"/>
      <c r="J208" s="18"/>
      <c r="K208" s="18"/>
    </row>
    <row r="209" spans="2:11" ht="12.75" customHeight="1" x14ac:dyDescent="0.2">
      <c r="B209" s="18"/>
      <c r="C209" s="82"/>
      <c r="D209" s="18"/>
      <c r="E209" s="18"/>
      <c r="F209" s="18"/>
      <c r="G209" s="18"/>
      <c r="H209" s="18"/>
      <c r="I209" s="18"/>
      <c r="J209" s="18"/>
      <c r="K209" s="18"/>
    </row>
    <row r="210" spans="2:11" ht="12.75" customHeight="1" x14ac:dyDescent="0.2">
      <c r="B210" s="18"/>
      <c r="C210" s="82"/>
      <c r="D210" s="18"/>
      <c r="E210" s="18"/>
      <c r="F210" s="18"/>
      <c r="G210" s="18"/>
      <c r="H210" s="18"/>
      <c r="I210" s="18"/>
      <c r="J210" s="18"/>
      <c r="K210" s="18"/>
    </row>
    <row r="211" spans="2:11" ht="12.75" customHeight="1" x14ac:dyDescent="0.2">
      <c r="B211" s="18"/>
      <c r="C211" s="82"/>
      <c r="D211" s="18"/>
      <c r="E211" s="18"/>
      <c r="F211" s="18"/>
      <c r="G211" s="18"/>
      <c r="H211" s="18"/>
      <c r="I211" s="18"/>
      <c r="J211" s="18"/>
      <c r="K211" s="18"/>
    </row>
    <row r="212" spans="2:11" ht="12.75" customHeight="1" x14ac:dyDescent="0.2">
      <c r="B212" s="18"/>
      <c r="C212" s="82"/>
      <c r="D212" s="18"/>
      <c r="E212" s="18"/>
      <c r="F212" s="18"/>
      <c r="G212" s="18"/>
      <c r="H212" s="18"/>
      <c r="I212" s="18"/>
      <c r="J212" s="18"/>
      <c r="K212" s="18"/>
    </row>
    <row r="213" spans="2:11" ht="12.75" customHeight="1" x14ac:dyDescent="0.2">
      <c r="B213" s="18"/>
      <c r="C213" s="82"/>
      <c r="D213" s="18"/>
      <c r="E213" s="18"/>
      <c r="F213" s="18"/>
      <c r="G213" s="18"/>
      <c r="H213" s="18"/>
      <c r="I213" s="18"/>
      <c r="J213" s="18"/>
      <c r="K213" s="18"/>
    </row>
    <row r="214" spans="2:11" ht="12.75" customHeight="1" x14ac:dyDescent="0.2">
      <c r="B214" s="18"/>
      <c r="C214" s="82"/>
      <c r="D214" s="18"/>
      <c r="E214" s="18"/>
      <c r="F214" s="18"/>
      <c r="G214" s="18"/>
      <c r="H214" s="18"/>
      <c r="I214" s="18"/>
      <c r="J214" s="18"/>
      <c r="K214" s="18"/>
    </row>
    <row r="215" spans="2:11" ht="12.75" customHeight="1" x14ac:dyDescent="0.2">
      <c r="B215" s="18"/>
      <c r="C215" s="82"/>
      <c r="D215" s="18"/>
      <c r="E215" s="18"/>
      <c r="F215" s="18"/>
      <c r="G215" s="18"/>
      <c r="H215" s="18"/>
      <c r="I215" s="18"/>
      <c r="J215" s="18"/>
      <c r="K215" s="18"/>
    </row>
    <row r="216" spans="2:11" ht="12.75" customHeight="1" x14ac:dyDescent="0.2">
      <c r="B216" s="18"/>
      <c r="C216" s="82"/>
      <c r="D216" s="18"/>
      <c r="E216" s="18"/>
      <c r="F216" s="18"/>
      <c r="G216" s="18"/>
      <c r="H216" s="18"/>
      <c r="I216" s="18"/>
      <c r="J216" s="18"/>
      <c r="K216" s="18"/>
    </row>
    <row r="217" spans="2:11" ht="12.75" customHeight="1" x14ac:dyDescent="0.2">
      <c r="B217" s="18"/>
      <c r="C217" s="82"/>
      <c r="D217" s="18"/>
      <c r="E217" s="18"/>
      <c r="F217" s="18"/>
      <c r="G217" s="18"/>
      <c r="H217" s="18"/>
      <c r="I217" s="18"/>
      <c r="J217" s="18"/>
      <c r="K217" s="18"/>
    </row>
    <row r="218" spans="2:11" ht="12.75" customHeight="1" x14ac:dyDescent="0.2">
      <c r="B218" s="18"/>
      <c r="C218" s="82"/>
      <c r="D218" s="18"/>
      <c r="E218" s="18"/>
      <c r="F218" s="18"/>
      <c r="G218" s="18"/>
      <c r="H218" s="18"/>
      <c r="I218" s="18"/>
      <c r="J218" s="18"/>
      <c r="K218" s="18"/>
    </row>
    <row r="219" spans="2:11" ht="12.75" customHeight="1" x14ac:dyDescent="0.2">
      <c r="B219" s="18"/>
      <c r="C219" s="82"/>
      <c r="D219" s="18"/>
      <c r="E219" s="18"/>
      <c r="F219" s="18"/>
      <c r="G219" s="18"/>
      <c r="H219" s="18"/>
      <c r="I219" s="18"/>
      <c r="J219" s="18"/>
      <c r="K219" s="18"/>
    </row>
    <row r="220" spans="2:11" ht="12.75" customHeight="1" x14ac:dyDescent="0.2">
      <c r="B220" s="18"/>
      <c r="C220" s="82"/>
      <c r="D220" s="18"/>
      <c r="E220" s="18"/>
      <c r="F220" s="18"/>
      <c r="G220" s="18"/>
      <c r="H220" s="18"/>
      <c r="I220" s="18"/>
      <c r="J220" s="18"/>
      <c r="K220" s="18"/>
    </row>
    <row r="221" spans="2:11" ht="12.75" customHeight="1" x14ac:dyDescent="0.2">
      <c r="B221" s="18"/>
      <c r="C221" s="82"/>
      <c r="D221" s="18"/>
      <c r="E221" s="18"/>
      <c r="F221" s="18"/>
      <c r="G221" s="18"/>
      <c r="H221" s="18"/>
      <c r="I221" s="18"/>
      <c r="J221" s="18"/>
      <c r="K221" s="18"/>
    </row>
    <row r="222" spans="2:11" ht="12.75" customHeight="1" x14ac:dyDescent="0.2">
      <c r="B222" s="18"/>
      <c r="C222" s="82"/>
      <c r="D222" s="18"/>
      <c r="E222" s="18"/>
      <c r="F222" s="18"/>
      <c r="G222" s="18"/>
      <c r="H222" s="18"/>
      <c r="I222" s="18"/>
      <c r="J222" s="18"/>
      <c r="K222" s="18"/>
    </row>
    <row r="223" spans="2:11" ht="12.75" customHeight="1" x14ac:dyDescent="0.2">
      <c r="B223" s="18"/>
      <c r="C223" s="82"/>
      <c r="D223" s="18"/>
      <c r="E223" s="18"/>
      <c r="F223" s="18"/>
      <c r="G223" s="18"/>
      <c r="H223" s="18"/>
      <c r="I223" s="18"/>
      <c r="J223" s="18"/>
      <c r="K223" s="18"/>
    </row>
    <row r="224" spans="2:11" ht="12.75" customHeight="1" x14ac:dyDescent="0.2">
      <c r="B224" s="18"/>
      <c r="C224" s="82"/>
      <c r="D224" s="18"/>
      <c r="E224" s="18"/>
      <c r="F224" s="18"/>
      <c r="G224" s="18"/>
      <c r="H224" s="18"/>
      <c r="I224" s="18"/>
      <c r="J224" s="18"/>
      <c r="K224" s="18"/>
    </row>
    <row r="225" spans="2:11" ht="12.75" customHeight="1" x14ac:dyDescent="0.2">
      <c r="B225" s="18"/>
      <c r="C225" s="82"/>
      <c r="D225" s="18"/>
      <c r="E225" s="18"/>
      <c r="F225" s="18"/>
      <c r="G225" s="18"/>
      <c r="H225" s="18"/>
      <c r="I225" s="18"/>
      <c r="J225" s="18"/>
      <c r="K225" s="18"/>
    </row>
    <row r="226" spans="2:11" ht="12.75" customHeight="1" x14ac:dyDescent="0.2">
      <c r="B226" s="18"/>
      <c r="C226" s="82"/>
      <c r="D226" s="18"/>
      <c r="E226" s="18"/>
      <c r="F226" s="18"/>
      <c r="G226" s="18"/>
      <c r="H226" s="18"/>
      <c r="I226" s="18"/>
      <c r="J226" s="18"/>
      <c r="K226" s="18"/>
    </row>
    <row r="227" spans="2:11" ht="12.75" customHeight="1" x14ac:dyDescent="0.2">
      <c r="B227" s="18"/>
      <c r="C227" s="82"/>
      <c r="D227" s="18"/>
      <c r="E227" s="18"/>
      <c r="F227" s="18"/>
      <c r="G227" s="18"/>
      <c r="H227" s="18"/>
      <c r="I227" s="18"/>
      <c r="J227" s="18"/>
      <c r="K227" s="18"/>
    </row>
    <row r="228" spans="2:11" ht="12.75" customHeight="1" x14ac:dyDescent="0.2">
      <c r="B228" s="18"/>
      <c r="C228" s="82"/>
      <c r="D228" s="18"/>
      <c r="E228" s="18"/>
      <c r="F228" s="18"/>
      <c r="G228" s="18"/>
      <c r="H228" s="18"/>
      <c r="I228" s="18"/>
      <c r="J228" s="18"/>
      <c r="K228" s="18"/>
    </row>
    <row r="229" spans="2:11" ht="12.75" customHeight="1" x14ac:dyDescent="0.2">
      <c r="B229" s="18"/>
      <c r="C229" s="82"/>
      <c r="D229" s="18"/>
      <c r="E229" s="18"/>
      <c r="F229" s="18"/>
      <c r="G229" s="18"/>
      <c r="H229" s="18"/>
      <c r="I229" s="18"/>
      <c r="J229" s="18"/>
      <c r="K229" s="18"/>
    </row>
    <row r="230" spans="2:11" ht="12.75" customHeight="1" x14ac:dyDescent="0.2">
      <c r="B230" s="18"/>
      <c r="C230" s="82"/>
      <c r="D230" s="18"/>
      <c r="E230" s="18"/>
      <c r="F230" s="18"/>
      <c r="G230" s="18"/>
      <c r="H230" s="18"/>
      <c r="I230" s="18"/>
      <c r="J230" s="18"/>
      <c r="K230" s="18"/>
    </row>
    <row r="231" spans="2:11" ht="12.75" customHeight="1" x14ac:dyDescent="0.2">
      <c r="B231" s="18"/>
      <c r="C231" s="82"/>
      <c r="D231" s="18"/>
      <c r="E231" s="18"/>
      <c r="F231" s="18"/>
      <c r="G231" s="18"/>
      <c r="H231" s="18"/>
      <c r="I231" s="18"/>
      <c r="J231" s="18"/>
      <c r="K231" s="18"/>
    </row>
    <row r="232" spans="2:11" ht="12.75" customHeight="1" x14ac:dyDescent="0.2">
      <c r="B232" s="18"/>
      <c r="C232" s="82"/>
      <c r="D232" s="18"/>
      <c r="E232" s="18"/>
      <c r="F232" s="18"/>
      <c r="G232" s="18"/>
      <c r="H232" s="18"/>
      <c r="I232" s="18"/>
      <c r="J232" s="18"/>
      <c r="K232" s="18"/>
    </row>
    <row r="233" spans="2:11" ht="12.75" customHeight="1" x14ac:dyDescent="0.2">
      <c r="B233" s="18"/>
      <c r="C233" s="82"/>
      <c r="D233" s="18"/>
      <c r="E233" s="18"/>
      <c r="F233" s="18"/>
      <c r="G233" s="18"/>
      <c r="H233" s="18"/>
      <c r="I233" s="18"/>
      <c r="J233" s="18"/>
      <c r="K233" s="18"/>
    </row>
    <row r="234" spans="2:11" ht="12.75" customHeight="1" x14ac:dyDescent="0.2">
      <c r="B234" s="18"/>
      <c r="C234" s="82"/>
      <c r="D234" s="18"/>
      <c r="E234" s="18"/>
      <c r="F234" s="18"/>
      <c r="G234" s="18"/>
      <c r="H234" s="18"/>
      <c r="I234" s="18"/>
      <c r="J234" s="18"/>
      <c r="K234" s="18"/>
    </row>
    <row r="235" spans="2:11" ht="12.75" customHeight="1" x14ac:dyDescent="0.2">
      <c r="B235" s="18"/>
      <c r="C235" s="82"/>
      <c r="D235" s="18"/>
      <c r="E235" s="18"/>
      <c r="F235" s="18"/>
      <c r="G235" s="18"/>
      <c r="H235" s="18"/>
      <c r="I235" s="18"/>
      <c r="J235" s="18"/>
      <c r="K235" s="18"/>
    </row>
    <row r="236" spans="2:11" ht="12.75" customHeight="1" x14ac:dyDescent="0.2">
      <c r="B236" s="18"/>
      <c r="C236" s="82"/>
      <c r="D236" s="18"/>
      <c r="E236" s="18"/>
      <c r="F236" s="18"/>
      <c r="G236" s="18"/>
      <c r="H236" s="18"/>
      <c r="I236" s="18"/>
      <c r="J236" s="18"/>
      <c r="K236" s="18"/>
    </row>
    <row r="237" spans="2:11" ht="12.75" customHeight="1" x14ac:dyDescent="0.2">
      <c r="B237" s="18"/>
      <c r="C237" s="82"/>
      <c r="D237" s="18"/>
      <c r="E237" s="18"/>
      <c r="F237" s="18"/>
      <c r="G237" s="18"/>
      <c r="H237" s="18"/>
      <c r="I237" s="18"/>
      <c r="J237" s="18"/>
      <c r="K237" s="18"/>
    </row>
    <row r="238" spans="2:11" ht="12.75" customHeight="1" x14ac:dyDescent="0.2">
      <c r="B238" s="18"/>
      <c r="C238" s="82"/>
      <c r="D238" s="18"/>
      <c r="E238" s="18"/>
      <c r="F238" s="18"/>
      <c r="G238" s="18"/>
      <c r="H238" s="18"/>
      <c r="I238" s="18"/>
      <c r="J238" s="18"/>
      <c r="K238" s="18"/>
    </row>
    <row r="239" spans="2:11" ht="12.75" customHeight="1" x14ac:dyDescent="0.2">
      <c r="B239" s="18"/>
      <c r="C239" s="82"/>
      <c r="D239" s="18"/>
      <c r="E239" s="18"/>
      <c r="F239" s="18"/>
      <c r="G239" s="18"/>
      <c r="H239" s="18"/>
      <c r="I239" s="18"/>
      <c r="J239" s="18"/>
      <c r="K239" s="18"/>
    </row>
    <row r="240" spans="2:11" ht="12.75" customHeight="1" x14ac:dyDescent="0.2">
      <c r="B240" s="18"/>
      <c r="C240" s="82"/>
      <c r="D240" s="18"/>
      <c r="E240" s="18"/>
      <c r="F240" s="18"/>
      <c r="G240" s="18"/>
      <c r="H240" s="18"/>
      <c r="I240" s="18"/>
      <c r="J240" s="18"/>
      <c r="K240" s="18"/>
    </row>
    <row r="241" spans="2:11" ht="12.75" customHeight="1" x14ac:dyDescent="0.2">
      <c r="B241" s="18"/>
      <c r="C241" s="82"/>
      <c r="D241" s="18"/>
      <c r="E241" s="18"/>
      <c r="F241" s="18"/>
      <c r="G241" s="18"/>
      <c r="H241" s="18"/>
      <c r="I241" s="18"/>
      <c r="J241" s="18"/>
      <c r="K241" s="18"/>
    </row>
    <row r="242" spans="2:11" ht="12.75" customHeight="1" x14ac:dyDescent="0.2">
      <c r="B242" s="18"/>
      <c r="C242" s="82"/>
      <c r="D242" s="18"/>
      <c r="E242" s="18"/>
      <c r="F242" s="18"/>
      <c r="G242" s="18"/>
      <c r="H242" s="18"/>
      <c r="I242" s="18"/>
      <c r="J242" s="18"/>
      <c r="K242" s="18"/>
    </row>
    <row r="243" spans="2:11" ht="12.75" customHeight="1" x14ac:dyDescent="0.2">
      <c r="B243" s="18"/>
      <c r="C243" s="82"/>
      <c r="D243" s="18"/>
      <c r="E243" s="18"/>
      <c r="F243" s="18"/>
      <c r="G243" s="18"/>
      <c r="H243" s="18"/>
      <c r="I243" s="18"/>
      <c r="J243" s="18"/>
      <c r="K243" s="18"/>
    </row>
    <row r="244" spans="2:11" ht="12.75" customHeight="1" x14ac:dyDescent="0.2">
      <c r="B244" s="18"/>
      <c r="C244" s="82"/>
      <c r="D244" s="18"/>
      <c r="E244" s="18"/>
      <c r="F244" s="18"/>
      <c r="G244" s="18"/>
      <c r="H244" s="18"/>
      <c r="I244" s="18"/>
      <c r="J244" s="18"/>
      <c r="K244" s="18"/>
    </row>
    <row r="245" spans="2:11" ht="12.75" customHeight="1" x14ac:dyDescent="0.2">
      <c r="B245" s="18"/>
      <c r="C245" s="82"/>
      <c r="D245" s="18"/>
      <c r="E245" s="18"/>
      <c r="F245" s="18"/>
      <c r="G245" s="18"/>
      <c r="H245" s="18"/>
      <c r="I245" s="18"/>
      <c r="J245" s="18"/>
      <c r="K245" s="18"/>
    </row>
    <row r="246" spans="2:11" ht="12.75" customHeight="1" x14ac:dyDescent="0.2">
      <c r="B246" s="18"/>
      <c r="C246" s="82"/>
      <c r="D246" s="18"/>
      <c r="E246" s="18"/>
      <c r="F246" s="18"/>
      <c r="G246" s="18"/>
      <c r="H246" s="18"/>
      <c r="I246" s="18"/>
      <c r="J246" s="18"/>
      <c r="K246" s="18"/>
    </row>
    <row r="247" spans="2:11" ht="12.75" customHeight="1" x14ac:dyDescent="0.2">
      <c r="B247" s="18"/>
      <c r="C247" s="82"/>
      <c r="D247" s="18"/>
      <c r="E247" s="18"/>
      <c r="F247" s="18"/>
      <c r="G247" s="18"/>
      <c r="H247" s="18"/>
      <c r="I247" s="18"/>
      <c r="J247" s="18"/>
      <c r="K247" s="18"/>
    </row>
    <row r="248" spans="2:11" ht="12.75" customHeight="1" x14ac:dyDescent="0.2">
      <c r="B248" s="18"/>
      <c r="C248" s="82"/>
      <c r="D248" s="18"/>
      <c r="E248" s="18"/>
      <c r="F248" s="18"/>
      <c r="G248" s="18"/>
      <c r="H248" s="18"/>
      <c r="I248" s="18"/>
      <c r="J248" s="18"/>
      <c r="K248" s="18"/>
    </row>
    <row r="249" spans="2:11" ht="12.75" customHeight="1" x14ac:dyDescent="0.2">
      <c r="B249" s="18"/>
      <c r="C249" s="82"/>
      <c r="D249" s="18"/>
      <c r="E249" s="18"/>
      <c r="F249" s="18"/>
      <c r="G249" s="18"/>
      <c r="H249" s="18"/>
      <c r="I249" s="18"/>
      <c r="J249" s="18"/>
      <c r="K249" s="18"/>
    </row>
    <row r="250" spans="2:11" ht="12.75" customHeight="1" x14ac:dyDescent="0.2">
      <c r="B250" s="18"/>
      <c r="C250" s="82"/>
      <c r="D250" s="18"/>
      <c r="E250" s="18"/>
      <c r="F250" s="18"/>
      <c r="G250" s="18"/>
      <c r="H250" s="18"/>
      <c r="I250" s="18"/>
      <c r="J250" s="18"/>
      <c r="K250" s="18"/>
    </row>
    <row r="251" spans="2:11" ht="12.75" customHeight="1" x14ac:dyDescent="0.2">
      <c r="B251" s="18"/>
      <c r="C251" s="82"/>
      <c r="D251" s="18"/>
      <c r="E251" s="18"/>
      <c r="F251" s="18"/>
      <c r="G251" s="18"/>
      <c r="H251" s="18"/>
      <c r="I251" s="18"/>
      <c r="J251" s="18"/>
      <c r="K251" s="18"/>
    </row>
    <row r="252" spans="2:11" ht="12.75" customHeight="1" x14ac:dyDescent="0.2">
      <c r="B252" s="18"/>
      <c r="C252" s="82"/>
      <c r="D252" s="18"/>
      <c r="E252" s="18"/>
      <c r="F252" s="18"/>
      <c r="G252" s="18"/>
      <c r="H252" s="18"/>
      <c r="I252" s="18"/>
      <c r="J252" s="18"/>
      <c r="K252" s="18"/>
    </row>
    <row r="253" spans="2:11" ht="12.75" customHeight="1" x14ac:dyDescent="0.2">
      <c r="B253" s="18"/>
      <c r="C253" s="82"/>
      <c r="D253" s="18"/>
      <c r="E253" s="18"/>
      <c r="F253" s="18"/>
      <c r="G253" s="18"/>
      <c r="H253" s="18"/>
      <c r="I253" s="18"/>
      <c r="J253" s="18"/>
      <c r="K253" s="18"/>
    </row>
    <row r="254" spans="2:11" ht="12.75" customHeight="1" x14ac:dyDescent="0.2">
      <c r="B254" s="18"/>
      <c r="C254" s="82"/>
      <c r="D254" s="18"/>
      <c r="E254" s="18"/>
      <c r="F254" s="18"/>
      <c r="G254" s="18"/>
      <c r="H254" s="18"/>
      <c r="I254" s="18"/>
      <c r="J254" s="18"/>
      <c r="K254" s="18"/>
    </row>
    <row r="255" spans="2:11" ht="12.75" customHeight="1" x14ac:dyDescent="0.2">
      <c r="B255" s="18"/>
      <c r="C255" s="82"/>
      <c r="D255" s="18"/>
      <c r="E255" s="18"/>
      <c r="F255" s="18"/>
      <c r="G255" s="18"/>
      <c r="H255" s="18"/>
      <c r="I255" s="18"/>
      <c r="J255" s="18"/>
      <c r="K255" s="18"/>
    </row>
    <row r="256" spans="2:11" ht="12.75" customHeight="1" x14ac:dyDescent="0.2">
      <c r="B256" s="18"/>
      <c r="C256" s="82"/>
      <c r="D256" s="18"/>
      <c r="E256" s="18"/>
      <c r="F256" s="18"/>
      <c r="G256" s="18"/>
      <c r="H256" s="18"/>
      <c r="I256" s="18"/>
      <c r="J256" s="18"/>
      <c r="K256" s="18"/>
    </row>
    <row r="257" spans="2:11" ht="12.75" customHeight="1" x14ac:dyDescent="0.2">
      <c r="B257" s="18"/>
      <c r="C257" s="82"/>
      <c r="D257" s="18"/>
      <c r="E257" s="18"/>
      <c r="F257" s="18"/>
      <c r="G257" s="18"/>
      <c r="H257" s="18"/>
      <c r="I257" s="18"/>
      <c r="J257" s="18"/>
      <c r="K257" s="18"/>
    </row>
    <row r="258" spans="2:11" ht="12.75" customHeight="1" x14ac:dyDescent="0.2">
      <c r="B258" s="18"/>
      <c r="C258" s="82"/>
      <c r="D258" s="18"/>
      <c r="E258" s="18"/>
      <c r="F258" s="18"/>
      <c r="G258" s="18"/>
      <c r="H258" s="18"/>
      <c r="I258" s="18"/>
      <c r="J258" s="18"/>
      <c r="K258" s="18"/>
    </row>
    <row r="259" spans="2:11" ht="12.75" customHeight="1" x14ac:dyDescent="0.2">
      <c r="B259" s="18"/>
      <c r="C259" s="82"/>
      <c r="D259" s="18"/>
      <c r="E259" s="18"/>
      <c r="F259" s="18"/>
      <c r="G259" s="18"/>
      <c r="H259" s="18"/>
      <c r="I259" s="18"/>
      <c r="J259" s="18"/>
      <c r="K259" s="18"/>
    </row>
    <row r="260" spans="2:11" ht="12.75" customHeight="1" x14ac:dyDescent="0.2">
      <c r="B260" s="18"/>
      <c r="C260" s="82"/>
      <c r="D260" s="18"/>
      <c r="E260" s="18"/>
      <c r="F260" s="18"/>
      <c r="G260" s="18"/>
      <c r="H260" s="18"/>
      <c r="I260" s="18"/>
      <c r="J260" s="18"/>
      <c r="K260" s="18"/>
    </row>
    <row r="261" spans="2:11" ht="12.75" customHeight="1" x14ac:dyDescent="0.2">
      <c r="B261" s="18"/>
      <c r="C261" s="82"/>
      <c r="D261" s="18"/>
      <c r="E261" s="18"/>
      <c r="F261" s="18"/>
      <c r="G261" s="18"/>
      <c r="H261" s="18"/>
      <c r="I261" s="18"/>
      <c r="J261" s="18"/>
      <c r="K261" s="18"/>
    </row>
    <row r="262" spans="2:11" ht="12.75" customHeight="1" x14ac:dyDescent="0.2">
      <c r="B262" s="18"/>
      <c r="C262" s="82"/>
      <c r="D262" s="18"/>
      <c r="E262" s="18"/>
      <c r="F262" s="18"/>
      <c r="G262" s="18"/>
      <c r="H262" s="18"/>
      <c r="I262" s="18"/>
      <c r="J262" s="18"/>
      <c r="K262" s="18"/>
    </row>
    <row r="263" spans="2:11" ht="12.75" customHeight="1" x14ac:dyDescent="0.2">
      <c r="B263" s="18"/>
      <c r="C263" s="82"/>
      <c r="D263" s="18"/>
      <c r="E263" s="18"/>
      <c r="F263" s="18"/>
      <c r="G263" s="18"/>
      <c r="H263" s="18"/>
      <c r="I263" s="18"/>
      <c r="J263" s="18"/>
      <c r="K263" s="18"/>
    </row>
    <row r="264" spans="2:11" ht="12.75" customHeight="1" x14ac:dyDescent="0.2">
      <c r="B264" s="18"/>
      <c r="C264" s="82"/>
      <c r="D264" s="18"/>
      <c r="E264" s="18"/>
      <c r="F264" s="18"/>
      <c r="G264" s="18"/>
      <c r="H264" s="18"/>
      <c r="I264" s="18"/>
      <c r="J264" s="18"/>
      <c r="K264" s="18"/>
    </row>
    <row r="265" spans="2:11" ht="12.75" customHeight="1" x14ac:dyDescent="0.2">
      <c r="B265" s="18"/>
      <c r="C265" s="82"/>
      <c r="D265" s="18"/>
      <c r="E265" s="18"/>
      <c r="F265" s="18"/>
      <c r="G265" s="18"/>
      <c r="H265" s="18"/>
      <c r="I265" s="18"/>
      <c r="J265" s="18"/>
      <c r="K265" s="18"/>
    </row>
    <row r="266" spans="2:11" ht="12.75" customHeight="1" x14ac:dyDescent="0.2">
      <c r="B266" s="18"/>
      <c r="C266" s="82"/>
      <c r="D266" s="18"/>
      <c r="E266" s="18"/>
      <c r="F266" s="18"/>
      <c r="G266" s="18"/>
      <c r="H266" s="18"/>
      <c r="I266" s="18"/>
      <c r="J266" s="18"/>
      <c r="K266" s="18"/>
    </row>
    <row r="267" spans="2:11" ht="12.75" customHeight="1" x14ac:dyDescent="0.2">
      <c r="B267" s="18"/>
      <c r="C267" s="82"/>
      <c r="D267" s="18"/>
      <c r="E267" s="18"/>
      <c r="F267" s="18"/>
      <c r="G267" s="18"/>
      <c r="H267" s="18"/>
      <c r="I267" s="18"/>
      <c r="J267" s="18"/>
      <c r="K267" s="18"/>
    </row>
    <row r="268" spans="2:11" ht="12.75" customHeight="1" x14ac:dyDescent="0.2">
      <c r="B268" s="18"/>
      <c r="C268" s="82"/>
      <c r="D268" s="18"/>
      <c r="E268" s="18"/>
      <c r="F268" s="18"/>
      <c r="G268" s="18"/>
      <c r="H268" s="18"/>
      <c r="I268" s="18"/>
      <c r="J268" s="18"/>
      <c r="K268" s="18"/>
    </row>
    <row r="269" spans="2:11" ht="12.75" customHeight="1" x14ac:dyDescent="0.2">
      <c r="B269" s="18"/>
      <c r="C269" s="82"/>
      <c r="D269" s="18"/>
      <c r="E269" s="18"/>
      <c r="F269" s="18"/>
      <c r="G269" s="18"/>
      <c r="H269" s="18"/>
      <c r="I269" s="18"/>
      <c r="J269" s="18"/>
      <c r="K269" s="18"/>
    </row>
    <row r="270" spans="2:11" ht="12.75" customHeight="1" x14ac:dyDescent="0.2">
      <c r="B270" s="18"/>
      <c r="C270" s="82"/>
      <c r="D270" s="18"/>
      <c r="E270" s="18"/>
      <c r="F270" s="18"/>
      <c r="G270" s="18"/>
      <c r="H270" s="18"/>
      <c r="I270" s="18"/>
      <c r="J270" s="18"/>
      <c r="K270" s="18"/>
    </row>
    <row r="271" spans="2:11" ht="12.75" customHeight="1" x14ac:dyDescent="0.2">
      <c r="B271" s="18"/>
      <c r="C271" s="82"/>
      <c r="D271" s="18"/>
      <c r="E271" s="18"/>
      <c r="F271" s="18"/>
      <c r="G271" s="18"/>
      <c r="H271" s="18"/>
      <c r="I271" s="18"/>
      <c r="J271" s="18"/>
      <c r="K271" s="18"/>
    </row>
    <row r="272" spans="2:11" ht="12.75" customHeight="1" x14ac:dyDescent="0.2">
      <c r="B272" s="18"/>
      <c r="C272" s="82"/>
      <c r="D272" s="18"/>
      <c r="E272" s="18"/>
      <c r="F272" s="18"/>
      <c r="G272" s="18"/>
      <c r="H272" s="18"/>
      <c r="I272" s="18"/>
      <c r="J272" s="18"/>
      <c r="K272" s="18"/>
    </row>
    <row r="273" spans="2:11" ht="12.75" customHeight="1" x14ac:dyDescent="0.2">
      <c r="B273" s="18"/>
      <c r="C273" s="82"/>
      <c r="D273" s="18"/>
      <c r="E273" s="18"/>
      <c r="F273" s="18"/>
      <c r="G273" s="18"/>
      <c r="H273" s="18"/>
      <c r="I273" s="18"/>
      <c r="J273" s="18"/>
      <c r="K273" s="18"/>
    </row>
    <row r="274" spans="2:11" ht="12.75" customHeight="1" x14ac:dyDescent="0.2">
      <c r="B274" s="18"/>
      <c r="C274" s="82"/>
      <c r="D274" s="18"/>
      <c r="E274" s="18"/>
      <c r="F274" s="18"/>
      <c r="G274" s="18"/>
      <c r="H274" s="18"/>
      <c r="I274" s="18"/>
      <c r="J274" s="18"/>
      <c r="K274" s="18"/>
    </row>
    <row r="275" spans="2:11" ht="12.75" customHeight="1" x14ac:dyDescent="0.2">
      <c r="B275" s="18"/>
      <c r="C275" s="82"/>
      <c r="D275" s="18"/>
      <c r="E275" s="18"/>
      <c r="F275" s="18"/>
      <c r="G275" s="18"/>
      <c r="H275" s="18"/>
      <c r="I275" s="18"/>
      <c r="J275" s="18"/>
      <c r="K275" s="18"/>
    </row>
    <row r="276" spans="2:11" ht="12.75" customHeight="1" x14ac:dyDescent="0.2">
      <c r="B276" s="18"/>
      <c r="C276" s="82"/>
      <c r="D276" s="18"/>
      <c r="E276" s="18"/>
      <c r="F276" s="18"/>
      <c r="G276" s="18"/>
      <c r="H276" s="18"/>
      <c r="I276" s="18"/>
      <c r="J276" s="18"/>
      <c r="K276" s="18"/>
    </row>
    <row r="277" spans="2:11" ht="12.75" customHeight="1" x14ac:dyDescent="0.2">
      <c r="B277" s="18"/>
      <c r="C277" s="82"/>
      <c r="D277" s="18"/>
      <c r="E277" s="18"/>
      <c r="F277" s="18"/>
      <c r="G277" s="18"/>
      <c r="H277" s="18"/>
      <c r="I277" s="18"/>
      <c r="J277" s="18"/>
      <c r="K277" s="18"/>
    </row>
    <row r="278" spans="2:11" ht="12.75" customHeight="1" x14ac:dyDescent="0.2">
      <c r="B278" s="18"/>
      <c r="C278" s="82"/>
      <c r="D278" s="18"/>
      <c r="E278" s="18"/>
      <c r="F278" s="18"/>
      <c r="G278" s="18"/>
      <c r="H278" s="18"/>
      <c r="I278" s="18"/>
      <c r="J278" s="18"/>
      <c r="K278" s="18"/>
    </row>
    <row r="279" spans="2:11" ht="12.75" customHeight="1" x14ac:dyDescent="0.2">
      <c r="B279" s="18"/>
      <c r="C279" s="82"/>
      <c r="D279" s="18"/>
      <c r="E279" s="18"/>
      <c r="F279" s="18"/>
      <c r="G279" s="18"/>
      <c r="H279" s="18"/>
      <c r="I279" s="18"/>
      <c r="J279" s="18"/>
      <c r="K279" s="18"/>
    </row>
    <row r="280" spans="2:11" ht="12.75" customHeight="1" x14ac:dyDescent="0.2">
      <c r="B280" s="18"/>
      <c r="C280" s="82"/>
      <c r="D280" s="18"/>
      <c r="E280" s="18"/>
      <c r="F280" s="18"/>
      <c r="G280" s="18"/>
      <c r="H280" s="18"/>
      <c r="I280" s="18"/>
      <c r="J280" s="18"/>
      <c r="K280" s="18"/>
    </row>
    <row r="281" spans="2:11" ht="12.75" customHeight="1" x14ac:dyDescent="0.2">
      <c r="B281" s="18"/>
      <c r="C281" s="82"/>
      <c r="D281" s="18"/>
      <c r="E281" s="18"/>
      <c r="F281" s="18"/>
      <c r="G281" s="18"/>
      <c r="H281" s="18"/>
      <c r="I281" s="18"/>
      <c r="J281" s="18"/>
      <c r="K281" s="18"/>
    </row>
    <row r="282" spans="2:11" ht="12.75" customHeight="1" x14ac:dyDescent="0.2">
      <c r="B282" s="18"/>
      <c r="C282" s="82"/>
      <c r="D282" s="18"/>
      <c r="E282" s="18"/>
      <c r="F282" s="18"/>
      <c r="G282" s="18"/>
      <c r="H282" s="18"/>
      <c r="I282" s="18"/>
      <c r="J282" s="18"/>
      <c r="K282" s="18"/>
    </row>
    <row r="283" spans="2:11" ht="12.75" customHeight="1" x14ac:dyDescent="0.2">
      <c r="B283" s="18"/>
      <c r="C283" s="82"/>
      <c r="D283" s="18"/>
      <c r="E283" s="18"/>
      <c r="F283" s="18"/>
      <c r="G283" s="18"/>
      <c r="H283" s="18"/>
      <c r="I283" s="18"/>
      <c r="J283" s="18"/>
      <c r="K283" s="18"/>
    </row>
    <row r="284" spans="2:11" ht="12.75" customHeight="1" x14ac:dyDescent="0.2">
      <c r="B284" s="18"/>
      <c r="C284" s="82"/>
      <c r="D284" s="18"/>
      <c r="E284" s="18"/>
      <c r="F284" s="18"/>
      <c r="G284" s="18"/>
      <c r="H284" s="18"/>
      <c r="I284" s="18"/>
      <c r="J284" s="18"/>
      <c r="K284" s="18"/>
    </row>
    <row r="285" spans="2:11" ht="12.75" customHeight="1" x14ac:dyDescent="0.2">
      <c r="B285" s="18"/>
      <c r="C285" s="82"/>
      <c r="D285" s="18"/>
      <c r="E285" s="18"/>
      <c r="F285" s="18"/>
      <c r="G285" s="18"/>
      <c r="H285" s="18"/>
      <c r="I285" s="18"/>
      <c r="J285" s="18"/>
      <c r="K285" s="18"/>
    </row>
    <row r="286" spans="2:11" ht="12.75" customHeight="1" x14ac:dyDescent="0.2">
      <c r="B286" s="18"/>
      <c r="C286" s="82"/>
      <c r="D286" s="18"/>
      <c r="E286" s="18"/>
      <c r="F286" s="18"/>
      <c r="G286" s="18"/>
      <c r="H286" s="18"/>
      <c r="I286" s="18"/>
      <c r="J286" s="18"/>
      <c r="K286" s="18"/>
    </row>
    <row r="287" spans="2:11" ht="12.75" customHeight="1" x14ac:dyDescent="0.2">
      <c r="B287" s="18"/>
      <c r="C287" s="82"/>
      <c r="D287" s="18"/>
      <c r="E287" s="18"/>
      <c r="F287" s="18"/>
      <c r="G287" s="18"/>
      <c r="H287" s="18"/>
      <c r="I287" s="18"/>
      <c r="J287" s="18"/>
      <c r="K287" s="18"/>
    </row>
    <row r="288" spans="2:11" ht="12.75" customHeight="1" x14ac:dyDescent="0.2">
      <c r="B288" s="18"/>
      <c r="C288" s="82"/>
      <c r="D288" s="18"/>
      <c r="E288" s="18"/>
      <c r="F288" s="18"/>
      <c r="G288" s="18"/>
      <c r="H288" s="18"/>
      <c r="I288" s="18"/>
      <c r="J288" s="18"/>
      <c r="K288" s="18"/>
    </row>
    <row r="289" spans="2:11" ht="12.75" customHeight="1" x14ac:dyDescent="0.2">
      <c r="B289" s="18"/>
      <c r="C289" s="82"/>
      <c r="D289" s="18"/>
      <c r="E289" s="18"/>
      <c r="F289" s="18"/>
      <c r="G289" s="18"/>
      <c r="H289" s="18"/>
      <c r="I289" s="18"/>
      <c r="J289" s="18"/>
      <c r="K289" s="18"/>
    </row>
    <row r="290" spans="2:11" ht="12.75" customHeight="1" x14ac:dyDescent="0.2">
      <c r="B290" s="18"/>
      <c r="C290" s="82"/>
      <c r="D290" s="18"/>
      <c r="E290" s="18"/>
      <c r="F290" s="18"/>
      <c r="G290" s="18"/>
      <c r="H290" s="18"/>
      <c r="I290" s="18"/>
      <c r="J290" s="18"/>
      <c r="K290" s="18"/>
    </row>
    <row r="291" spans="2:11" ht="12.75" customHeight="1" x14ac:dyDescent="0.2">
      <c r="B291" s="18"/>
      <c r="C291" s="82"/>
      <c r="D291" s="18"/>
      <c r="E291" s="18"/>
      <c r="F291" s="18"/>
      <c r="G291" s="18"/>
      <c r="H291" s="18"/>
      <c r="I291" s="18"/>
      <c r="J291" s="18"/>
      <c r="K291" s="18"/>
    </row>
    <row r="292" spans="2:11" ht="12.75" customHeight="1" x14ac:dyDescent="0.2">
      <c r="B292" s="18"/>
      <c r="C292" s="82"/>
      <c r="D292" s="18"/>
      <c r="E292" s="18"/>
      <c r="F292" s="18"/>
      <c r="G292" s="18"/>
      <c r="H292" s="18"/>
      <c r="I292" s="18"/>
      <c r="J292" s="18"/>
      <c r="K292" s="18"/>
    </row>
    <row r="293" spans="2:11" ht="12.75" customHeight="1" x14ac:dyDescent="0.2">
      <c r="B293" s="18"/>
      <c r="C293" s="82"/>
      <c r="D293" s="18"/>
      <c r="E293" s="18"/>
      <c r="F293" s="18"/>
      <c r="G293" s="18"/>
      <c r="H293" s="18"/>
      <c r="I293" s="18"/>
      <c r="J293" s="18"/>
      <c r="K293" s="18"/>
    </row>
    <row r="294" spans="2:11" ht="12.75" customHeight="1" x14ac:dyDescent="0.2">
      <c r="B294" s="18"/>
      <c r="C294" s="82"/>
      <c r="D294" s="18"/>
      <c r="E294" s="18"/>
      <c r="F294" s="18"/>
      <c r="G294" s="18"/>
      <c r="H294" s="18"/>
      <c r="I294" s="18"/>
      <c r="J294" s="18"/>
      <c r="K294" s="18"/>
    </row>
    <row r="295" spans="2:11" ht="12.75" customHeight="1" x14ac:dyDescent="0.2">
      <c r="B295" s="18"/>
      <c r="C295" s="82"/>
      <c r="D295" s="18"/>
      <c r="E295" s="18"/>
      <c r="F295" s="18"/>
      <c r="G295" s="18"/>
      <c r="H295" s="18"/>
      <c r="I295" s="18"/>
      <c r="J295" s="18"/>
      <c r="K295" s="18"/>
    </row>
    <row r="296" spans="2:11" ht="12.75" customHeight="1" x14ac:dyDescent="0.2">
      <c r="B296" s="18"/>
      <c r="C296" s="82"/>
      <c r="D296" s="18"/>
      <c r="E296" s="18"/>
      <c r="F296" s="18"/>
      <c r="G296" s="18"/>
      <c r="H296" s="18"/>
      <c r="I296" s="18"/>
      <c r="J296" s="18"/>
      <c r="K296" s="18"/>
    </row>
    <row r="297" spans="2:11" ht="12.75" customHeight="1" x14ac:dyDescent="0.2">
      <c r="B297" s="18"/>
      <c r="C297" s="82"/>
      <c r="D297" s="18"/>
      <c r="E297" s="18"/>
      <c r="F297" s="18"/>
      <c r="G297" s="18"/>
      <c r="H297" s="18"/>
      <c r="I297" s="18"/>
      <c r="J297" s="18"/>
      <c r="K297" s="18"/>
    </row>
    <row r="298" spans="2:11" ht="12.75" customHeight="1" x14ac:dyDescent="0.2">
      <c r="B298" s="18"/>
      <c r="C298" s="82"/>
      <c r="D298" s="18"/>
      <c r="E298" s="18"/>
      <c r="F298" s="18"/>
      <c r="G298" s="18"/>
      <c r="H298" s="18"/>
      <c r="I298" s="18"/>
      <c r="J298" s="18"/>
      <c r="K298" s="18"/>
    </row>
    <row r="299" spans="2:11" ht="12.75" customHeight="1" x14ac:dyDescent="0.2">
      <c r="B299" s="18"/>
      <c r="C299" s="82"/>
      <c r="D299" s="18"/>
      <c r="E299" s="18"/>
      <c r="F299" s="18"/>
      <c r="G299" s="18"/>
      <c r="H299" s="18"/>
      <c r="I299" s="18"/>
      <c r="J299" s="18"/>
      <c r="K299" s="18"/>
    </row>
    <row r="300" spans="2:11" ht="12.75" customHeight="1" x14ac:dyDescent="0.2">
      <c r="B300" s="18"/>
      <c r="C300" s="82"/>
      <c r="D300" s="18"/>
      <c r="E300" s="18"/>
      <c r="F300" s="18"/>
      <c r="G300" s="18"/>
      <c r="H300" s="18"/>
      <c r="I300" s="18"/>
      <c r="J300" s="18"/>
      <c r="K300" s="18"/>
    </row>
    <row r="301" spans="2:11" ht="12.75" customHeight="1" x14ac:dyDescent="0.2">
      <c r="B301" s="18"/>
      <c r="C301" s="82"/>
      <c r="D301" s="18"/>
      <c r="E301" s="18"/>
      <c r="F301" s="18"/>
      <c r="G301" s="18"/>
      <c r="H301" s="18"/>
      <c r="I301" s="18"/>
      <c r="J301" s="18"/>
      <c r="K301" s="18"/>
    </row>
    <row r="302" spans="2:11" ht="12.75" customHeight="1" x14ac:dyDescent="0.2">
      <c r="B302" s="18"/>
      <c r="C302" s="82"/>
      <c r="D302" s="18"/>
      <c r="E302" s="18"/>
      <c r="F302" s="18"/>
      <c r="G302" s="18"/>
      <c r="H302" s="18"/>
      <c r="I302" s="18"/>
      <c r="J302" s="18"/>
      <c r="K302" s="18"/>
    </row>
    <row r="303" spans="2:11" ht="12.75" customHeight="1" x14ac:dyDescent="0.2">
      <c r="B303" s="18"/>
      <c r="C303" s="82"/>
      <c r="D303" s="18"/>
      <c r="E303" s="18"/>
      <c r="F303" s="18"/>
      <c r="G303" s="18"/>
      <c r="H303" s="18"/>
      <c r="I303" s="18"/>
      <c r="J303" s="18"/>
      <c r="K303" s="18"/>
    </row>
    <row r="304" spans="2:11" ht="12.75" customHeight="1" x14ac:dyDescent="0.2">
      <c r="B304" s="18"/>
      <c r="C304" s="82"/>
      <c r="D304" s="18"/>
      <c r="E304" s="18"/>
      <c r="F304" s="18"/>
      <c r="G304" s="18"/>
      <c r="H304" s="18"/>
      <c r="I304" s="18"/>
      <c r="J304" s="18"/>
      <c r="K304" s="18"/>
    </row>
    <row r="305" spans="2:11" ht="12.75" customHeight="1" x14ac:dyDescent="0.2">
      <c r="B305" s="18"/>
      <c r="C305" s="82"/>
      <c r="D305" s="18"/>
      <c r="E305" s="18"/>
      <c r="F305" s="18"/>
      <c r="G305" s="18"/>
      <c r="H305" s="18"/>
      <c r="I305" s="18"/>
      <c r="J305" s="18"/>
      <c r="K305" s="18"/>
    </row>
    <row r="306" spans="2:11" ht="12.75" customHeight="1" x14ac:dyDescent="0.2">
      <c r="B306" s="18"/>
      <c r="C306" s="82"/>
      <c r="D306" s="18"/>
      <c r="E306" s="18"/>
      <c r="F306" s="18"/>
      <c r="G306" s="18"/>
      <c r="H306" s="18"/>
      <c r="I306" s="18"/>
      <c r="J306" s="18"/>
      <c r="K306" s="18"/>
    </row>
    <row r="307" spans="2:11" ht="12.75" customHeight="1" x14ac:dyDescent="0.2">
      <c r="B307" s="18"/>
      <c r="C307" s="82"/>
      <c r="D307" s="18"/>
      <c r="E307" s="18"/>
      <c r="F307" s="18"/>
      <c r="G307" s="18"/>
      <c r="H307" s="18"/>
      <c r="I307" s="18"/>
      <c r="J307" s="18"/>
      <c r="K307" s="18"/>
    </row>
    <row r="308" spans="2:11" ht="12.75" customHeight="1" x14ac:dyDescent="0.2">
      <c r="B308" s="18"/>
      <c r="C308" s="82"/>
      <c r="D308" s="18"/>
      <c r="E308" s="18"/>
      <c r="F308" s="18"/>
      <c r="G308" s="18"/>
      <c r="H308" s="18"/>
      <c r="I308" s="18"/>
      <c r="J308" s="18"/>
      <c r="K308" s="18"/>
    </row>
    <row r="309" spans="2:11" ht="12.75" customHeight="1" x14ac:dyDescent="0.2">
      <c r="B309" s="18"/>
      <c r="C309" s="82"/>
      <c r="D309" s="18"/>
      <c r="E309" s="18"/>
      <c r="F309" s="18"/>
      <c r="G309" s="18"/>
      <c r="H309" s="18"/>
      <c r="I309" s="18"/>
      <c r="J309" s="18"/>
      <c r="K309" s="18"/>
    </row>
    <row r="310" spans="2:11" ht="12.75" customHeight="1" x14ac:dyDescent="0.2">
      <c r="B310" s="18"/>
      <c r="C310" s="82"/>
      <c r="D310" s="18"/>
      <c r="E310" s="18"/>
      <c r="F310" s="18"/>
      <c r="G310" s="18"/>
      <c r="H310" s="18"/>
      <c r="I310" s="18"/>
      <c r="J310" s="18"/>
      <c r="K310" s="18"/>
    </row>
    <row r="311" spans="2:11" ht="12.75" customHeight="1" x14ac:dyDescent="0.2">
      <c r="B311" s="18"/>
      <c r="C311" s="82"/>
      <c r="D311" s="18"/>
      <c r="E311" s="18"/>
      <c r="F311" s="18"/>
      <c r="G311" s="18"/>
      <c r="H311" s="18"/>
      <c r="I311" s="18"/>
      <c r="J311" s="18"/>
      <c r="K311" s="18"/>
    </row>
    <row r="312" spans="2:11" ht="12.75" customHeight="1" x14ac:dyDescent="0.2">
      <c r="B312" s="18"/>
      <c r="C312" s="82"/>
      <c r="D312" s="18"/>
      <c r="E312" s="18"/>
      <c r="F312" s="18"/>
      <c r="G312" s="18"/>
      <c r="H312" s="18"/>
      <c r="I312" s="18"/>
      <c r="J312" s="18"/>
      <c r="K312" s="18"/>
    </row>
    <row r="313" spans="2:11" ht="12.75" customHeight="1" x14ac:dyDescent="0.2">
      <c r="B313" s="18"/>
      <c r="C313" s="82"/>
      <c r="D313" s="18"/>
      <c r="E313" s="18"/>
      <c r="F313" s="18"/>
      <c r="G313" s="18"/>
      <c r="H313" s="18"/>
      <c r="I313" s="18"/>
      <c r="J313" s="18"/>
      <c r="K313" s="18"/>
    </row>
    <row r="314" spans="2:11" ht="12.75" customHeight="1" x14ac:dyDescent="0.2">
      <c r="B314" s="18"/>
      <c r="C314" s="82"/>
      <c r="D314" s="18"/>
      <c r="E314" s="18"/>
      <c r="F314" s="18"/>
      <c r="G314" s="18"/>
      <c r="H314" s="18"/>
      <c r="I314" s="18"/>
      <c r="J314" s="18"/>
      <c r="K314" s="18"/>
    </row>
    <row r="315" spans="2:11" ht="12.75" customHeight="1" x14ac:dyDescent="0.2">
      <c r="B315" s="18"/>
      <c r="C315" s="82"/>
      <c r="D315" s="18"/>
      <c r="E315" s="18"/>
      <c r="F315" s="18"/>
      <c r="G315" s="18"/>
      <c r="H315" s="18"/>
      <c r="I315" s="18"/>
      <c r="J315" s="18"/>
      <c r="K315" s="18"/>
    </row>
    <row r="316" spans="2:11" ht="12.75" customHeight="1" x14ac:dyDescent="0.2">
      <c r="B316" s="18"/>
      <c r="C316" s="82"/>
      <c r="D316" s="18"/>
      <c r="E316" s="18"/>
      <c r="F316" s="18"/>
      <c r="G316" s="18"/>
      <c r="H316" s="18"/>
      <c r="I316" s="18"/>
      <c r="J316" s="18"/>
      <c r="K316" s="18"/>
    </row>
    <row r="317" spans="2:11" ht="12.75" customHeight="1" x14ac:dyDescent="0.2">
      <c r="B317" s="18"/>
      <c r="C317" s="82"/>
      <c r="D317" s="18"/>
      <c r="E317" s="18"/>
      <c r="F317" s="18"/>
      <c r="G317" s="18"/>
      <c r="H317" s="18"/>
      <c r="I317" s="18"/>
      <c r="J317" s="18"/>
      <c r="K317" s="18"/>
    </row>
    <row r="318" spans="2:11" ht="12.75" customHeight="1" x14ac:dyDescent="0.2">
      <c r="B318" s="18"/>
      <c r="C318" s="82"/>
      <c r="D318" s="18"/>
      <c r="E318" s="18"/>
      <c r="F318" s="18"/>
      <c r="G318" s="18"/>
      <c r="H318" s="18"/>
      <c r="I318" s="18"/>
      <c r="J318" s="18"/>
      <c r="K318" s="18"/>
    </row>
    <row r="319" spans="2:11" ht="12.75" customHeight="1" x14ac:dyDescent="0.2">
      <c r="B319" s="18"/>
      <c r="C319" s="82"/>
      <c r="D319" s="18"/>
      <c r="E319" s="18"/>
      <c r="F319" s="18"/>
      <c r="G319" s="18"/>
      <c r="H319" s="18"/>
      <c r="I319" s="18"/>
      <c r="J319" s="18"/>
      <c r="K319" s="18"/>
    </row>
    <row r="320" spans="2:11" ht="12.75" customHeight="1" x14ac:dyDescent="0.2">
      <c r="B320" s="18"/>
      <c r="C320" s="82"/>
      <c r="D320" s="18"/>
      <c r="E320" s="18"/>
      <c r="F320" s="18"/>
      <c r="G320" s="18"/>
      <c r="H320" s="18"/>
      <c r="I320" s="18"/>
      <c r="J320" s="18"/>
      <c r="K320" s="18"/>
    </row>
    <row r="321" spans="2:11" ht="12.75" customHeight="1" x14ac:dyDescent="0.2">
      <c r="B321" s="18"/>
      <c r="C321" s="82"/>
      <c r="D321" s="18"/>
      <c r="E321" s="18"/>
      <c r="F321" s="18"/>
      <c r="G321" s="18"/>
      <c r="H321" s="18"/>
      <c r="I321" s="18"/>
      <c r="J321" s="18"/>
      <c r="K321" s="18"/>
    </row>
    <row r="322" spans="2:11" ht="12.75" customHeight="1" x14ac:dyDescent="0.2">
      <c r="B322" s="18"/>
      <c r="C322" s="82"/>
      <c r="D322" s="18"/>
      <c r="E322" s="18"/>
      <c r="F322" s="18"/>
      <c r="G322" s="18"/>
      <c r="H322" s="18"/>
      <c r="I322" s="18"/>
      <c r="J322" s="18"/>
      <c r="K322" s="18"/>
    </row>
    <row r="323" spans="2:11" ht="12.75" customHeight="1" x14ac:dyDescent="0.2">
      <c r="B323" s="18"/>
      <c r="C323" s="82"/>
      <c r="D323" s="18"/>
      <c r="E323" s="18"/>
      <c r="F323" s="18"/>
      <c r="G323" s="18"/>
      <c r="H323" s="18"/>
      <c r="I323" s="18"/>
      <c r="J323" s="18"/>
      <c r="K323" s="18"/>
    </row>
    <row r="324" spans="2:11" ht="12.75" customHeight="1" x14ac:dyDescent="0.2">
      <c r="B324" s="18"/>
      <c r="C324" s="82"/>
      <c r="D324" s="18"/>
      <c r="E324" s="18"/>
      <c r="F324" s="18"/>
      <c r="G324" s="18"/>
      <c r="H324" s="18"/>
      <c r="I324" s="18"/>
      <c r="J324" s="18"/>
      <c r="K324" s="18"/>
    </row>
    <row r="325" spans="2:11" ht="12.75" customHeight="1" x14ac:dyDescent="0.2">
      <c r="B325" s="18"/>
      <c r="C325" s="82"/>
      <c r="D325" s="18"/>
      <c r="E325" s="18"/>
      <c r="F325" s="18"/>
      <c r="G325" s="18"/>
      <c r="H325" s="18"/>
      <c r="I325" s="18"/>
      <c r="J325" s="18"/>
      <c r="K325" s="18"/>
    </row>
    <row r="326" spans="2:11" ht="12.75" customHeight="1" x14ac:dyDescent="0.2">
      <c r="B326" s="18"/>
      <c r="C326" s="82"/>
      <c r="D326" s="18"/>
      <c r="E326" s="18"/>
      <c r="F326" s="18"/>
      <c r="G326" s="18"/>
      <c r="H326" s="18"/>
      <c r="I326" s="18"/>
      <c r="J326" s="18"/>
      <c r="K326" s="18"/>
    </row>
    <row r="327" spans="2:11" ht="12.75" customHeight="1" x14ac:dyDescent="0.2">
      <c r="B327" s="18"/>
      <c r="C327" s="82"/>
      <c r="D327" s="18"/>
      <c r="E327" s="18"/>
      <c r="F327" s="18"/>
      <c r="G327" s="18"/>
      <c r="H327" s="18"/>
      <c r="I327" s="18"/>
      <c r="J327" s="18"/>
      <c r="K327" s="18"/>
    </row>
    <row r="328" spans="2:11" ht="12.75" customHeight="1" x14ac:dyDescent="0.2">
      <c r="B328" s="18"/>
      <c r="C328" s="82"/>
      <c r="D328" s="18"/>
      <c r="E328" s="18"/>
      <c r="F328" s="18"/>
      <c r="G328" s="18"/>
      <c r="H328" s="18"/>
      <c r="I328" s="18"/>
      <c r="J328" s="18"/>
      <c r="K328" s="18"/>
    </row>
    <row r="329" spans="2:11" ht="12.75" customHeight="1" x14ac:dyDescent="0.2">
      <c r="B329" s="18"/>
      <c r="C329" s="82"/>
      <c r="D329" s="18"/>
      <c r="E329" s="18"/>
      <c r="F329" s="18"/>
      <c r="G329" s="18"/>
      <c r="H329" s="18"/>
      <c r="I329" s="18"/>
      <c r="J329" s="18"/>
      <c r="K329" s="18"/>
    </row>
    <row r="330" spans="2:11" ht="12.75" customHeight="1" x14ac:dyDescent="0.2">
      <c r="B330" s="18"/>
      <c r="C330" s="82"/>
      <c r="D330" s="18"/>
      <c r="E330" s="18"/>
      <c r="F330" s="18"/>
      <c r="G330" s="18"/>
      <c r="H330" s="18"/>
      <c r="I330" s="18"/>
      <c r="J330" s="18"/>
      <c r="K330" s="18"/>
    </row>
    <row r="331" spans="2:11" ht="12.75" customHeight="1" x14ac:dyDescent="0.2">
      <c r="B331" s="18"/>
      <c r="C331" s="82"/>
      <c r="D331" s="18"/>
      <c r="E331" s="18"/>
      <c r="F331" s="18"/>
      <c r="G331" s="18"/>
      <c r="H331" s="18"/>
      <c r="I331" s="18"/>
      <c r="J331" s="18"/>
      <c r="K331" s="18"/>
    </row>
    <row r="332" spans="2:11" ht="12.75" customHeight="1" x14ac:dyDescent="0.2">
      <c r="B332" s="18"/>
      <c r="C332" s="82"/>
      <c r="D332" s="18"/>
      <c r="E332" s="18"/>
      <c r="F332" s="18"/>
      <c r="G332" s="18"/>
      <c r="H332" s="18"/>
      <c r="I332" s="18"/>
      <c r="J332" s="18"/>
      <c r="K332" s="18"/>
    </row>
    <row r="333" spans="2:11" ht="12.75" customHeight="1" x14ac:dyDescent="0.2">
      <c r="B333" s="18"/>
      <c r="C333" s="82"/>
      <c r="D333" s="18"/>
      <c r="E333" s="18"/>
      <c r="F333" s="18"/>
      <c r="G333" s="18"/>
      <c r="H333" s="18"/>
      <c r="I333" s="18"/>
      <c r="J333" s="18"/>
      <c r="K333" s="18"/>
    </row>
    <row r="334" spans="2:11" ht="12.75" customHeight="1" x14ac:dyDescent="0.2">
      <c r="B334" s="18"/>
      <c r="C334" s="82"/>
      <c r="D334" s="18"/>
      <c r="E334" s="18"/>
      <c r="F334" s="18"/>
      <c r="G334" s="18"/>
      <c r="H334" s="18"/>
      <c r="I334" s="18"/>
      <c r="J334" s="18"/>
      <c r="K334" s="18"/>
    </row>
    <row r="335" spans="2:11" ht="12.75" customHeight="1" x14ac:dyDescent="0.2">
      <c r="B335" s="18"/>
      <c r="C335" s="82"/>
      <c r="D335" s="18"/>
      <c r="E335" s="18"/>
      <c r="F335" s="18"/>
      <c r="G335" s="18"/>
      <c r="H335" s="18"/>
      <c r="I335" s="18"/>
      <c r="J335" s="18"/>
      <c r="K335" s="18"/>
    </row>
    <row r="336" spans="2:11" ht="12.75" customHeight="1" x14ac:dyDescent="0.2">
      <c r="B336" s="18"/>
      <c r="C336" s="82"/>
      <c r="D336" s="18"/>
      <c r="E336" s="18"/>
      <c r="F336" s="18"/>
      <c r="G336" s="18"/>
      <c r="H336" s="18"/>
      <c r="I336" s="18"/>
      <c r="J336" s="18"/>
      <c r="K336" s="18"/>
    </row>
    <row r="337" spans="2:11" ht="12.75" customHeight="1" x14ac:dyDescent="0.2">
      <c r="B337" s="18"/>
      <c r="C337" s="82"/>
      <c r="D337" s="18"/>
      <c r="E337" s="18"/>
      <c r="F337" s="18"/>
      <c r="G337" s="18"/>
      <c r="H337" s="18"/>
      <c r="I337" s="18"/>
      <c r="J337" s="18"/>
      <c r="K337" s="18"/>
    </row>
    <row r="338" spans="2:11" ht="12.75" customHeight="1" x14ac:dyDescent="0.2">
      <c r="B338" s="18"/>
      <c r="C338" s="82"/>
      <c r="D338" s="18"/>
      <c r="E338" s="18"/>
      <c r="F338" s="18"/>
      <c r="G338" s="18"/>
      <c r="H338" s="18"/>
      <c r="I338" s="18"/>
      <c r="J338" s="18"/>
      <c r="K338" s="18"/>
    </row>
    <row r="339" spans="2:11" ht="12.75" customHeight="1" x14ac:dyDescent="0.2">
      <c r="B339" s="18"/>
      <c r="C339" s="82"/>
      <c r="D339" s="18"/>
      <c r="E339" s="18"/>
      <c r="F339" s="18"/>
      <c r="G339" s="18"/>
      <c r="H339" s="18"/>
      <c r="I339" s="18"/>
      <c r="J339" s="18"/>
      <c r="K339" s="18"/>
    </row>
    <row r="340" spans="2:11" ht="12.75" customHeight="1" x14ac:dyDescent="0.2">
      <c r="B340" s="18"/>
      <c r="C340" s="82"/>
      <c r="D340" s="18"/>
      <c r="E340" s="18"/>
      <c r="F340" s="18"/>
      <c r="G340" s="18"/>
      <c r="H340" s="18"/>
      <c r="I340" s="18"/>
      <c r="J340" s="18"/>
      <c r="K340" s="18"/>
    </row>
    <row r="341" spans="2:11" ht="12.75" customHeight="1" x14ac:dyDescent="0.2">
      <c r="B341" s="18"/>
      <c r="C341" s="82"/>
      <c r="D341" s="18"/>
      <c r="E341" s="18"/>
      <c r="F341" s="18"/>
      <c r="G341" s="18"/>
      <c r="H341" s="18"/>
      <c r="I341" s="18"/>
      <c r="J341" s="18"/>
      <c r="K341" s="18"/>
    </row>
    <row r="342" spans="2:11" ht="12.75" customHeight="1" x14ac:dyDescent="0.2">
      <c r="B342" s="18"/>
      <c r="C342" s="82"/>
      <c r="D342" s="18"/>
      <c r="E342" s="18"/>
      <c r="F342" s="18"/>
      <c r="G342" s="18"/>
      <c r="H342" s="18"/>
      <c r="I342" s="18"/>
      <c r="J342" s="18"/>
      <c r="K342" s="18"/>
    </row>
    <row r="343" spans="2:11" ht="12.75" customHeight="1" x14ac:dyDescent="0.2">
      <c r="B343" s="18"/>
      <c r="C343" s="82"/>
      <c r="D343" s="18"/>
      <c r="E343" s="18"/>
      <c r="F343" s="18"/>
      <c r="G343" s="18"/>
      <c r="H343" s="18"/>
      <c r="I343" s="18"/>
      <c r="J343" s="18"/>
      <c r="K343" s="18"/>
    </row>
    <row r="344" spans="2:11" ht="12.75" customHeight="1" x14ac:dyDescent="0.2">
      <c r="B344" s="18"/>
      <c r="C344" s="82"/>
      <c r="D344" s="18"/>
      <c r="E344" s="18"/>
      <c r="F344" s="18"/>
      <c r="G344" s="18"/>
      <c r="H344" s="18"/>
      <c r="I344" s="18"/>
      <c r="J344" s="18"/>
      <c r="K344" s="18"/>
    </row>
    <row r="345" spans="2:11" ht="12.75" customHeight="1" x14ac:dyDescent="0.2">
      <c r="B345" s="18"/>
      <c r="C345" s="82"/>
      <c r="D345" s="18"/>
      <c r="E345" s="18"/>
      <c r="F345" s="18"/>
      <c r="G345" s="18"/>
      <c r="H345" s="18"/>
      <c r="I345" s="18"/>
      <c r="J345" s="18"/>
      <c r="K345" s="18"/>
    </row>
    <row r="346" spans="2:11" ht="12.75" customHeight="1" x14ac:dyDescent="0.2">
      <c r="B346" s="18"/>
      <c r="C346" s="82"/>
      <c r="D346" s="18"/>
      <c r="E346" s="18"/>
      <c r="F346" s="18"/>
      <c r="G346" s="18"/>
      <c r="H346" s="18"/>
      <c r="I346" s="18"/>
      <c r="J346" s="18"/>
      <c r="K346" s="18"/>
    </row>
    <row r="347" spans="2:11" ht="12.75" customHeight="1" x14ac:dyDescent="0.2">
      <c r="B347" s="18"/>
      <c r="C347" s="82"/>
      <c r="D347" s="18"/>
      <c r="E347" s="18"/>
      <c r="F347" s="18"/>
      <c r="G347" s="18"/>
      <c r="H347" s="18"/>
      <c r="I347" s="18"/>
      <c r="J347" s="18"/>
      <c r="K347" s="18"/>
    </row>
    <row r="348" spans="2:11" ht="12.75" customHeight="1" x14ac:dyDescent="0.2">
      <c r="B348" s="18"/>
      <c r="C348" s="82"/>
      <c r="D348" s="18"/>
      <c r="E348" s="18"/>
      <c r="F348" s="18"/>
      <c r="G348" s="18"/>
      <c r="H348" s="18"/>
      <c r="I348" s="18"/>
      <c r="J348" s="18"/>
      <c r="K348" s="18"/>
    </row>
    <row r="349" spans="2:11" ht="12.75" customHeight="1" x14ac:dyDescent="0.2">
      <c r="B349" s="18"/>
      <c r="C349" s="82"/>
      <c r="D349" s="18"/>
      <c r="E349" s="18"/>
      <c r="F349" s="18"/>
      <c r="G349" s="18"/>
      <c r="H349" s="18"/>
      <c r="I349" s="18"/>
      <c r="J349" s="18"/>
      <c r="K349" s="18"/>
    </row>
    <row r="350" spans="2:11" ht="12.75" customHeight="1" x14ac:dyDescent="0.2">
      <c r="B350" s="18"/>
      <c r="C350" s="82"/>
      <c r="D350" s="18"/>
      <c r="E350" s="18"/>
      <c r="F350" s="18"/>
      <c r="G350" s="18"/>
      <c r="H350" s="18"/>
      <c r="I350" s="18"/>
      <c r="J350" s="18"/>
      <c r="K350" s="18"/>
    </row>
    <row r="351" spans="2:11" ht="12.75" customHeight="1" x14ac:dyDescent="0.2">
      <c r="B351" s="18"/>
      <c r="C351" s="82"/>
      <c r="D351" s="18"/>
      <c r="E351" s="18"/>
      <c r="F351" s="18"/>
      <c r="G351" s="18"/>
      <c r="H351" s="18"/>
      <c r="I351" s="18"/>
      <c r="J351" s="18"/>
      <c r="K351" s="18"/>
    </row>
    <row r="352" spans="2:11" ht="12.75" customHeight="1" x14ac:dyDescent="0.2">
      <c r="B352" s="18"/>
      <c r="C352" s="82"/>
      <c r="D352" s="18"/>
      <c r="E352" s="18"/>
      <c r="F352" s="18"/>
      <c r="G352" s="18"/>
      <c r="H352" s="18"/>
      <c r="I352" s="18"/>
      <c r="J352" s="18"/>
      <c r="K352" s="18"/>
    </row>
    <row r="353" spans="2:11" ht="12.75" customHeight="1" x14ac:dyDescent="0.2">
      <c r="B353" s="18"/>
      <c r="C353" s="82"/>
      <c r="D353" s="18"/>
      <c r="E353" s="18"/>
      <c r="F353" s="18"/>
      <c r="G353" s="18"/>
      <c r="H353" s="18"/>
      <c r="I353" s="18"/>
      <c r="J353" s="18"/>
      <c r="K353" s="18"/>
    </row>
    <row r="354" spans="2:11" ht="12.75" customHeight="1" x14ac:dyDescent="0.2">
      <c r="B354" s="18"/>
      <c r="C354" s="82"/>
      <c r="D354" s="18"/>
      <c r="E354" s="18"/>
      <c r="F354" s="18"/>
      <c r="G354" s="18"/>
      <c r="H354" s="18"/>
      <c r="I354" s="18"/>
      <c r="J354" s="18"/>
      <c r="K354" s="18"/>
    </row>
    <row r="355" spans="2:11" ht="12.75" customHeight="1" x14ac:dyDescent="0.2">
      <c r="B355" s="18"/>
      <c r="C355" s="82"/>
      <c r="D355" s="18"/>
      <c r="E355" s="18"/>
      <c r="F355" s="18"/>
      <c r="G355" s="18"/>
      <c r="H355" s="18"/>
      <c r="I355" s="18"/>
      <c r="J355" s="18"/>
      <c r="K355" s="18"/>
    </row>
    <row r="356" spans="2:11" ht="12.75" customHeight="1" x14ac:dyDescent="0.2">
      <c r="B356" s="18"/>
      <c r="C356" s="82"/>
      <c r="D356" s="18"/>
      <c r="E356" s="18"/>
      <c r="F356" s="18"/>
      <c r="G356" s="18"/>
      <c r="H356" s="18"/>
      <c r="I356" s="18"/>
      <c r="J356" s="18"/>
      <c r="K356" s="18"/>
    </row>
    <row r="357" spans="2:11" ht="12.75" customHeight="1" x14ac:dyDescent="0.2">
      <c r="B357" s="18"/>
      <c r="C357" s="82"/>
      <c r="D357" s="18"/>
      <c r="E357" s="18"/>
      <c r="F357" s="18"/>
      <c r="G357" s="18"/>
      <c r="H357" s="18"/>
      <c r="I357" s="18"/>
      <c r="J357" s="18"/>
      <c r="K357" s="18"/>
    </row>
    <row r="358" spans="2:11" ht="12.75" customHeight="1" x14ac:dyDescent="0.2">
      <c r="B358" s="18"/>
      <c r="C358" s="82"/>
      <c r="D358" s="18"/>
      <c r="E358" s="18"/>
      <c r="F358" s="18"/>
      <c r="G358" s="18"/>
      <c r="H358" s="18"/>
      <c r="I358" s="18"/>
      <c r="J358" s="18"/>
      <c r="K358" s="18"/>
    </row>
    <row r="359" spans="2:11" ht="12.75" customHeight="1" x14ac:dyDescent="0.2">
      <c r="B359" s="18"/>
      <c r="C359" s="82"/>
      <c r="D359" s="18"/>
      <c r="E359" s="18"/>
      <c r="F359" s="18"/>
      <c r="G359" s="18"/>
      <c r="H359" s="18"/>
      <c r="I359" s="18"/>
      <c r="J359" s="18"/>
      <c r="K359" s="18"/>
    </row>
    <row r="360" spans="2:11" ht="12.75" customHeight="1" x14ac:dyDescent="0.2">
      <c r="B360" s="18"/>
      <c r="C360" s="82"/>
      <c r="D360" s="18"/>
      <c r="E360" s="18"/>
      <c r="F360" s="18"/>
      <c r="G360" s="18"/>
      <c r="H360" s="18"/>
      <c r="I360" s="18"/>
      <c r="J360" s="18"/>
      <c r="K360" s="18"/>
    </row>
    <row r="361" spans="2:11" ht="12.75" customHeight="1" x14ac:dyDescent="0.2">
      <c r="B361" s="18"/>
      <c r="C361" s="82"/>
      <c r="D361" s="18"/>
      <c r="E361" s="18"/>
      <c r="F361" s="18"/>
      <c r="G361" s="18"/>
      <c r="H361" s="18"/>
      <c r="I361" s="18"/>
      <c r="J361" s="18"/>
      <c r="K361" s="18"/>
    </row>
    <row r="362" spans="2:11" ht="12.75" customHeight="1" x14ac:dyDescent="0.2">
      <c r="B362" s="18"/>
      <c r="C362" s="82"/>
      <c r="D362" s="18"/>
      <c r="E362" s="18"/>
      <c r="F362" s="18"/>
      <c r="G362" s="18"/>
      <c r="H362" s="18"/>
      <c r="I362" s="18"/>
      <c r="J362" s="18"/>
      <c r="K362" s="18"/>
    </row>
    <row r="363" spans="2:11" ht="12.75" customHeight="1" x14ac:dyDescent="0.2">
      <c r="B363" s="18"/>
      <c r="C363" s="82"/>
      <c r="D363" s="18"/>
      <c r="E363" s="18"/>
      <c r="F363" s="18"/>
      <c r="G363" s="18"/>
      <c r="H363" s="18"/>
      <c r="I363" s="18"/>
      <c r="J363" s="18"/>
      <c r="K363" s="18"/>
    </row>
    <row r="364" spans="2:11" ht="12.75" customHeight="1" x14ac:dyDescent="0.2">
      <c r="B364" s="18"/>
      <c r="C364" s="82"/>
      <c r="D364" s="18"/>
      <c r="E364" s="18"/>
      <c r="F364" s="18"/>
      <c r="G364" s="18"/>
      <c r="H364" s="18"/>
      <c r="I364" s="18"/>
      <c r="J364" s="18"/>
      <c r="K364" s="18"/>
    </row>
    <row r="365" spans="2:11" ht="12.75" customHeight="1" x14ac:dyDescent="0.2">
      <c r="B365" s="18"/>
      <c r="C365" s="82"/>
      <c r="D365" s="18"/>
      <c r="E365" s="18"/>
      <c r="F365" s="18"/>
      <c r="G365" s="18"/>
      <c r="H365" s="18"/>
      <c r="I365" s="18"/>
      <c r="J365" s="18"/>
      <c r="K365" s="18"/>
    </row>
    <row r="366" spans="2:11" ht="12.75" customHeight="1" x14ac:dyDescent="0.2">
      <c r="B366" s="18"/>
      <c r="C366" s="82"/>
      <c r="D366" s="18"/>
      <c r="E366" s="18"/>
      <c r="F366" s="18"/>
      <c r="G366" s="18"/>
      <c r="H366" s="18"/>
      <c r="I366" s="18"/>
      <c r="J366" s="18"/>
      <c r="K366" s="18"/>
    </row>
    <row r="367" spans="2:11" ht="12.75" customHeight="1" x14ac:dyDescent="0.2">
      <c r="B367" s="18"/>
      <c r="C367" s="82"/>
      <c r="D367" s="18"/>
      <c r="E367" s="18"/>
      <c r="F367" s="18"/>
      <c r="G367" s="18"/>
      <c r="H367" s="18"/>
      <c r="I367" s="18"/>
      <c r="J367" s="18"/>
      <c r="K367" s="18"/>
    </row>
    <row r="368" spans="2:11" ht="12.75" customHeight="1" x14ac:dyDescent="0.2">
      <c r="B368" s="18"/>
      <c r="C368" s="82"/>
      <c r="D368" s="18"/>
      <c r="E368" s="18"/>
      <c r="F368" s="18"/>
      <c r="G368" s="18"/>
      <c r="H368" s="18"/>
      <c r="I368" s="18"/>
      <c r="J368" s="18"/>
      <c r="K368" s="18"/>
    </row>
    <row r="369" spans="2:11" ht="12.75" customHeight="1" x14ac:dyDescent="0.2">
      <c r="B369" s="18"/>
      <c r="C369" s="82"/>
      <c r="D369" s="18"/>
      <c r="E369" s="18"/>
      <c r="F369" s="18"/>
      <c r="G369" s="18"/>
      <c r="H369" s="18"/>
      <c r="I369" s="18"/>
      <c r="J369" s="18"/>
      <c r="K369" s="18"/>
    </row>
    <row r="370" spans="2:11" ht="12.75" customHeight="1" x14ac:dyDescent="0.2">
      <c r="B370" s="18"/>
      <c r="C370" s="82"/>
      <c r="D370" s="18"/>
      <c r="E370" s="18"/>
      <c r="F370" s="18"/>
      <c r="G370" s="18"/>
      <c r="H370" s="18"/>
      <c r="I370" s="18"/>
      <c r="J370" s="18"/>
      <c r="K370" s="18"/>
    </row>
    <row r="371" spans="2:11" ht="12.75" customHeight="1" x14ac:dyDescent="0.2">
      <c r="B371" s="18"/>
      <c r="C371" s="82"/>
      <c r="D371" s="18"/>
      <c r="E371" s="18"/>
      <c r="F371" s="18"/>
      <c r="G371" s="18"/>
      <c r="H371" s="18"/>
      <c r="I371" s="18"/>
      <c r="J371" s="18"/>
      <c r="K371" s="18"/>
    </row>
    <row r="372" spans="2:11" ht="12.75" customHeight="1" x14ac:dyDescent="0.2">
      <c r="B372" s="18"/>
      <c r="C372" s="82"/>
      <c r="D372" s="18"/>
      <c r="E372" s="18"/>
      <c r="F372" s="18"/>
      <c r="G372" s="18"/>
      <c r="H372" s="18"/>
      <c r="I372" s="18"/>
      <c r="J372" s="18"/>
      <c r="K372" s="18"/>
    </row>
    <row r="373" spans="2:11" ht="12.75" customHeight="1" x14ac:dyDescent="0.2">
      <c r="B373" s="18"/>
      <c r="C373" s="82"/>
      <c r="D373" s="18"/>
      <c r="E373" s="18"/>
      <c r="F373" s="18"/>
      <c r="G373" s="18"/>
      <c r="H373" s="18"/>
      <c r="I373" s="18"/>
      <c r="J373" s="18"/>
      <c r="K373" s="18"/>
    </row>
    <row r="374" spans="2:11" ht="12.75" customHeight="1" x14ac:dyDescent="0.2">
      <c r="B374" s="18"/>
      <c r="C374" s="82"/>
      <c r="D374" s="18"/>
      <c r="E374" s="18"/>
      <c r="F374" s="18"/>
      <c r="G374" s="18"/>
      <c r="H374" s="18"/>
      <c r="I374" s="18"/>
      <c r="J374" s="18"/>
      <c r="K374" s="18"/>
    </row>
    <row r="375" spans="2:11" ht="12.75" customHeight="1" x14ac:dyDescent="0.2">
      <c r="B375" s="18"/>
      <c r="C375" s="82"/>
      <c r="D375" s="18"/>
      <c r="E375" s="18"/>
      <c r="F375" s="18"/>
      <c r="G375" s="18"/>
      <c r="H375" s="18"/>
      <c r="I375" s="18"/>
      <c r="J375" s="18"/>
      <c r="K375" s="18"/>
    </row>
    <row r="376" spans="2:11" ht="12.75" customHeight="1" x14ac:dyDescent="0.2">
      <c r="B376" s="18"/>
      <c r="C376" s="82"/>
      <c r="D376" s="18"/>
      <c r="E376" s="18"/>
      <c r="F376" s="18"/>
      <c r="G376" s="18"/>
      <c r="H376" s="18"/>
      <c r="I376" s="18"/>
      <c r="J376" s="18"/>
      <c r="K376" s="18"/>
    </row>
    <row r="377" spans="2:11" ht="12.75" customHeight="1" x14ac:dyDescent="0.2">
      <c r="B377" s="18"/>
      <c r="C377" s="82"/>
      <c r="D377" s="18"/>
      <c r="E377" s="18"/>
      <c r="F377" s="18"/>
      <c r="G377" s="18"/>
      <c r="H377" s="18"/>
      <c r="I377" s="18"/>
      <c r="J377" s="18"/>
      <c r="K377" s="18"/>
    </row>
    <row r="378" spans="2:11" ht="12.75" customHeight="1" x14ac:dyDescent="0.2">
      <c r="B378" s="18"/>
      <c r="C378" s="82"/>
      <c r="D378" s="18"/>
      <c r="E378" s="18"/>
      <c r="F378" s="18"/>
      <c r="G378" s="18"/>
      <c r="H378" s="18"/>
      <c r="I378" s="18"/>
      <c r="J378" s="18"/>
      <c r="K378" s="18"/>
    </row>
    <row r="379" spans="2:11" ht="12.75" customHeight="1" x14ac:dyDescent="0.2">
      <c r="B379" s="18"/>
      <c r="C379" s="82"/>
      <c r="D379" s="18"/>
      <c r="E379" s="18"/>
      <c r="F379" s="18"/>
      <c r="G379" s="18"/>
      <c r="H379" s="18"/>
      <c r="I379" s="18"/>
      <c r="J379" s="18"/>
      <c r="K379" s="18"/>
    </row>
    <row r="380" spans="2:11" ht="12.75" customHeight="1" x14ac:dyDescent="0.2">
      <c r="B380" s="18"/>
      <c r="C380" s="82"/>
      <c r="D380" s="18"/>
      <c r="E380" s="18"/>
      <c r="F380" s="18"/>
      <c r="G380" s="18"/>
      <c r="H380" s="18"/>
      <c r="I380" s="18"/>
      <c r="J380" s="18"/>
      <c r="K380" s="18"/>
    </row>
    <row r="381" spans="2:11" ht="12.75" customHeight="1" x14ac:dyDescent="0.2">
      <c r="B381" s="18"/>
      <c r="C381" s="82"/>
      <c r="D381" s="18"/>
      <c r="E381" s="18"/>
      <c r="F381" s="18"/>
      <c r="G381" s="18"/>
      <c r="H381" s="18"/>
      <c r="I381" s="18"/>
      <c r="J381" s="18"/>
      <c r="K381" s="18"/>
    </row>
    <row r="382" spans="2:11" ht="12.75" customHeight="1" x14ac:dyDescent="0.2">
      <c r="B382" s="18"/>
      <c r="C382" s="82"/>
      <c r="D382" s="18"/>
      <c r="E382" s="18"/>
      <c r="F382" s="18"/>
      <c r="G382" s="18"/>
      <c r="H382" s="18"/>
      <c r="I382" s="18"/>
      <c r="J382" s="18"/>
      <c r="K382" s="18"/>
    </row>
    <row r="383" spans="2:11" ht="12.75" customHeight="1" x14ac:dyDescent="0.2">
      <c r="B383" s="18"/>
      <c r="C383" s="82"/>
      <c r="D383" s="18"/>
      <c r="E383" s="18"/>
      <c r="F383" s="18"/>
      <c r="G383" s="18"/>
      <c r="H383" s="18"/>
      <c r="I383" s="18"/>
      <c r="J383" s="18"/>
      <c r="K383" s="18"/>
    </row>
    <row r="384" spans="2:11" ht="12.75" customHeight="1" x14ac:dyDescent="0.2">
      <c r="B384" s="18"/>
      <c r="C384" s="82"/>
      <c r="D384" s="18"/>
      <c r="E384" s="18"/>
      <c r="F384" s="18"/>
      <c r="G384" s="18"/>
      <c r="H384" s="18"/>
      <c r="I384" s="18"/>
      <c r="J384" s="18"/>
      <c r="K384" s="18"/>
    </row>
    <row r="385" spans="2:11" ht="12.75" customHeight="1" x14ac:dyDescent="0.2">
      <c r="B385" s="18"/>
      <c r="C385" s="82"/>
      <c r="D385" s="18"/>
      <c r="E385" s="18"/>
      <c r="F385" s="18"/>
      <c r="G385" s="18"/>
      <c r="H385" s="18"/>
      <c r="I385" s="18"/>
      <c r="J385" s="18"/>
      <c r="K385" s="18"/>
    </row>
    <row r="386" spans="2:11" ht="12.75" customHeight="1" x14ac:dyDescent="0.2">
      <c r="B386" s="18"/>
      <c r="C386" s="82"/>
      <c r="D386" s="18"/>
      <c r="E386" s="18"/>
      <c r="F386" s="18"/>
      <c r="G386" s="18"/>
      <c r="H386" s="18"/>
      <c r="I386" s="18"/>
      <c r="J386" s="18"/>
      <c r="K386" s="18"/>
    </row>
    <row r="387" spans="2:11" ht="12.75" customHeight="1" x14ac:dyDescent="0.2">
      <c r="B387" s="18"/>
      <c r="C387" s="82"/>
      <c r="D387" s="18"/>
      <c r="E387" s="18"/>
      <c r="F387" s="18"/>
      <c r="G387" s="18"/>
      <c r="H387" s="18"/>
      <c r="I387" s="18"/>
      <c r="J387" s="18"/>
      <c r="K387" s="18"/>
    </row>
    <row r="388" spans="2:11" ht="12.75" customHeight="1" x14ac:dyDescent="0.2">
      <c r="B388" s="18"/>
      <c r="C388" s="82"/>
      <c r="D388" s="18"/>
      <c r="E388" s="18"/>
      <c r="F388" s="18"/>
      <c r="G388" s="18"/>
      <c r="H388" s="18"/>
      <c r="I388" s="18"/>
      <c r="J388" s="18"/>
      <c r="K388" s="18"/>
    </row>
    <row r="389" spans="2:11" ht="12.75" customHeight="1" x14ac:dyDescent="0.2">
      <c r="B389" s="18"/>
      <c r="C389" s="82"/>
      <c r="D389" s="18"/>
      <c r="E389" s="18"/>
      <c r="F389" s="18"/>
      <c r="G389" s="18"/>
      <c r="H389" s="18"/>
      <c r="I389" s="18"/>
      <c r="J389" s="18"/>
      <c r="K389" s="18"/>
    </row>
    <row r="390" spans="2:11" ht="12.75" customHeight="1" x14ac:dyDescent="0.2">
      <c r="B390" s="18"/>
      <c r="C390" s="82"/>
      <c r="D390" s="18"/>
      <c r="E390" s="18"/>
      <c r="F390" s="18"/>
      <c r="G390" s="18"/>
      <c r="H390" s="18"/>
      <c r="I390" s="18"/>
      <c r="J390" s="18"/>
      <c r="K390" s="18"/>
    </row>
    <row r="391" spans="2:11" ht="12.75" customHeight="1" x14ac:dyDescent="0.2">
      <c r="B391" s="18"/>
      <c r="C391" s="82"/>
      <c r="D391" s="18"/>
      <c r="E391" s="18"/>
      <c r="F391" s="18"/>
      <c r="G391" s="18"/>
      <c r="H391" s="18"/>
      <c r="I391" s="18"/>
      <c r="J391" s="18"/>
      <c r="K391" s="18"/>
    </row>
    <row r="392" spans="2:11" ht="12.75" customHeight="1" x14ac:dyDescent="0.2">
      <c r="B392" s="18"/>
      <c r="C392" s="82"/>
      <c r="D392" s="18"/>
      <c r="E392" s="18"/>
      <c r="F392" s="18"/>
      <c r="G392" s="18"/>
      <c r="H392" s="18"/>
      <c r="I392" s="18"/>
      <c r="J392" s="18"/>
      <c r="K392" s="18"/>
    </row>
    <row r="393" spans="2:11" ht="12.75" customHeight="1" x14ac:dyDescent="0.2">
      <c r="B393" s="18"/>
      <c r="C393" s="82"/>
      <c r="D393" s="18"/>
      <c r="E393" s="18"/>
      <c r="F393" s="18"/>
      <c r="G393" s="18"/>
      <c r="H393" s="18"/>
      <c r="I393" s="18"/>
      <c r="J393" s="18"/>
      <c r="K393" s="18"/>
    </row>
    <row r="394" spans="2:11" ht="12.75" customHeight="1" x14ac:dyDescent="0.2">
      <c r="B394" s="18"/>
      <c r="C394" s="82"/>
      <c r="D394" s="18"/>
      <c r="E394" s="18"/>
      <c r="F394" s="18"/>
      <c r="G394" s="18"/>
      <c r="H394" s="18"/>
      <c r="I394" s="18"/>
      <c r="J394" s="18"/>
      <c r="K394" s="18"/>
    </row>
    <row r="395" spans="2:11" ht="12.75" customHeight="1" x14ac:dyDescent="0.2">
      <c r="B395" s="18"/>
      <c r="C395" s="82"/>
      <c r="D395" s="18"/>
      <c r="E395" s="18"/>
      <c r="F395" s="18"/>
      <c r="G395" s="18"/>
      <c r="H395" s="18"/>
      <c r="I395" s="18"/>
      <c r="J395" s="18"/>
      <c r="K395" s="18"/>
    </row>
    <row r="396" spans="2:11" ht="12.75" customHeight="1" x14ac:dyDescent="0.2">
      <c r="B396" s="18"/>
      <c r="C396" s="82"/>
      <c r="D396" s="18"/>
      <c r="E396" s="18"/>
      <c r="F396" s="18"/>
      <c r="G396" s="18"/>
      <c r="H396" s="18"/>
      <c r="I396" s="18"/>
      <c r="J396" s="18"/>
      <c r="K396" s="18"/>
    </row>
    <row r="397" spans="2:11" ht="12.75" customHeight="1" x14ac:dyDescent="0.2">
      <c r="B397" s="18"/>
      <c r="C397" s="82"/>
      <c r="D397" s="18"/>
      <c r="E397" s="18"/>
      <c r="F397" s="18"/>
      <c r="G397" s="18"/>
      <c r="H397" s="18"/>
      <c r="I397" s="18"/>
      <c r="J397" s="18"/>
      <c r="K397" s="18"/>
    </row>
    <row r="398" spans="2:11" ht="12.75" customHeight="1" x14ac:dyDescent="0.2">
      <c r="B398" s="18"/>
      <c r="C398" s="82"/>
      <c r="D398" s="18"/>
      <c r="E398" s="18"/>
      <c r="F398" s="18"/>
      <c r="G398" s="18"/>
      <c r="H398" s="18"/>
      <c r="I398" s="18"/>
      <c r="J398" s="18"/>
      <c r="K398" s="18"/>
    </row>
    <row r="399" spans="2:11" ht="12.75" customHeight="1" x14ac:dyDescent="0.2">
      <c r="B399" s="18"/>
      <c r="C399" s="82"/>
      <c r="D399" s="18"/>
      <c r="E399" s="18"/>
      <c r="F399" s="18"/>
      <c r="G399" s="18"/>
      <c r="H399" s="18"/>
      <c r="I399" s="18"/>
      <c r="J399" s="18"/>
      <c r="K399" s="18"/>
    </row>
    <row r="400" spans="2:11" ht="12.75" customHeight="1" x14ac:dyDescent="0.2">
      <c r="B400" s="18"/>
      <c r="C400" s="82"/>
      <c r="D400" s="18"/>
      <c r="E400" s="18"/>
      <c r="F400" s="18"/>
      <c r="G400" s="18"/>
      <c r="H400" s="18"/>
      <c r="I400" s="18"/>
      <c r="J400" s="18"/>
      <c r="K400" s="18"/>
    </row>
    <row r="401" spans="2:11" ht="12.75" customHeight="1" x14ac:dyDescent="0.2">
      <c r="B401" s="18"/>
      <c r="C401" s="82"/>
      <c r="D401" s="18"/>
      <c r="E401" s="18"/>
      <c r="F401" s="18"/>
      <c r="G401" s="18"/>
      <c r="H401" s="18"/>
      <c r="I401" s="18"/>
      <c r="J401" s="18"/>
      <c r="K401" s="18"/>
    </row>
    <row r="402" spans="2:11" ht="12.75" customHeight="1" x14ac:dyDescent="0.2">
      <c r="B402" s="18"/>
      <c r="C402" s="82"/>
      <c r="D402" s="18"/>
      <c r="E402" s="18"/>
      <c r="F402" s="18"/>
      <c r="G402" s="18"/>
      <c r="H402" s="18"/>
      <c r="I402" s="18"/>
      <c r="J402" s="18"/>
      <c r="K402" s="18"/>
    </row>
    <row r="403" spans="2:11" ht="12.75" customHeight="1" x14ac:dyDescent="0.2">
      <c r="B403" s="18"/>
      <c r="C403" s="82"/>
      <c r="D403" s="18"/>
      <c r="E403" s="18"/>
      <c r="F403" s="18"/>
      <c r="G403" s="18"/>
      <c r="H403" s="18"/>
      <c r="I403" s="18"/>
      <c r="J403" s="18"/>
      <c r="K403" s="18"/>
    </row>
    <row r="404" spans="2:11" ht="12.75" customHeight="1" x14ac:dyDescent="0.2">
      <c r="B404" s="18"/>
      <c r="C404" s="82"/>
      <c r="D404" s="18"/>
      <c r="E404" s="18"/>
      <c r="F404" s="18"/>
      <c r="G404" s="18"/>
      <c r="H404" s="18"/>
      <c r="I404" s="18"/>
      <c r="J404" s="18"/>
      <c r="K404" s="18"/>
    </row>
    <row r="405" spans="2:11" ht="12.75" customHeight="1" x14ac:dyDescent="0.2">
      <c r="B405" s="18"/>
      <c r="C405" s="82"/>
      <c r="D405" s="18"/>
      <c r="E405" s="18"/>
      <c r="F405" s="18"/>
      <c r="G405" s="18"/>
      <c r="H405" s="18"/>
      <c r="I405" s="18"/>
      <c r="J405" s="18"/>
      <c r="K405" s="18"/>
    </row>
    <row r="406" spans="2:11" ht="12.75" customHeight="1" x14ac:dyDescent="0.2">
      <c r="B406" s="18"/>
      <c r="C406" s="82"/>
      <c r="D406" s="18"/>
      <c r="E406" s="18"/>
      <c r="F406" s="18"/>
      <c r="G406" s="18"/>
      <c r="H406" s="18"/>
      <c r="I406" s="18"/>
      <c r="J406" s="18"/>
      <c r="K406" s="18"/>
    </row>
    <row r="407" spans="2:11" ht="12.75" customHeight="1" x14ac:dyDescent="0.2">
      <c r="B407" s="18"/>
      <c r="C407" s="82"/>
      <c r="D407" s="18"/>
      <c r="E407" s="18"/>
      <c r="F407" s="18"/>
      <c r="G407" s="18"/>
      <c r="H407" s="18"/>
      <c r="I407" s="18"/>
      <c r="J407" s="18"/>
      <c r="K407" s="18"/>
    </row>
    <row r="408" spans="2:11" ht="12.75" customHeight="1" x14ac:dyDescent="0.2">
      <c r="B408" s="18"/>
      <c r="C408" s="82"/>
      <c r="D408" s="18"/>
      <c r="E408" s="18"/>
      <c r="F408" s="18"/>
      <c r="G408" s="18"/>
      <c r="H408" s="18"/>
      <c r="I408" s="18"/>
      <c r="J408" s="18"/>
      <c r="K408" s="18"/>
    </row>
    <row r="409" spans="2:11" ht="12.75" customHeight="1" x14ac:dyDescent="0.2">
      <c r="B409" s="18"/>
      <c r="C409" s="82"/>
      <c r="D409" s="18"/>
      <c r="E409" s="18"/>
      <c r="F409" s="18"/>
      <c r="G409" s="18"/>
      <c r="H409" s="18"/>
      <c r="I409" s="18"/>
      <c r="J409" s="18"/>
      <c r="K409" s="18"/>
    </row>
    <row r="410" spans="2:11" ht="12.75" customHeight="1" x14ac:dyDescent="0.2">
      <c r="B410" s="18"/>
      <c r="C410" s="82"/>
      <c r="D410" s="18"/>
      <c r="E410" s="18"/>
      <c r="F410" s="18"/>
      <c r="G410" s="18"/>
      <c r="H410" s="18"/>
      <c r="I410" s="18"/>
      <c r="J410" s="18"/>
      <c r="K410" s="18"/>
    </row>
    <row r="411" spans="2:11" ht="12.75" customHeight="1" x14ac:dyDescent="0.2">
      <c r="B411" s="18"/>
      <c r="C411" s="82"/>
      <c r="D411" s="18"/>
      <c r="E411" s="18"/>
      <c r="F411" s="18"/>
      <c r="G411" s="18"/>
      <c r="H411" s="18"/>
      <c r="I411" s="18"/>
      <c r="J411" s="18"/>
      <c r="K411" s="18"/>
    </row>
    <row r="412" spans="2:11" ht="12.75" customHeight="1" x14ac:dyDescent="0.2">
      <c r="B412" s="18"/>
      <c r="C412" s="82"/>
      <c r="D412" s="18"/>
      <c r="E412" s="18"/>
      <c r="F412" s="18"/>
      <c r="G412" s="18"/>
      <c r="H412" s="18"/>
      <c r="I412" s="18"/>
      <c r="J412" s="18"/>
      <c r="K412" s="18"/>
    </row>
    <row r="413" spans="2:11" ht="12.75" customHeight="1" x14ac:dyDescent="0.2">
      <c r="B413" s="18"/>
      <c r="C413" s="82"/>
      <c r="D413" s="18"/>
      <c r="E413" s="18"/>
      <c r="F413" s="18"/>
      <c r="G413" s="18"/>
      <c r="H413" s="18"/>
      <c r="I413" s="18"/>
      <c r="J413" s="18"/>
      <c r="K413" s="18"/>
    </row>
    <row r="414" spans="2:11" ht="12.75" customHeight="1" x14ac:dyDescent="0.2">
      <c r="B414" s="18"/>
      <c r="C414" s="82"/>
      <c r="D414" s="18"/>
      <c r="E414" s="18"/>
      <c r="F414" s="18"/>
      <c r="G414" s="18"/>
      <c r="H414" s="18"/>
      <c r="I414" s="18"/>
      <c r="J414" s="18"/>
      <c r="K414" s="18"/>
    </row>
    <row r="415" spans="2:11" ht="12.75" customHeight="1" x14ac:dyDescent="0.2">
      <c r="B415" s="18"/>
      <c r="C415" s="82"/>
      <c r="D415" s="18"/>
      <c r="E415" s="18"/>
      <c r="F415" s="18"/>
      <c r="G415" s="18"/>
      <c r="H415" s="18"/>
      <c r="I415" s="18"/>
      <c r="J415" s="18"/>
      <c r="K415" s="18"/>
    </row>
    <row r="416" spans="2:11" ht="12.75" customHeight="1" x14ac:dyDescent="0.2">
      <c r="B416" s="18"/>
      <c r="C416" s="82"/>
      <c r="D416" s="18"/>
      <c r="E416" s="18"/>
      <c r="F416" s="18"/>
      <c r="G416" s="18"/>
      <c r="H416" s="18"/>
      <c r="I416" s="18"/>
      <c r="J416" s="18"/>
      <c r="K416" s="18"/>
    </row>
    <row r="417" spans="2:11" ht="12.75" customHeight="1" x14ac:dyDescent="0.2">
      <c r="B417" s="18"/>
      <c r="C417" s="82"/>
      <c r="D417" s="18"/>
      <c r="E417" s="18"/>
      <c r="F417" s="18"/>
      <c r="G417" s="18"/>
      <c r="H417" s="18"/>
      <c r="I417" s="18"/>
      <c r="J417" s="18"/>
      <c r="K417" s="18"/>
    </row>
    <row r="418" spans="2:11" ht="12.75" customHeight="1" x14ac:dyDescent="0.2">
      <c r="B418" s="18"/>
      <c r="C418" s="82"/>
      <c r="D418" s="18"/>
      <c r="E418" s="18"/>
      <c r="F418" s="18"/>
      <c r="G418" s="18"/>
      <c r="H418" s="18"/>
      <c r="I418" s="18"/>
      <c r="J418" s="18"/>
      <c r="K418" s="18"/>
    </row>
    <row r="419" spans="2:11" ht="12.75" customHeight="1" x14ac:dyDescent="0.2">
      <c r="B419" s="18"/>
      <c r="C419" s="82"/>
      <c r="D419" s="18"/>
      <c r="E419" s="18"/>
      <c r="F419" s="18"/>
      <c r="G419" s="18"/>
      <c r="H419" s="18"/>
      <c r="I419" s="18"/>
      <c r="J419" s="18"/>
      <c r="K419" s="18"/>
    </row>
    <row r="420" spans="2:11" ht="12.75" customHeight="1" x14ac:dyDescent="0.2">
      <c r="B420" s="18"/>
      <c r="C420" s="82"/>
      <c r="D420" s="18"/>
      <c r="E420" s="18"/>
      <c r="F420" s="18"/>
      <c r="G420" s="18"/>
      <c r="H420" s="18"/>
      <c r="I420" s="18"/>
      <c r="J420" s="18"/>
      <c r="K420" s="18"/>
    </row>
    <row r="421" spans="2:11" ht="12.75" customHeight="1" x14ac:dyDescent="0.2">
      <c r="B421" s="18"/>
      <c r="C421" s="82"/>
      <c r="D421" s="18"/>
      <c r="E421" s="18"/>
      <c r="F421" s="18"/>
      <c r="G421" s="18"/>
      <c r="H421" s="18"/>
      <c r="I421" s="18"/>
      <c r="J421" s="18"/>
      <c r="K421" s="18"/>
    </row>
    <row r="422" spans="2:11" ht="12.75" customHeight="1" x14ac:dyDescent="0.2">
      <c r="B422" s="18"/>
      <c r="C422" s="82"/>
      <c r="D422" s="18"/>
      <c r="E422" s="18"/>
      <c r="F422" s="18"/>
      <c r="G422" s="18"/>
      <c r="H422" s="18"/>
      <c r="I422" s="18"/>
      <c r="J422" s="18"/>
      <c r="K422" s="18"/>
    </row>
    <row r="423" spans="2:11" ht="12.75" customHeight="1" x14ac:dyDescent="0.2">
      <c r="B423" s="18"/>
      <c r="C423" s="82"/>
      <c r="D423" s="18"/>
      <c r="E423" s="18"/>
      <c r="F423" s="18"/>
      <c r="G423" s="18"/>
      <c r="H423" s="18"/>
      <c r="I423" s="18"/>
      <c r="J423" s="18"/>
      <c r="K423" s="18"/>
    </row>
    <row r="424" spans="2:11" ht="12.75" customHeight="1" x14ac:dyDescent="0.2">
      <c r="B424" s="18"/>
      <c r="C424" s="82"/>
      <c r="D424" s="18"/>
      <c r="E424" s="18"/>
      <c r="F424" s="18"/>
      <c r="G424" s="18"/>
      <c r="H424" s="18"/>
      <c r="I424" s="18"/>
      <c r="J424" s="18"/>
      <c r="K424" s="18"/>
    </row>
    <row r="425" spans="2:11" ht="12.75" customHeight="1" x14ac:dyDescent="0.2">
      <c r="B425" s="18"/>
      <c r="C425" s="82"/>
      <c r="D425" s="18"/>
      <c r="E425" s="18"/>
      <c r="F425" s="18"/>
      <c r="G425" s="18"/>
      <c r="H425" s="18"/>
      <c r="I425" s="18"/>
      <c r="J425" s="18"/>
      <c r="K425" s="18"/>
    </row>
    <row r="426" spans="2:11" ht="12.75" customHeight="1" x14ac:dyDescent="0.2">
      <c r="B426" s="18"/>
      <c r="C426" s="82"/>
      <c r="D426" s="18"/>
      <c r="E426" s="18"/>
      <c r="F426" s="18"/>
      <c r="G426" s="18"/>
      <c r="H426" s="18"/>
      <c r="I426" s="18"/>
      <c r="J426" s="18"/>
      <c r="K426" s="18"/>
    </row>
    <row r="427" spans="2:11" ht="12.75" customHeight="1" x14ac:dyDescent="0.2">
      <c r="B427" s="18"/>
      <c r="C427" s="82"/>
      <c r="D427" s="18"/>
      <c r="E427" s="18"/>
      <c r="F427" s="18"/>
      <c r="G427" s="18"/>
      <c r="H427" s="18"/>
      <c r="I427" s="18"/>
      <c r="J427" s="18"/>
      <c r="K427" s="18"/>
    </row>
    <row r="428" spans="2:11" ht="12.75" customHeight="1" x14ac:dyDescent="0.2">
      <c r="B428" s="18"/>
      <c r="C428" s="82"/>
      <c r="D428" s="18"/>
      <c r="E428" s="18"/>
      <c r="F428" s="18"/>
      <c r="G428" s="18"/>
      <c r="H428" s="18"/>
      <c r="I428" s="18"/>
      <c r="J428" s="18"/>
      <c r="K428" s="18"/>
    </row>
    <row r="429" spans="2:11" ht="12.75" customHeight="1" x14ac:dyDescent="0.2">
      <c r="B429" s="18"/>
      <c r="C429" s="82"/>
      <c r="D429" s="18"/>
      <c r="E429" s="18"/>
      <c r="F429" s="18"/>
      <c r="G429" s="18"/>
      <c r="H429" s="18"/>
      <c r="I429" s="18"/>
      <c r="J429" s="18"/>
      <c r="K429" s="18"/>
    </row>
    <row r="430" spans="2:11" ht="12.75" customHeight="1" x14ac:dyDescent="0.2">
      <c r="B430" s="18"/>
      <c r="C430" s="82"/>
      <c r="D430" s="18"/>
      <c r="E430" s="18"/>
      <c r="F430" s="18"/>
      <c r="G430" s="18"/>
      <c r="H430" s="18"/>
      <c r="I430" s="18"/>
      <c r="J430" s="18"/>
      <c r="K430" s="18"/>
    </row>
    <row r="431" spans="2:11" ht="12.75" customHeight="1" x14ac:dyDescent="0.2">
      <c r="B431" s="18"/>
      <c r="C431" s="82"/>
      <c r="D431" s="18"/>
      <c r="E431" s="18"/>
      <c r="F431" s="18"/>
      <c r="G431" s="18"/>
      <c r="H431" s="18"/>
      <c r="I431" s="18"/>
      <c r="J431" s="18"/>
      <c r="K431" s="18"/>
    </row>
    <row r="432" spans="2:11" ht="12.75" customHeight="1" x14ac:dyDescent="0.2">
      <c r="B432" s="18"/>
      <c r="C432" s="82"/>
      <c r="D432" s="18"/>
      <c r="E432" s="18"/>
      <c r="F432" s="18"/>
      <c r="G432" s="18"/>
      <c r="H432" s="18"/>
      <c r="I432" s="18"/>
      <c r="J432" s="18"/>
      <c r="K432" s="18"/>
    </row>
    <row r="433" spans="2:11" ht="12.75" customHeight="1" x14ac:dyDescent="0.2">
      <c r="B433" s="18"/>
      <c r="C433" s="82"/>
      <c r="D433" s="18"/>
      <c r="E433" s="18"/>
      <c r="F433" s="18"/>
      <c r="G433" s="18"/>
      <c r="H433" s="18"/>
      <c r="I433" s="18"/>
      <c r="J433" s="18"/>
      <c r="K433" s="18"/>
    </row>
    <row r="434" spans="2:11" ht="12.75" customHeight="1" x14ac:dyDescent="0.2">
      <c r="B434" s="18"/>
      <c r="C434" s="82"/>
      <c r="D434" s="18"/>
      <c r="E434" s="18"/>
      <c r="F434" s="18"/>
      <c r="G434" s="18"/>
      <c r="H434" s="18"/>
      <c r="I434" s="18"/>
      <c r="J434" s="18"/>
      <c r="K434" s="18"/>
    </row>
    <row r="435" spans="2:11" ht="12.75" customHeight="1" x14ac:dyDescent="0.2">
      <c r="B435" s="18"/>
      <c r="C435" s="82"/>
      <c r="D435" s="18"/>
      <c r="E435" s="18"/>
      <c r="F435" s="18"/>
      <c r="G435" s="18"/>
      <c r="H435" s="18"/>
      <c r="I435" s="18"/>
      <c r="J435" s="18"/>
      <c r="K435" s="18"/>
    </row>
    <row r="436" spans="2:11" ht="12.75" customHeight="1" x14ac:dyDescent="0.2">
      <c r="B436" s="18"/>
      <c r="C436" s="82"/>
      <c r="D436" s="18"/>
      <c r="E436" s="18"/>
      <c r="F436" s="18"/>
      <c r="G436" s="18"/>
      <c r="H436" s="18"/>
      <c r="I436" s="18"/>
      <c r="J436" s="18"/>
      <c r="K436" s="18"/>
    </row>
    <row r="437" spans="2:11" ht="12.75" customHeight="1" x14ac:dyDescent="0.2">
      <c r="B437" s="18"/>
      <c r="C437" s="82"/>
      <c r="D437" s="18"/>
      <c r="E437" s="18"/>
      <c r="F437" s="18"/>
      <c r="G437" s="18"/>
      <c r="H437" s="18"/>
      <c r="I437" s="18"/>
      <c r="J437" s="18"/>
      <c r="K437" s="18"/>
    </row>
    <row r="438" spans="2:11" ht="12.75" customHeight="1" x14ac:dyDescent="0.2">
      <c r="B438" s="18"/>
      <c r="C438" s="82"/>
      <c r="D438" s="18"/>
      <c r="E438" s="18"/>
      <c r="F438" s="18"/>
      <c r="G438" s="18"/>
      <c r="H438" s="18"/>
      <c r="I438" s="18"/>
      <c r="J438" s="18"/>
      <c r="K438" s="18"/>
    </row>
    <row r="439" spans="2:11" ht="12.75" customHeight="1" x14ac:dyDescent="0.2">
      <c r="B439" s="18"/>
      <c r="C439" s="82"/>
      <c r="D439" s="18"/>
      <c r="E439" s="18"/>
      <c r="F439" s="18"/>
      <c r="G439" s="18"/>
      <c r="H439" s="18"/>
      <c r="I439" s="18"/>
      <c r="J439" s="18"/>
      <c r="K439" s="18"/>
    </row>
    <row r="440" spans="2:11" ht="12.75" customHeight="1" x14ac:dyDescent="0.2">
      <c r="B440" s="18"/>
      <c r="C440" s="82"/>
      <c r="D440" s="18"/>
      <c r="E440" s="18"/>
      <c r="F440" s="18"/>
      <c r="G440" s="18"/>
      <c r="H440" s="18"/>
      <c r="I440" s="18"/>
      <c r="J440" s="18"/>
      <c r="K440" s="18"/>
    </row>
    <row r="441" spans="2:11" ht="12.75" customHeight="1" x14ac:dyDescent="0.2">
      <c r="B441" s="18"/>
      <c r="C441" s="82"/>
      <c r="D441" s="18"/>
      <c r="E441" s="18"/>
      <c r="F441" s="18"/>
      <c r="G441" s="18"/>
      <c r="H441" s="18"/>
      <c r="I441" s="18"/>
      <c r="J441" s="18"/>
      <c r="K441" s="18"/>
    </row>
    <row r="442" spans="2:11" ht="12.75" customHeight="1" x14ac:dyDescent="0.2">
      <c r="B442" s="18"/>
      <c r="C442" s="82"/>
      <c r="D442" s="18"/>
      <c r="E442" s="18"/>
      <c r="F442" s="18"/>
      <c r="G442" s="18"/>
      <c r="H442" s="18"/>
      <c r="I442" s="18"/>
      <c r="J442" s="18"/>
      <c r="K442" s="18"/>
    </row>
    <row r="443" spans="2:11" ht="12.75" customHeight="1" x14ac:dyDescent="0.2">
      <c r="B443" s="18"/>
      <c r="C443" s="82"/>
      <c r="D443" s="18"/>
      <c r="E443" s="18"/>
      <c r="F443" s="18"/>
      <c r="G443" s="18"/>
      <c r="H443" s="18"/>
      <c r="I443" s="18"/>
      <c r="J443" s="18"/>
      <c r="K443" s="18"/>
    </row>
    <row r="444" spans="2:11" ht="12.75" customHeight="1" x14ac:dyDescent="0.2">
      <c r="B444" s="18"/>
      <c r="C444" s="82"/>
      <c r="D444" s="18"/>
      <c r="E444" s="18"/>
      <c r="F444" s="18"/>
      <c r="G444" s="18"/>
      <c r="H444" s="18"/>
      <c r="I444" s="18"/>
      <c r="J444" s="18"/>
      <c r="K444" s="18"/>
    </row>
    <row r="445" spans="2:11" ht="12.75" customHeight="1" x14ac:dyDescent="0.2">
      <c r="B445" s="18"/>
      <c r="C445" s="82"/>
      <c r="D445" s="18"/>
      <c r="E445" s="18"/>
      <c r="F445" s="18"/>
      <c r="G445" s="18"/>
      <c r="H445" s="18"/>
      <c r="I445" s="18"/>
      <c r="J445" s="18"/>
      <c r="K445" s="18"/>
    </row>
    <row r="446" spans="2:11" ht="12.75" customHeight="1" x14ac:dyDescent="0.2">
      <c r="B446" s="18"/>
      <c r="C446" s="82"/>
      <c r="D446" s="18"/>
      <c r="E446" s="18"/>
      <c r="F446" s="18"/>
      <c r="G446" s="18"/>
      <c r="H446" s="18"/>
      <c r="I446" s="18"/>
      <c r="J446" s="18"/>
      <c r="K446" s="18"/>
    </row>
    <row r="447" spans="2:11" ht="12.75" customHeight="1" x14ac:dyDescent="0.2">
      <c r="B447" s="18"/>
      <c r="C447" s="82"/>
      <c r="D447" s="18"/>
      <c r="E447" s="18"/>
      <c r="F447" s="18"/>
      <c r="G447" s="18"/>
      <c r="H447" s="18"/>
      <c r="I447" s="18"/>
      <c r="J447" s="18"/>
      <c r="K447" s="18"/>
    </row>
    <row r="448" spans="2:11" ht="12.75" customHeight="1" x14ac:dyDescent="0.2">
      <c r="B448" s="18"/>
      <c r="C448" s="82"/>
      <c r="D448" s="18"/>
      <c r="E448" s="18"/>
      <c r="F448" s="18"/>
      <c r="G448" s="18"/>
      <c r="H448" s="18"/>
      <c r="I448" s="18"/>
      <c r="J448" s="18"/>
      <c r="K448" s="18"/>
    </row>
    <row r="449" spans="2:11" ht="12.75" customHeight="1" x14ac:dyDescent="0.2">
      <c r="B449" s="18"/>
      <c r="C449" s="82"/>
      <c r="D449" s="18"/>
      <c r="E449" s="18"/>
      <c r="F449" s="18"/>
      <c r="G449" s="18"/>
      <c r="H449" s="18"/>
      <c r="I449" s="18"/>
      <c r="J449" s="18"/>
      <c r="K449" s="18"/>
    </row>
    <row r="450" spans="2:11" ht="12.75" customHeight="1" x14ac:dyDescent="0.2">
      <c r="B450" s="18"/>
      <c r="C450" s="82"/>
      <c r="D450" s="18"/>
      <c r="E450" s="18"/>
      <c r="F450" s="18"/>
      <c r="G450" s="18"/>
      <c r="H450" s="18"/>
      <c r="I450" s="18"/>
      <c r="J450" s="18"/>
      <c r="K450" s="18"/>
    </row>
    <row r="451" spans="2:11" ht="12.75" customHeight="1" x14ac:dyDescent="0.2">
      <c r="B451" s="18"/>
      <c r="C451" s="82"/>
      <c r="D451" s="18"/>
      <c r="E451" s="18"/>
      <c r="F451" s="18"/>
      <c r="G451" s="18"/>
      <c r="H451" s="18"/>
      <c r="I451" s="18"/>
      <c r="J451" s="18"/>
      <c r="K451" s="18"/>
    </row>
    <row r="452" spans="2:11" ht="12.75" customHeight="1" x14ac:dyDescent="0.2">
      <c r="B452" s="18"/>
      <c r="C452" s="82"/>
      <c r="D452" s="18"/>
      <c r="E452" s="18"/>
      <c r="F452" s="18"/>
      <c r="G452" s="18"/>
      <c r="H452" s="18"/>
      <c r="I452" s="18"/>
      <c r="J452" s="18"/>
      <c r="K452" s="18"/>
    </row>
    <row r="453" spans="2:11" ht="12.75" customHeight="1" x14ac:dyDescent="0.2">
      <c r="B453" s="18"/>
      <c r="C453" s="82"/>
      <c r="D453" s="18"/>
      <c r="E453" s="18"/>
      <c r="F453" s="18"/>
      <c r="G453" s="18"/>
      <c r="H453" s="18"/>
      <c r="I453" s="18"/>
      <c r="J453" s="18"/>
      <c r="K453" s="18"/>
    </row>
    <row r="454" spans="2:11" ht="12.75" customHeight="1" x14ac:dyDescent="0.2">
      <c r="B454" s="18"/>
      <c r="C454" s="82"/>
      <c r="D454" s="18"/>
      <c r="E454" s="18"/>
      <c r="F454" s="18"/>
      <c r="G454" s="18"/>
      <c r="H454" s="18"/>
      <c r="I454" s="18"/>
      <c r="J454" s="18"/>
      <c r="K454" s="18"/>
    </row>
    <row r="455" spans="2:11" ht="12.75" customHeight="1" x14ac:dyDescent="0.2">
      <c r="B455" s="18"/>
      <c r="C455" s="82"/>
      <c r="D455" s="18"/>
      <c r="E455" s="18"/>
      <c r="F455" s="18"/>
      <c r="G455" s="18"/>
      <c r="H455" s="18"/>
      <c r="I455" s="18"/>
      <c r="J455" s="18"/>
      <c r="K455" s="18"/>
    </row>
    <row r="456" spans="2:11" ht="12.75" customHeight="1" x14ac:dyDescent="0.2">
      <c r="B456" s="18"/>
      <c r="C456" s="82"/>
      <c r="D456" s="18"/>
      <c r="E456" s="18"/>
      <c r="F456" s="18"/>
      <c r="G456" s="18"/>
      <c r="H456" s="18"/>
      <c r="I456" s="18"/>
      <c r="J456" s="18"/>
      <c r="K456" s="18"/>
    </row>
    <row r="457" spans="2:11" ht="12.75" customHeight="1" x14ac:dyDescent="0.2">
      <c r="B457" s="18"/>
      <c r="C457" s="82"/>
      <c r="D457" s="18"/>
      <c r="E457" s="18"/>
      <c r="F457" s="18"/>
      <c r="G457" s="18"/>
      <c r="H457" s="18"/>
      <c r="I457" s="18"/>
      <c r="J457" s="18"/>
      <c r="K457" s="18"/>
    </row>
    <row r="458" spans="2:11" ht="12.75" customHeight="1" x14ac:dyDescent="0.2">
      <c r="B458" s="18"/>
      <c r="C458" s="82"/>
      <c r="D458" s="18"/>
      <c r="E458" s="18"/>
      <c r="F458" s="18"/>
      <c r="G458" s="18"/>
      <c r="H458" s="18"/>
      <c r="I458" s="18"/>
      <c r="J458" s="18"/>
      <c r="K458" s="18"/>
    </row>
    <row r="459" spans="2:11" ht="12.75" customHeight="1" x14ac:dyDescent="0.2">
      <c r="B459" s="18"/>
      <c r="C459" s="82"/>
      <c r="D459" s="18"/>
      <c r="E459" s="18"/>
      <c r="F459" s="18"/>
      <c r="G459" s="18"/>
      <c r="H459" s="18"/>
      <c r="I459" s="18"/>
      <c r="J459" s="18"/>
      <c r="K459" s="18"/>
    </row>
    <row r="460" spans="2:11" ht="12.75" customHeight="1" x14ac:dyDescent="0.2">
      <c r="B460" s="18"/>
      <c r="C460" s="82"/>
      <c r="D460" s="18"/>
      <c r="E460" s="18"/>
      <c r="F460" s="18"/>
      <c r="G460" s="18"/>
      <c r="H460" s="18"/>
      <c r="I460" s="18"/>
      <c r="J460" s="18"/>
      <c r="K460" s="18"/>
    </row>
    <row r="461" spans="2:11" ht="12.75" customHeight="1" x14ac:dyDescent="0.2">
      <c r="B461" s="18"/>
      <c r="C461" s="82"/>
      <c r="D461" s="18"/>
      <c r="E461" s="18"/>
      <c r="F461" s="18"/>
      <c r="G461" s="18"/>
      <c r="H461" s="18"/>
      <c r="I461" s="18"/>
      <c r="J461" s="18"/>
      <c r="K461" s="18"/>
    </row>
    <row r="462" spans="2:11" ht="12.75" customHeight="1" x14ac:dyDescent="0.2">
      <c r="B462" s="18"/>
      <c r="C462" s="82"/>
      <c r="D462" s="18"/>
      <c r="E462" s="18"/>
      <c r="F462" s="18"/>
      <c r="G462" s="18"/>
      <c r="H462" s="18"/>
      <c r="I462" s="18"/>
      <c r="J462" s="18"/>
      <c r="K462" s="18"/>
    </row>
    <row r="463" spans="2:11" ht="12.75" customHeight="1" x14ac:dyDescent="0.2">
      <c r="B463" s="18"/>
      <c r="C463" s="82"/>
      <c r="D463" s="18"/>
      <c r="E463" s="18"/>
      <c r="F463" s="18"/>
      <c r="G463" s="18"/>
      <c r="H463" s="18"/>
      <c r="I463" s="18"/>
      <c r="J463" s="18"/>
      <c r="K463" s="18"/>
    </row>
    <row r="464" spans="2:11" ht="12.75" customHeight="1" x14ac:dyDescent="0.2">
      <c r="B464" s="18"/>
      <c r="C464" s="82"/>
      <c r="D464" s="18"/>
      <c r="E464" s="18"/>
      <c r="F464" s="18"/>
      <c r="G464" s="18"/>
      <c r="H464" s="18"/>
      <c r="I464" s="18"/>
      <c r="J464" s="18"/>
      <c r="K464" s="18"/>
    </row>
    <row r="465" spans="2:11" ht="12.75" customHeight="1" x14ac:dyDescent="0.2">
      <c r="B465" s="18"/>
      <c r="C465" s="82"/>
      <c r="D465" s="18"/>
      <c r="E465" s="18"/>
      <c r="F465" s="18"/>
      <c r="G465" s="18"/>
      <c r="H465" s="18"/>
      <c r="I465" s="18"/>
      <c r="J465" s="18"/>
      <c r="K465" s="18"/>
    </row>
    <row r="466" spans="2:11" ht="12.75" customHeight="1" x14ac:dyDescent="0.2">
      <c r="B466" s="18"/>
      <c r="C466" s="82"/>
      <c r="D466" s="18"/>
      <c r="E466" s="18"/>
      <c r="F466" s="18"/>
      <c r="G466" s="18"/>
      <c r="H466" s="18"/>
      <c r="I466" s="18"/>
      <c r="J466" s="18"/>
      <c r="K466" s="18"/>
    </row>
    <row r="467" spans="2:11" ht="12.75" customHeight="1" x14ac:dyDescent="0.2">
      <c r="B467" s="18"/>
      <c r="C467" s="82"/>
      <c r="D467" s="18"/>
      <c r="E467" s="18"/>
      <c r="F467" s="18"/>
      <c r="G467" s="18"/>
      <c r="H467" s="18"/>
      <c r="I467" s="18"/>
      <c r="J467" s="18"/>
      <c r="K467" s="18"/>
    </row>
    <row r="468" spans="2:11" ht="12.75" customHeight="1" x14ac:dyDescent="0.2">
      <c r="B468" s="18"/>
      <c r="C468" s="82"/>
      <c r="D468" s="18"/>
      <c r="E468" s="18"/>
      <c r="F468" s="18"/>
      <c r="G468" s="18"/>
      <c r="H468" s="18"/>
      <c r="I468" s="18"/>
      <c r="J468" s="18"/>
      <c r="K468" s="18"/>
    </row>
    <row r="469" spans="2:11" ht="12.75" customHeight="1" x14ac:dyDescent="0.2">
      <c r="B469" s="18"/>
      <c r="C469" s="82"/>
      <c r="D469" s="18"/>
      <c r="E469" s="18"/>
      <c r="F469" s="18"/>
      <c r="G469" s="18"/>
      <c r="H469" s="18"/>
      <c r="I469" s="18"/>
      <c r="J469" s="18"/>
      <c r="K469" s="18"/>
    </row>
    <row r="470" spans="2:11" ht="12.75" customHeight="1" x14ac:dyDescent="0.2">
      <c r="B470" s="18"/>
      <c r="C470" s="82"/>
      <c r="D470" s="18"/>
      <c r="E470" s="18"/>
      <c r="F470" s="18"/>
      <c r="G470" s="18"/>
      <c r="H470" s="18"/>
      <c r="I470" s="18"/>
      <c r="J470" s="18"/>
      <c r="K470" s="18"/>
    </row>
    <row r="471" spans="2:11" ht="12.75" customHeight="1" x14ac:dyDescent="0.2">
      <c r="B471" s="18"/>
      <c r="C471" s="82"/>
      <c r="D471" s="18"/>
      <c r="E471" s="18"/>
      <c r="F471" s="18"/>
      <c r="G471" s="18"/>
      <c r="H471" s="18"/>
      <c r="I471" s="18"/>
      <c r="J471" s="18"/>
      <c r="K471" s="18"/>
    </row>
    <row r="472" spans="2:11" ht="12.75" customHeight="1" x14ac:dyDescent="0.2">
      <c r="B472" s="18"/>
      <c r="C472" s="82"/>
      <c r="D472" s="18"/>
      <c r="E472" s="18"/>
      <c r="F472" s="18"/>
      <c r="G472" s="18"/>
      <c r="H472" s="18"/>
      <c r="I472" s="18"/>
      <c r="J472" s="18"/>
      <c r="K472" s="18"/>
    </row>
    <row r="473" spans="2:11" ht="12.75" customHeight="1" x14ac:dyDescent="0.2">
      <c r="B473" s="18"/>
      <c r="C473" s="82"/>
      <c r="D473" s="18"/>
      <c r="E473" s="18"/>
      <c r="F473" s="18"/>
      <c r="G473" s="18"/>
      <c r="H473" s="18"/>
      <c r="I473" s="18"/>
      <c r="J473" s="18"/>
      <c r="K473" s="18"/>
    </row>
    <row r="474" spans="2:11" ht="12.75" customHeight="1" x14ac:dyDescent="0.2">
      <c r="B474" s="18"/>
      <c r="C474" s="82"/>
      <c r="D474" s="18"/>
      <c r="E474" s="18"/>
      <c r="F474" s="18"/>
      <c r="G474" s="18"/>
      <c r="H474" s="18"/>
      <c r="I474" s="18"/>
      <c r="J474" s="18"/>
      <c r="K474" s="18"/>
    </row>
    <row r="475" spans="2:11" ht="12.75" customHeight="1" x14ac:dyDescent="0.2">
      <c r="B475" s="18"/>
      <c r="C475" s="82"/>
      <c r="D475" s="18"/>
      <c r="E475" s="18"/>
      <c r="F475" s="18"/>
      <c r="G475" s="18"/>
      <c r="H475" s="18"/>
      <c r="I475" s="18"/>
      <c r="J475" s="18"/>
      <c r="K475" s="18"/>
    </row>
    <row r="476" spans="2:11" ht="12.75" customHeight="1" x14ac:dyDescent="0.2">
      <c r="B476" s="18"/>
      <c r="C476" s="82"/>
      <c r="D476" s="18"/>
      <c r="E476" s="18"/>
      <c r="F476" s="18"/>
      <c r="G476" s="18"/>
      <c r="H476" s="18"/>
      <c r="I476" s="18"/>
      <c r="J476" s="18"/>
      <c r="K476" s="18"/>
    </row>
    <row r="477" spans="2:11" ht="12.75" customHeight="1" x14ac:dyDescent="0.2">
      <c r="B477" s="18"/>
      <c r="C477" s="82"/>
      <c r="D477" s="18"/>
      <c r="E477" s="18"/>
      <c r="F477" s="18"/>
      <c r="G477" s="18"/>
      <c r="H477" s="18"/>
      <c r="I477" s="18"/>
      <c r="J477" s="18"/>
      <c r="K477" s="18"/>
    </row>
    <row r="478" spans="2:11" ht="12.75" customHeight="1" x14ac:dyDescent="0.2">
      <c r="B478" s="18"/>
      <c r="C478" s="82"/>
      <c r="D478" s="18"/>
      <c r="E478" s="18"/>
      <c r="F478" s="18"/>
      <c r="G478" s="18"/>
      <c r="H478" s="18"/>
      <c r="I478" s="18"/>
      <c r="J478" s="18"/>
      <c r="K478" s="18"/>
    </row>
    <row r="479" spans="2:11" ht="12.75" customHeight="1" x14ac:dyDescent="0.2">
      <c r="B479" s="18"/>
      <c r="C479" s="82"/>
      <c r="D479" s="18"/>
      <c r="E479" s="18"/>
      <c r="F479" s="18"/>
      <c r="G479" s="18"/>
      <c r="H479" s="18"/>
      <c r="I479" s="18"/>
      <c r="J479" s="18"/>
      <c r="K479" s="18"/>
    </row>
    <row r="480" spans="2:11" ht="12.75" customHeight="1" x14ac:dyDescent="0.2">
      <c r="B480" s="18"/>
      <c r="C480" s="82"/>
      <c r="D480" s="18"/>
      <c r="E480" s="18"/>
      <c r="F480" s="18"/>
      <c r="G480" s="18"/>
      <c r="H480" s="18"/>
      <c r="I480" s="18"/>
      <c r="J480" s="18"/>
      <c r="K480" s="18"/>
    </row>
    <row r="481" spans="2:11" ht="12.75" customHeight="1" x14ac:dyDescent="0.2">
      <c r="B481" s="18"/>
      <c r="C481" s="82"/>
      <c r="D481" s="18"/>
      <c r="E481" s="18"/>
      <c r="F481" s="18"/>
      <c r="G481" s="18"/>
      <c r="H481" s="18"/>
      <c r="I481" s="18"/>
      <c r="J481" s="18"/>
      <c r="K481" s="18"/>
    </row>
    <row r="482" spans="2:11" ht="12.75" customHeight="1" x14ac:dyDescent="0.2">
      <c r="B482" s="18"/>
      <c r="C482" s="82"/>
      <c r="D482" s="18"/>
      <c r="E482" s="18"/>
      <c r="F482" s="18"/>
      <c r="G482" s="18"/>
      <c r="H482" s="18"/>
      <c r="I482" s="18"/>
      <c r="J482" s="18"/>
      <c r="K482" s="18"/>
    </row>
    <row r="483" spans="2:11" ht="12.75" customHeight="1" x14ac:dyDescent="0.2">
      <c r="B483" s="18"/>
      <c r="C483" s="82"/>
      <c r="D483" s="18"/>
      <c r="E483" s="18"/>
      <c r="F483" s="18"/>
      <c r="G483" s="18"/>
      <c r="H483" s="18"/>
      <c r="I483" s="18"/>
      <c r="J483" s="18"/>
      <c r="K483" s="18"/>
    </row>
    <row r="484" spans="2:11" ht="12.75" customHeight="1" x14ac:dyDescent="0.2">
      <c r="B484" s="18"/>
      <c r="C484" s="82"/>
      <c r="D484" s="18"/>
      <c r="E484" s="18"/>
      <c r="F484" s="18"/>
      <c r="G484" s="18"/>
      <c r="H484" s="18"/>
      <c r="I484" s="18"/>
      <c r="J484" s="18"/>
      <c r="K484" s="18"/>
    </row>
    <row r="485" spans="2:11" ht="12.75" customHeight="1" x14ac:dyDescent="0.2">
      <c r="B485" s="18"/>
      <c r="C485" s="82"/>
      <c r="D485" s="18"/>
      <c r="E485" s="18"/>
      <c r="F485" s="18"/>
      <c r="G485" s="18"/>
      <c r="H485" s="18"/>
      <c r="I485" s="18"/>
      <c r="J485" s="18"/>
      <c r="K485" s="18"/>
    </row>
    <row r="486" spans="2:11" ht="12.75" customHeight="1" x14ac:dyDescent="0.2">
      <c r="B486" s="18"/>
      <c r="C486" s="82"/>
      <c r="D486" s="18"/>
      <c r="E486" s="18"/>
      <c r="F486" s="18"/>
      <c r="G486" s="18"/>
      <c r="H486" s="18"/>
      <c r="I486" s="18"/>
      <c r="J486" s="18"/>
      <c r="K486" s="18"/>
    </row>
    <row r="487" spans="2:11" ht="12.75" customHeight="1" x14ac:dyDescent="0.2">
      <c r="B487" s="18"/>
      <c r="C487" s="82"/>
      <c r="D487" s="18"/>
      <c r="E487" s="18"/>
      <c r="F487" s="18"/>
      <c r="G487" s="18"/>
      <c r="H487" s="18"/>
      <c r="I487" s="18"/>
      <c r="J487" s="18"/>
      <c r="K487" s="18"/>
    </row>
    <row r="488" spans="2:11" ht="12.75" customHeight="1" x14ac:dyDescent="0.2">
      <c r="B488" s="18"/>
      <c r="C488" s="82"/>
      <c r="D488" s="18"/>
      <c r="E488" s="18"/>
      <c r="F488" s="18"/>
      <c r="G488" s="18"/>
      <c r="H488" s="18"/>
      <c r="I488" s="18"/>
      <c r="J488" s="18"/>
      <c r="K488" s="18"/>
    </row>
    <row r="489" spans="2:11" ht="12.75" customHeight="1" x14ac:dyDescent="0.2">
      <c r="B489" s="18"/>
      <c r="C489" s="82"/>
      <c r="D489" s="18"/>
      <c r="E489" s="18"/>
      <c r="F489" s="18"/>
      <c r="G489" s="18"/>
      <c r="H489" s="18"/>
      <c r="I489" s="18"/>
      <c r="J489" s="18"/>
      <c r="K489" s="18"/>
    </row>
    <row r="490" spans="2:11" ht="12.75" customHeight="1" x14ac:dyDescent="0.2">
      <c r="B490" s="18"/>
      <c r="C490" s="82"/>
      <c r="D490" s="18"/>
      <c r="E490" s="18"/>
      <c r="F490" s="18"/>
      <c r="G490" s="18"/>
      <c r="H490" s="18"/>
      <c r="I490" s="18"/>
      <c r="J490" s="18"/>
      <c r="K490" s="18"/>
    </row>
    <row r="491" spans="2:11" ht="12.75" customHeight="1" x14ac:dyDescent="0.2">
      <c r="B491" s="18"/>
      <c r="C491" s="82"/>
      <c r="D491" s="18"/>
      <c r="E491" s="18"/>
      <c r="F491" s="18"/>
      <c r="G491" s="18"/>
      <c r="H491" s="18"/>
      <c r="I491" s="18"/>
      <c r="J491" s="18"/>
      <c r="K491" s="18"/>
    </row>
    <row r="492" spans="2:11" ht="12.75" customHeight="1" x14ac:dyDescent="0.2">
      <c r="B492" s="18"/>
      <c r="C492" s="82"/>
      <c r="D492" s="18"/>
      <c r="E492" s="18"/>
      <c r="F492" s="18"/>
      <c r="G492" s="18"/>
      <c r="H492" s="18"/>
      <c r="I492" s="18"/>
      <c r="J492" s="18"/>
      <c r="K492" s="18"/>
    </row>
    <row r="493" spans="2:11" ht="12.75" customHeight="1" x14ac:dyDescent="0.2">
      <c r="B493" s="18"/>
      <c r="C493" s="82"/>
      <c r="D493" s="18"/>
      <c r="E493" s="18"/>
      <c r="F493" s="18"/>
      <c r="G493" s="18"/>
      <c r="H493" s="18"/>
      <c r="I493" s="18"/>
      <c r="J493" s="18"/>
      <c r="K493" s="18"/>
    </row>
    <row r="494" spans="2:11" ht="12.75" customHeight="1" x14ac:dyDescent="0.2">
      <c r="B494" s="18"/>
      <c r="C494" s="82"/>
      <c r="D494" s="18"/>
      <c r="E494" s="18"/>
      <c r="F494" s="18"/>
      <c r="G494" s="18"/>
      <c r="H494" s="18"/>
      <c r="I494" s="18"/>
      <c r="J494" s="18"/>
      <c r="K494" s="18"/>
    </row>
    <row r="495" spans="2:11" ht="12.75" customHeight="1" x14ac:dyDescent="0.2">
      <c r="B495" s="18"/>
      <c r="C495" s="82"/>
      <c r="D495" s="18"/>
      <c r="E495" s="18"/>
      <c r="F495" s="18"/>
      <c r="G495" s="18"/>
      <c r="H495" s="18"/>
      <c r="I495" s="18"/>
      <c r="J495" s="18"/>
      <c r="K495" s="18"/>
    </row>
    <row r="496" spans="2:11" ht="12.75" customHeight="1" x14ac:dyDescent="0.2">
      <c r="B496" s="18"/>
      <c r="C496" s="82"/>
      <c r="D496" s="18"/>
      <c r="E496" s="18"/>
      <c r="F496" s="18"/>
      <c r="G496" s="18"/>
      <c r="H496" s="18"/>
      <c r="I496" s="18"/>
      <c r="J496" s="18"/>
      <c r="K496" s="18"/>
    </row>
    <row r="497" spans="2:11" ht="12.75" customHeight="1" x14ac:dyDescent="0.2">
      <c r="B497" s="18"/>
      <c r="C497" s="82"/>
      <c r="D497" s="18"/>
      <c r="E497" s="18"/>
      <c r="F497" s="18"/>
      <c r="G497" s="18"/>
      <c r="H497" s="18"/>
      <c r="I497" s="18"/>
      <c r="J497" s="18"/>
      <c r="K497" s="18"/>
    </row>
    <row r="498" spans="2:11" ht="12.75" customHeight="1" x14ac:dyDescent="0.2">
      <c r="B498" s="18"/>
      <c r="C498" s="82"/>
      <c r="D498" s="18"/>
      <c r="E498" s="18"/>
      <c r="F498" s="18"/>
      <c r="G498" s="18"/>
      <c r="H498" s="18"/>
      <c r="I498" s="18"/>
      <c r="J498" s="18"/>
      <c r="K498" s="18"/>
    </row>
    <row r="499" spans="2:11" ht="12.75" customHeight="1" x14ac:dyDescent="0.2">
      <c r="B499" s="18"/>
      <c r="C499" s="82"/>
      <c r="D499" s="18"/>
      <c r="E499" s="18"/>
      <c r="F499" s="18"/>
      <c r="G499" s="18"/>
      <c r="H499" s="18"/>
      <c r="I499" s="18"/>
      <c r="J499" s="18"/>
      <c r="K499" s="18"/>
    </row>
    <row r="500" spans="2:11" ht="12.75" customHeight="1" x14ac:dyDescent="0.2">
      <c r="B500" s="18"/>
      <c r="C500" s="82"/>
      <c r="D500" s="18"/>
      <c r="E500" s="18"/>
      <c r="F500" s="18"/>
      <c r="G500" s="18"/>
      <c r="H500" s="18"/>
      <c r="I500" s="18"/>
      <c r="J500" s="18"/>
      <c r="K500" s="18"/>
    </row>
    <row r="501" spans="2:11" ht="12.75" customHeight="1" x14ac:dyDescent="0.2">
      <c r="B501" s="18"/>
      <c r="C501" s="82"/>
      <c r="D501" s="18"/>
      <c r="E501" s="18"/>
      <c r="F501" s="18"/>
      <c r="G501" s="18"/>
      <c r="H501" s="18"/>
      <c r="I501" s="18"/>
      <c r="J501" s="18"/>
      <c r="K501" s="18"/>
    </row>
    <row r="502" spans="2:11" ht="12.75" customHeight="1" x14ac:dyDescent="0.2">
      <c r="B502" s="18"/>
      <c r="C502" s="82"/>
      <c r="D502" s="18"/>
      <c r="E502" s="18"/>
      <c r="F502" s="18"/>
      <c r="G502" s="18"/>
      <c r="H502" s="18"/>
      <c r="I502" s="18"/>
      <c r="J502" s="18"/>
      <c r="K502" s="18"/>
    </row>
    <row r="503" spans="2:11" ht="12.75" customHeight="1" x14ac:dyDescent="0.2">
      <c r="B503" s="18"/>
      <c r="C503" s="82"/>
      <c r="D503" s="18"/>
      <c r="E503" s="18"/>
      <c r="F503" s="18"/>
      <c r="G503" s="18"/>
      <c r="H503" s="18"/>
      <c r="I503" s="18"/>
      <c r="J503" s="18"/>
      <c r="K503" s="18"/>
    </row>
    <row r="504" spans="2:11" ht="12.75" customHeight="1" x14ac:dyDescent="0.2">
      <c r="B504" s="18"/>
      <c r="C504" s="82"/>
      <c r="D504" s="18"/>
      <c r="E504" s="18"/>
      <c r="F504" s="18"/>
      <c r="G504" s="18"/>
      <c r="H504" s="18"/>
      <c r="I504" s="18"/>
      <c r="J504" s="18"/>
      <c r="K504" s="18"/>
    </row>
    <row r="505" spans="2:11" ht="12.75" customHeight="1" x14ac:dyDescent="0.2">
      <c r="B505" s="18"/>
      <c r="C505" s="82"/>
      <c r="D505" s="18"/>
      <c r="E505" s="18"/>
      <c r="F505" s="18"/>
      <c r="G505" s="18"/>
      <c r="H505" s="18"/>
      <c r="I505" s="18"/>
      <c r="J505" s="18"/>
      <c r="K505" s="18"/>
    </row>
    <row r="506" spans="2:11" ht="12.75" customHeight="1" x14ac:dyDescent="0.2">
      <c r="B506" s="18"/>
      <c r="C506" s="82"/>
      <c r="D506" s="18"/>
      <c r="E506" s="18"/>
      <c r="F506" s="18"/>
      <c r="G506" s="18"/>
      <c r="H506" s="18"/>
      <c r="I506" s="18"/>
      <c r="J506" s="18"/>
      <c r="K506" s="18"/>
    </row>
    <row r="507" spans="2:11" ht="12.75" customHeight="1" x14ac:dyDescent="0.2">
      <c r="B507" s="18"/>
      <c r="C507" s="82"/>
      <c r="D507" s="18"/>
      <c r="E507" s="18"/>
      <c r="F507" s="18"/>
      <c r="G507" s="18"/>
      <c r="H507" s="18"/>
      <c r="I507" s="18"/>
      <c r="J507" s="18"/>
      <c r="K507" s="18"/>
    </row>
    <row r="508" spans="2:11" ht="12.75" customHeight="1" x14ac:dyDescent="0.2">
      <c r="B508" s="18"/>
      <c r="C508" s="82"/>
      <c r="D508" s="18"/>
      <c r="E508" s="18"/>
      <c r="F508" s="18"/>
      <c r="G508" s="18"/>
      <c r="H508" s="18"/>
      <c r="I508" s="18"/>
      <c r="J508" s="18"/>
      <c r="K508" s="18"/>
    </row>
    <row r="509" spans="2:11" ht="12.75" customHeight="1" x14ac:dyDescent="0.2">
      <c r="B509" s="18"/>
      <c r="C509" s="82"/>
      <c r="D509" s="18"/>
      <c r="E509" s="18"/>
      <c r="F509" s="18"/>
      <c r="G509" s="18"/>
      <c r="H509" s="18"/>
      <c r="I509" s="18"/>
      <c r="J509" s="18"/>
      <c r="K509" s="18"/>
    </row>
    <row r="510" spans="2:11" ht="12.75" customHeight="1" x14ac:dyDescent="0.2">
      <c r="B510" s="18"/>
      <c r="C510" s="82"/>
      <c r="D510" s="18"/>
      <c r="E510" s="18"/>
      <c r="F510" s="18"/>
      <c r="G510" s="18"/>
      <c r="H510" s="18"/>
      <c r="I510" s="18"/>
      <c r="J510" s="18"/>
      <c r="K510" s="18"/>
    </row>
    <row r="511" spans="2:11" ht="12.75" customHeight="1" x14ac:dyDescent="0.2">
      <c r="B511" s="18"/>
      <c r="C511" s="82"/>
      <c r="D511" s="18"/>
      <c r="E511" s="18"/>
      <c r="F511" s="18"/>
      <c r="G511" s="18"/>
      <c r="H511" s="18"/>
      <c r="I511" s="18"/>
      <c r="J511" s="18"/>
      <c r="K511" s="18"/>
    </row>
    <row r="512" spans="2:11" ht="12.75" customHeight="1" x14ac:dyDescent="0.2">
      <c r="B512" s="18"/>
      <c r="C512" s="82"/>
      <c r="D512" s="18"/>
      <c r="E512" s="18"/>
      <c r="F512" s="18"/>
      <c r="G512" s="18"/>
      <c r="H512" s="18"/>
      <c r="I512" s="18"/>
      <c r="J512" s="18"/>
      <c r="K512" s="18"/>
    </row>
    <row r="513" spans="2:11" ht="12.75" customHeight="1" x14ac:dyDescent="0.2">
      <c r="B513" s="18"/>
      <c r="C513" s="82"/>
      <c r="D513" s="18"/>
      <c r="E513" s="18"/>
      <c r="F513" s="18"/>
      <c r="G513" s="18"/>
      <c r="H513" s="18"/>
      <c r="I513" s="18"/>
      <c r="J513" s="18"/>
      <c r="K513" s="18"/>
    </row>
    <row r="514" spans="2:11" ht="12.75" customHeight="1" x14ac:dyDescent="0.2">
      <c r="B514" s="18"/>
      <c r="C514" s="82"/>
      <c r="D514" s="18"/>
      <c r="E514" s="18"/>
      <c r="F514" s="18"/>
      <c r="G514" s="18"/>
      <c r="H514" s="18"/>
      <c r="I514" s="18"/>
      <c r="J514" s="18"/>
      <c r="K514" s="18"/>
    </row>
    <row r="515" spans="2:11" ht="12.75" customHeight="1" x14ac:dyDescent="0.2">
      <c r="B515" s="18"/>
      <c r="C515" s="82"/>
      <c r="D515" s="18"/>
      <c r="E515" s="18"/>
      <c r="F515" s="18"/>
      <c r="G515" s="18"/>
      <c r="H515" s="18"/>
      <c r="I515" s="18"/>
      <c r="J515" s="18"/>
      <c r="K515" s="18"/>
    </row>
    <row r="516" spans="2:11" ht="12.75" customHeight="1" x14ac:dyDescent="0.2">
      <c r="B516" s="18"/>
      <c r="C516" s="82"/>
      <c r="D516" s="18"/>
      <c r="E516" s="18"/>
      <c r="F516" s="18"/>
      <c r="G516" s="18"/>
      <c r="H516" s="18"/>
      <c r="I516" s="18"/>
      <c r="J516" s="18"/>
      <c r="K516" s="18"/>
    </row>
    <row r="517" spans="2:11" ht="12.75" customHeight="1" x14ac:dyDescent="0.2">
      <c r="B517" s="18"/>
      <c r="C517" s="82"/>
      <c r="D517" s="18"/>
      <c r="E517" s="18"/>
      <c r="F517" s="18"/>
      <c r="G517" s="18"/>
      <c r="H517" s="18"/>
      <c r="I517" s="18"/>
      <c r="J517" s="18"/>
      <c r="K517" s="18"/>
    </row>
    <row r="518" spans="2:11" ht="12.75" customHeight="1" x14ac:dyDescent="0.2">
      <c r="B518" s="18"/>
      <c r="C518" s="82"/>
      <c r="D518" s="18"/>
      <c r="E518" s="18"/>
      <c r="F518" s="18"/>
      <c r="G518" s="18"/>
      <c r="H518" s="18"/>
      <c r="I518" s="18"/>
      <c r="J518" s="18"/>
      <c r="K518" s="18"/>
    </row>
    <row r="519" spans="2:11" ht="12.75" customHeight="1" x14ac:dyDescent="0.2">
      <c r="B519" s="18"/>
      <c r="C519" s="82"/>
      <c r="D519" s="18"/>
      <c r="E519" s="18"/>
      <c r="F519" s="18"/>
      <c r="G519" s="18"/>
      <c r="H519" s="18"/>
      <c r="I519" s="18"/>
      <c r="J519" s="18"/>
      <c r="K519" s="18"/>
    </row>
    <row r="520" spans="2:11" ht="12.75" customHeight="1" x14ac:dyDescent="0.2">
      <c r="B520" s="18"/>
      <c r="C520" s="82"/>
      <c r="D520" s="18"/>
      <c r="E520" s="18"/>
      <c r="F520" s="18"/>
      <c r="G520" s="18"/>
      <c r="H520" s="18"/>
      <c r="I520" s="18"/>
      <c r="J520" s="18"/>
      <c r="K520" s="18"/>
    </row>
    <row r="521" spans="2:11" ht="12.75" customHeight="1" x14ac:dyDescent="0.2">
      <c r="B521" s="18"/>
      <c r="C521" s="82"/>
      <c r="D521" s="18"/>
      <c r="E521" s="18"/>
      <c r="F521" s="18"/>
      <c r="G521" s="18"/>
      <c r="H521" s="18"/>
      <c r="I521" s="18"/>
      <c r="J521" s="18"/>
      <c r="K521" s="18"/>
    </row>
    <row r="522" spans="2:11" ht="12.75" customHeight="1" x14ac:dyDescent="0.2">
      <c r="B522" s="18"/>
      <c r="C522" s="82"/>
      <c r="D522" s="18"/>
      <c r="E522" s="18"/>
      <c r="F522" s="18"/>
      <c r="G522" s="18"/>
      <c r="H522" s="18"/>
      <c r="I522" s="18"/>
      <c r="J522" s="18"/>
      <c r="K522" s="18"/>
    </row>
    <row r="523" spans="2:11" ht="12.75" customHeight="1" x14ac:dyDescent="0.2">
      <c r="B523" s="18"/>
      <c r="C523" s="82"/>
      <c r="D523" s="18"/>
      <c r="E523" s="18"/>
      <c r="F523" s="18"/>
      <c r="G523" s="18"/>
      <c r="H523" s="18"/>
      <c r="I523" s="18"/>
      <c r="J523" s="18"/>
      <c r="K523" s="18"/>
    </row>
    <row r="524" spans="2:11" ht="12.75" customHeight="1" x14ac:dyDescent="0.2">
      <c r="B524" s="18"/>
      <c r="C524" s="82"/>
      <c r="D524" s="18"/>
      <c r="E524" s="18"/>
      <c r="F524" s="18"/>
      <c r="G524" s="18"/>
      <c r="H524" s="18"/>
      <c r="I524" s="18"/>
      <c r="J524" s="18"/>
      <c r="K524" s="18"/>
    </row>
    <row r="525" spans="2:11" ht="12.75" customHeight="1" x14ac:dyDescent="0.2">
      <c r="B525" s="18"/>
      <c r="C525" s="82"/>
      <c r="D525" s="18"/>
      <c r="E525" s="18"/>
      <c r="F525" s="18"/>
      <c r="G525" s="18"/>
      <c r="H525" s="18"/>
      <c r="I525" s="18"/>
      <c r="J525" s="18"/>
      <c r="K525" s="18"/>
    </row>
    <row r="526" spans="2:11" ht="12.75" customHeight="1" x14ac:dyDescent="0.2">
      <c r="B526" s="18"/>
      <c r="C526" s="82"/>
      <c r="D526" s="18"/>
      <c r="E526" s="18"/>
      <c r="F526" s="18"/>
      <c r="G526" s="18"/>
      <c r="H526" s="18"/>
      <c r="I526" s="18"/>
      <c r="J526" s="18"/>
      <c r="K526" s="18"/>
    </row>
    <row r="527" spans="2:11" ht="12.75" customHeight="1" x14ac:dyDescent="0.2">
      <c r="B527" s="18"/>
      <c r="C527" s="82"/>
      <c r="D527" s="18"/>
      <c r="E527" s="18"/>
      <c r="F527" s="18"/>
      <c r="G527" s="18"/>
      <c r="H527" s="18"/>
      <c r="I527" s="18"/>
      <c r="J527" s="18"/>
      <c r="K527" s="18"/>
    </row>
    <row r="528" spans="2:11" ht="12.75" customHeight="1" x14ac:dyDescent="0.2">
      <c r="B528" s="18"/>
      <c r="C528" s="82"/>
      <c r="D528" s="18"/>
      <c r="E528" s="18"/>
      <c r="F528" s="18"/>
      <c r="G528" s="18"/>
      <c r="H528" s="18"/>
      <c r="I528" s="18"/>
      <c r="J528" s="18"/>
      <c r="K528" s="18"/>
    </row>
    <row r="529" spans="2:11" ht="12.75" customHeight="1" x14ac:dyDescent="0.2">
      <c r="B529" s="18"/>
      <c r="C529" s="82"/>
      <c r="D529" s="18"/>
      <c r="E529" s="18"/>
      <c r="F529" s="18"/>
      <c r="G529" s="18"/>
      <c r="H529" s="18"/>
      <c r="I529" s="18"/>
      <c r="J529" s="18"/>
      <c r="K529" s="18"/>
    </row>
    <row r="530" spans="2:11" ht="12.75" customHeight="1" x14ac:dyDescent="0.2">
      <c r="B530" s="18"/>
      <c r="C530" s="82"/>
      <c r="D530" s="18"/>
      <c r="E530" s="18"/>
      <c r="F530" s="18"/>
      <c r="G530" s="18"/>
      <c r="H530" s="18"/>
      <c r="I530" s="18"/>
      <c r="J530" s="18"/>
      <c r="K530" s="18"/>
    </row>
    <row r="531" spans="2:11" ht="12.75" customHeight="1" x14ac:dyDescent="0.2">
      <c r="B531" s="18"/>
      <c r="C531" s="82"/>
      <c r="D531" s="18"/>
      <c r="E531" s="18"/>
      <c r="F531" s="18"/>
      <c r="G531" s="18"/>
      <c r="H531" s="18"/>
      <c r="I531" s="18"/>
      <c r="J531" s="18"/>
      <c r="K531" s="18"/>
    </row>
    <row r="532" spans="2:11" ht="12.75" customHeight="1" x14ac:dyDescent="0.2">
      <c r="B532" s="18"/>
      <c r="C532" s="82"/>
      <c r="D532" s="18"/>
      <c r="E532" s="18"/>
      <c r="F532" s="18"/>
      <c r="G532" s="18"/>
      <c r="H532" s="18"/>
      <c r="I532" s="18"/>
      <c r="J532" s="18"/>
      <c r="K532" s="18"/>
    </row>
    <row r="533" spans="2:11" ht="12.75" customHeight="1" x14ac:dyDescent="0.2">
      <c r="B533" s="18"/>
      <c r="C533" s="82"/>
      <c r="D533" s="18"/>
      <c r="E533" s="18"/>
      <c r="F533" s="18"/>
      <c r="G533" s="18"/>
      <c r="H533" s="18"/>
      <c r="I533" s="18"/>
      <c r="J533" s="18"/>
      <c r="K533" s="18"/>
    </row>
    <row r="534" spans="2:11" ht="12.75" customHeight="1" x14ac:dyDescent="0.2">
      <c r="B534" s="18"/>
      <c r="C534" s="82"/>
      <c r="D534" s="18"/>
      <c r="E534" s="18"/>
      <c r="F534" s="18"/>
      <c r="G534" s="18"/>
      <c r="H534" s="18"/>
      <c r="I534" s="18"/>
      <c r="J534" s="18"/>
      <c r="K534" s="18"/>
    </row>
    <row r="535" spans="2:11" ht="12.75" customHeight="1" x14ac:dyDescent="0.2">
      <c r="B535" s="18"/>
      <c r="C535" s="82"/>
      <c r="D535" s="18"/>
      <c r="E535" s="18"/>
      <c r="F535" s="18"/>
      <c r="G535" s="18"/>
      <c r="H535" s="18"/>
      <c r="I535" s="18"/>
      <c r="J535" s="18"/>
      <c r="K535" s="18"/>
    </row>
    <row r="536" spans="2:11" ht="12.75" customHeight="1" x14ac:dyDescent="0.2">
      <c r="B536" s="18"/>
      <c r="C536" s="82"/>
      <c r="D536" s="18"/>
      <c r="E536" s="18"/>
      <c r="F536" s="18"/>
      <c r="G536" s="18"/>
      <c r="H536" s="18"/>
      <c r="I536" s="18"/>
      <c r="J536" s="18"/>
      <c r="K536" s="18"/>
    </row>
    <row r="537" spans="2:11" ht="12.75" customHeight="1" x14ac:dyDescent="0.2">
      <c r="B537" s="18"/>
      <c r="C537" s="82"/>
      <c r="D537" s="18"/>
      <c r="E537" s="18"/>
      <c r="F537" s="18"/>
      <c r="G537" s="18"/>
      <c r="H537" s="18"/>
      <c r="I537" s="18"/>
      <c r="J537" s="18"/>
      <c r="K537" s="18"/>
    </row>
    <row r="538" spans="2:11" ht="12.75" customHeight="1" x14ac:dyDescent="0.2">
      <c r="B538" s="18"/>
      <c r="C538" s="82"/>
      <c r="D538" s="18"/>
      <c r="E538" s="18"/>
      <c r="F538" s="18"/>
      <c r="G538" s="18"/>
      <c r="H538" s="18"/>
      <c r="I538" s="18"/>
      <c r="J538" s="18"/>
      <c r="K538" s="18"/>
    </row>
    <row r="539" spans="2:11" ht="12.75" customHeight="1" x14ac:dyDescent="0.2">
      <c r="B539" s="18"/>
      <c r="C539" s="82"/>
      <c r="D539" s="18"/>
      <c r="E539" s="18"/>
      <c r="F539" s="18"/>
      <c r="G539" s="18"/>
      <c r="H539" s="18"/>
      <c r="I539" s="18"/>
      <c r="J539" s="18"/>
      <c r="K539" s="18"/>
    </row>
    <row r="540" spans="2:11" ht="12.75" customHeight="1" x14ac:dyDescent="0.2">
      <c r="B540" s="18"/>
      <c r="C540" s="82"/>
      <c r="D540" s="18"/>
      <c r="E540" s="18"/>
      <c r="F540" s="18"/>
      <c r="G540" s="18"/>
      <c r="H540" s="18"/>
      <c r="I540" s="18"/>
      <c r="J540" s="18"/>
      <c r="K540" s="18"/>
    </row>
    <row r="541" spans="2:11" ht="12.75" customHeight="1" x14ac:dyDescent="0.2">
      <c r="B541" s="18"/>
      <c r="C541" s="82"/>
      <c r="D541" s="18"/>
      <c r="E541" s="18"/>
      <c r="F541" s="18"/>
      <c r="G541" s="18"/>
      <c r="H541" s="18"/>
      <c r="I541" s="18"/>
      <c r="J541" s="18"/>
      <c r="K541" s="18"/>
    </row>
    <row r="542" spans="2:11" ht="12.75" customHeight="1" x14ac:dyDescent="0.2">
      <c r="B542" s="18"/>
      <c r="C542" s="82"/>
      <c r="D542" s="18"/>
      <c r="E542" s="18"/>
      <c r="F542" s="18"/>
      <c r="G542" s="18"/>
      <c r="H542" s="18"/>
      <c r="I542" s="18"/>
      <c r="J542" s="18"/>
      <c r="K542" s="18"/>
    </row>
    <row r="543" spans="2:11" ht="12.75" customHeight="1" x14ac:dyDescent="0.2">
      <c r="B543" s="18"/>
      <c r="C543" s="82"/>
      <c r="D543" s="18"/>
      <c r="E543" s="18"/>
      <c r="F543" s="18"/>
      <c r="G543" s="18"/>
      <c r="H543" s="18"/>
      <c r="I543" s="18"/>
      <c r="J543" s="18"/>
      <c r="K543" s="18"/>
    </row>
    <row r="544" spans="2:11" ht="12.75" customHeight="1" x14ac:dyDescent="0.2">
      <c r="B544" s="18"/>
      <c r="C544" s="82"/>
      <c r="D544" s="18"/>
      <c r="E544" s="18"/>
      <c r="F544" s="18"/>
      <c r="G544" s="18"/>
      <c r="H544" s="18"/>
      <c r="I544" s="18"/>
      <c r="J544" s="18"/>
      <c r="K544" s="18"/>
    </row>
    <row r="545" spans="2:11" ht="12.75" customHeight="1" x14ac:dyDescent="0.2">
      <c r="B545" s="18"/>
      <c r="C545" s="82"/>
      <c r="D545" s="18"/>
      <c r="E545" s="18"/>
      <c r="F545" s="18"/>
      <c r="G545" s="18"/>
      <c r="H545" s="18"/>
      <c r="I545" s="18"/>
      <c r="J545" s="18"/>
      <c r="K545" s="18"/>
    </row>
    <row r="546" spans="2:11" ht="12.75" customHeight="1" x14ac:dyDescent="0.2">
      <c r="B546" s="18"/>
      <c r="C546" s="82"/>
      <c r="D546" s="18"/>
      <c r="E546" s="18"/>
      <c r="F546" s="18"/>
      <c r="G546" s="18"/>
      <c r="H546" s="18"/>
      <c r="I546" s="18"/>
      <c r="J546" s="18"/>
      <c r="K546" s="18"/>
    </row>
    <row r="547" spans="2:11" ht="12.75" customHeight="1" x14ac:dyDescent="0.2">
      <c r="B547" s="18"/>
      <c r="C547" s="82"/>
      <c r="D547" s="18"/>
      <c r="E547" s="18"/>
      <c r="F547" s="18"/>
      <c r="G547" s="18"/>
      <c r="H547" s="18"/>
      <c r="I547" s="18"/>
      <c r="J547" s="18"/>
      <c r="K547" s="18"/>
    </row>
    <row r="548" spans="2:11" ht="12.75" customHeight="1" x14ac:dyDescent="0.2">
      <c r="B548" s="18"/>
      <c r="C548" s="82"/>
      <c r="D548" s="18"/>
      <c r="E548" s="18"/>
      <c r="F548" s="18"/>
      <c r="G548" s="18"/>
      <c r="H548" s="18"/>
      <c r="I548" s="18"/>
      <c r="J548" s="18"/>
      <c r="K548" s="18"/>
    </row>
    <row r="549" spans="2:11" ht="12.75" customHeight="1" x14ac:dyDescent="0.2">
      <c r="B549" s="18"/>
      <c r="C549" s="82"/>
      <c r="D549" s="18"/>
      <c r="E549" s="18"/>
      <c r="F549" s="18"/>
      <c r="G549" s="18"/>
      <c r="H549" s="18"/>
      <c r="I549" s="18"/>
      <c r="J549" s="18"/>
      <c r="K549" s="18"/>
    </row>
    <row r="550" spans="2:11" ht="12.75" customHeight="1" x14ac:dyDescent="0.2">
      <c r="B550" s="18"/>
      <c r="C550" s="82"/>
      <c r="D550" s="18"/>
      <c r="E550" s="18"/>
      <c r="F550" s="18"/>
      <c r="G550" s="18"/>
      <c r="H550" s="18"/>
      <c r="I550" s="18"/>
      <c r="J550" s="18"/>
      <c r="K550" s="18"/>
    </row>
    <row r="551" spans="2:11" ht="12.75" customHeight="1" x14ac:dyDescent="0.2">
      <c r="B551" s="18"/>
      <c r="C551" s="82"/>
      <c r="D551" s="18"/>
      <c r="E551" s="18"/>
      <c r="F551" s="18"/>
      <c r="G551" s="18"/>
      <c r="H551" s="18"/>
      <c r="I551" s="18"/>
      <c r="J551" s="18"/>
      <c r="K551" s="18"/>
    </row>
    <row r="552" spans="2:11" ht="12.75" customHeight="1" x14ac:dyDescent="0.2">
      <c r="B552" s="18"/>
      <c r="C552" s="82"/>
      <c r="D552" s="18"/>
      <c r="E552" s="18"/>
      <c r="F552" s="18"/>
      <c r="G552" s="18"/>
      <c r="H552" s="18"/>
      <c r="I552" s="18"/>
      <c r="J552" s="18"/>
      <c r="K552" s="18"/>
    </row>
    <row r="553" spans="2:11" ht="12.75" customHeight="1" x14ac:dyDescent="0.2">
      <c r="B553" s="18"/>
      <c r="C553" s="82"/>
      <c r="D553" s="18"/>
      <c r="E553" s="18"/>
      <c r="F553" s="18"/>
      <c r="G553" s="18"/>
      <c r="H553" s="18"/>
      <c r="I553" s="18"/>
      <c r="J553" s="18"/>
      <c r="K553" s="18"/>
    </row>
    <row r="554" spans="2:11" ht="12.75" customHeight="1" x14ac:dyDescent="0.2">
      <c r="B554" s="18"/>
      <c r="C554" s="82"/>
      <c r="D554" s="18"/>
      <c r="E554" s="18"/>
      <c r="F554" s="18"/>
      <c r="G554" s="18"/>
      <c r="H554" s="18"/>
      <c r="I554" s="18"/>
      <c r="J554" s="18"/>
      <c r="K554" s="18"/>
    </row>
    <row r="555" spans="2:11" ht="12.75" customHeight="1" x14ac:dyDescent="0.2">
      <c r="B555" s="18"/>
      <c r="C555" s="82"/>
      <c r="D555" s="18"/>
      <c r="E555" s="18"/>
      <c r="F555" s="18"/>
      <c r="G555" s="18"/>
      <c r="H555" s="18"/>
      <c r="I555" s="18"/>
      <c r="J555" s="18"/>
      <c r="K555" s="18"/>
    </row>
    <row r="556" spans="2:11" ht="12.75" customHeight="1" x14ac:dyDescent="0.2">
      <c r="B556" s="18"/>
      <c r="C556" s="82"/>
      <c r="D556" s="18"/>
      <c r="E556" s="18"/>
      <c r="F556" s="18"/>
      <c r="G556" s="18"/>
      <c r="H556" s="18"/>
      <c r="I556" s="18"/>
      <c r="J556" s="18"/>
      <c r="K556" s="18"/>
    </row>
    <row r="557" spans="2:11" ht="12.75" customHeight="1" x14ac:dyDescent="0.2">
      <c r="B557" s="18"/>
      <c r="C557" s="82"/>
      <c r="D557" s="18"/>
      <c r="E557" s="18"/>
      <c r="F557" s="18"/>
      <c r="G557" s="18"/>
      <c r="H557" s="18"/>
      <c r="I557" s="18"/>
      <c r="J557" s="18"/>
      <c r="K557" s="18"/>
    </row>
    <row r="558" spans="2:11" ht="12.75" customHeight="1" x14ac:dyDescent="0.2">
      <c r="B558" s="18"/>
      <c r="C558" s="82"/>
      <c r="D558" s="18"/>
      <c r="E558" s="18"/>
      <c r="F558" s="18"/>
      <c r="G558" s="18"/>
      <c r="H558" s="18"/>
      <c r="I558" s="18"/>
      <c r="J558" s="18"/>
      <c r="K558" s="18"/>
    </row>
    <row r="559" spans="2:11" ht="12.75" customHeight="1" x14ac:dyDescent="0.2">
      <c r="B559" s="18"/>
      <c r="C559" s="82"/>
      <c r="D559" s="18"/>
      <c r="E559" s="18"/>
      <c r="F559" s="18"/>
      <c r="G559" s="18"/>
      <c r="H559" s="18"/>
      <c r="I559" s="18"/>
      <c r="J559" s="18"/>
      <c r="K559" s="18"/>
    </row>
    <row r="560" spans="2:11" ht="12.75" customHeight="1" x14ac:dyDescent="0.2">
      <c r="B560" s="18"/>
      <c r="C560" s="82"/>
      <c r="D560" s="18"/>
      <c r="E560" s="18"/>
      <c r="F560" s="18"/>
      <c r="G560" s="18"/>
      <c r="H560" s="18"/>
      <c r="I560" s="18"/>
      <c r="J560" s="18"/>
      <c r="K560" s="18"/>
    </row>
    <row r="561" spans="2:11" ht="12.75" customHeight="1" x14ac:dyDescent="0.2">
      <c r="B561" s="18"/>
      <c r="C561" s="82"/>
      <c r="D561" s="18"/>
      <c r="E561" s="18"/>
      <c r="F561" s="18"/>
      <c r="G561" s="18"/>
      <c r="H561" s="18"/>
      <c r="I561" s="18"/>
      <c r="J561" s="18"/>
      <c r="K561" s="18"/>
    </row>
    <row r="562" spans="2:11" ht="12.75" customHeight="1" x14ac:dyDescent="0.2">
      <c r="B562" s="18"/>
      <c r="C562" s="82"/>
      <c r="D562" s="18"/>
      <c r="E562" s="18"/>
      <c r="F562" s="18"/>
      <c r="G562" s="18"/>
      <c r="H562" s="18"/>
      <c r="I562" s="18"/>
      <c r="J562" s="18"/>
      <c r="K562" s="18"/>
    </row>
    <row r="563" spans="2:11" ht="12.75" customHeight="1" x14ac:dyDescent="0.2">
      <c r="B563" s="18"/>
      <c r="C563" s="82"/>
      <c r="D563" s="18"/>
      <c r="E563" s="18"/>
      <c r="F563" s="18"/>
      <c r="G563" s="18"/>
      <c r="H563" s="18"/>
      <c r="I563" s="18"/>
      <c r="J563" s="18"/>
      <c r="K563" s="18"/>
    </row>
    <row r="564" spans="2:11" ht="12.75" customHeight="1" x14ac:dyDescent="0.2">
      <c r="B564" s="18"/>
      <c r="C564" s="82"/>
      <c r="D564" s="18"/>
      <c r="E564" s="18"/>
      <c r="F564" s="18"/>
      <c r="G564" s="18"/>
      <c r="H564" s="18"/>
      <c r="I564" s="18"/>
      <c r="J564" s="18"/>
      <c r="K564" s="18"/>
    </row>
    <row r="565" spans="2:11" ht="12.75" customHeight="1" x14ac:dyDescent="0.2">
      <c r="B565" s="18"/>
      <c r="C565" s="82"/>
      <c r="D565" s="18"/>
      <c r="E565" s="18"/>
      <c r="F565" s="18"/>
      <c r="G565" s="18"/>
      <c r="H565" s="18"/>
      <c r="I565" s="18"/>
      <c r="J565" s="18"/>
      <c r="K565" s="18"/>
    </row>
    <row r="566" spans="2:11" ht="12.75" customHeight="1" x14ac:dyDescent="0.2">
      <c r="B566" s="18"/>
      <c r="C566" s="82"/>
      <c r="D566" s="18"/>
      <c r="E566" s="18"/>
      <c r="F566" s="18"/>
      <c r="G566" s="18"/>
      <c r="H566" s="18"/>
      <c r="I566" s="18"/>
      <c r="J566" s="18"/>
      <c r="K566" s="18"/>
    </row>
    <row r="567" spans="2:11" ht="12.75" customHeight="1" x14ac:dyDescent="0.2">
      <c r="B567" s="18"/>
      <c r="C567" s="82"/>
      <c r="D567" s="18"/>
      <c r="E567" s="18"/>
      <c r="F567" s="18"/>
      <c r="G567" s="18"/>
      <c r="H567" s="18"/>
      <c r="I567" s="18"/>
      <c r="J567" s="18"/>
      <c r="K567" s="18"/>
    </row>
    <row r="568" spans="2:11" ht="12.75" customHeight="1" x14ac:dyDescent="0.2">
      <c r="B568" s="18"/>
      <c r="C568" s="82"/>
      <c r="D568" s="18"/>
      <c r="E568" s="18"/>
      <c r="F568" s="18"/>
      <c r="G568" s="18"/>
      <c r="H568" s="18"/>
      <c r="I568" s="18"/>
      <c r="J568" s="18"/>
      <c r="K568" s="18"/>
    </row>
    <row r="569" spans="2:11" ht="12.75" customHeight="1" x14ac:dyDescent="0.2">
      <c r="B569" s="18"/>
      <c r="C569" s="82"/>
      <c r="D569" s="18"/>
      <c r="E569" s="18"/>
      <c r="F569" s="18"/>
      <c r="G569" s="18"/>
      <c r="H569" s="18"/>
      <c r="I569" s="18"/>
      <c r="J569" s="18"/>
      <c r="K569" s="18"/>
    </row>
    <row r="570" spans="2:11" ht="12.75" customHeight="1" x14ac:dyDescent="0.2">
      <c r="B570" s="18"/>
      <c r="C570" s="82"/>
      <c r="D570" s="18"/>
      <c r="E570" s="18"/>
      <c r="F570" s="18"/>
      <c r="G570" s="18"/>
      <c r="H570" s="18"/>
      <c r="I570" s="18"/>
      <c r="J570" s="18"/>
      <c r="K570" s="18"/>
    </row>
    <row r="571" spans="2:11" ht="12.75" customHeight="1" x14ac:dyDescent="0.2">
      <c r="B571" s="18"/>
      <c r="C571" s="82"/>
      <c r="D571" s="18"/>
      <c r="E571" s="18"/>
      <c r="F571" s="18"/>
      <c r="G571" s="18"/>
      <c r="H571" s="18"/>
      <c r="I571" s="18"/>
      <c r="J571" s="18"/>
      <c r="K571" s="18"/>
    </row>
    <row r="572" spans="2:11" ht="12.75" customHeight="1" x14ac:dyDescent="0.2">
      <c r="B572" s="18"/>
      <c r="C572" s="82"/>
      <c r="D572" s="18"/>
      <c r="E572" s="18"/>
      <c r="F572" s="18"/>
      <c r="G572" s="18"/>
      <c r="H572" s="18"/>
      <c r="I572" s="18"/>
      <c r="J572" s="18"/>
      <c r="K572" s="18"/>
    </row>
    <row r="573" spans="2:11" ht="12.75" customHeight="1" x14ac:dyDescent="0.2">
      <c r="B573" s="18"/>
      <c r="C573" s="82"/>
      <c r="D573" s="18"/>
      <c r="E573" s="18"/>
      <c r="F573" s="18"/>
      <c r="G573" s="18"/>
      <c r="H573" s="18"/>
      <c r="I573" s="18"/>
      <c r="J573" s="18"/>
      <c r="K573" s="18"/>
    </row>
    <row r="574" spans="2:11" ht="12.75" customHeight="1" x14ac:dyDescent="0.2">
      <c r="B574" s="18"/>
      <c r="C574" s="82"/>
      <c r="D574" s="18"/>
      <c r="E574" s="18"/>
      <c r="F574" s="18"/>
      <c r="G574" s="18"/>
      <c r="H574" s="18"/>
      <c r="I574" s="18"/>
      <c r="J574" s="18"/>
      <c r="K574" s="18"/>
    </row>
    <row r="575" spans="2:11" ht="12.75" customHeight="1" x14ac:dyDescent="0.2">
      <c r="B575" s="18"/>
      <c r="C575" s="82"/>
      <c r="D575" s="18"/>
      <c r="E575" s="18"/>
      <c r="F575" s="18"/>
      <c r="G575" s="18"/>
      <c r="H575" s="18"/>
      <c r="I575" s="18"/>
      <c r="J575" s="18"/>
      <c r="K575" s="18"/>
    </row>
    <row r="576" spans="2:11" ht="12.75" customHeight="1" x14ac:dyDescent="0.2">
      <c r="B576" s="18"/>
      <c r="C576" s="82"/>
      <c r="D576" s="18"/>
      <c r="E576" s="18"/>
      <c r="F576" s="18"/>
      <c r="G576" s="18"/>
      <c r="H576" s="18"/>
      <c r="I576" s="18"/>
      <c r="J576" s="18"/>
      <c r="K576" s="18"/>
    </row>
    <row r="577" spans="2:11" ht="12.75" customHeight="1" x14ac:dyDescent="0.2">
      <c r="B577" s="18"/>
      <c r="C577" s="82"/>
      <c r="D577" s="18"/>
      <c r="E577" s="18"/>
      <c r="F577" s="18"/>
      <c r="G577" s="18"/>
      <c r="H577" s="18"/>
      <c r="I577" s="18"/>
      <c r="J577" s="18"/>
      <c r="K577" s="18"/>
    </row>
    <row r="578" spans="2:11" ht="12.75" customHeight="1" x14ac:dyDescent="0.2">
      <c r="B578" s="18"/>
      <c r="C578" s="82"/>
      <c r="D578" s="18"/>
      <c r="E578" s="18"/>
      <c r="F578" s="18"/>
      <c r="G578" s="18"/>
      <c r="H578" s="18"/>
      <c r="I578" s="18"/>
      <c r="J578" s="18"/>
      <c r="K578" s="18"/>
    </row>
    <row r="579" spans="2:11" ht="12.75" customHeight="1" x14ac:dyDescent="0.2">
      <c r="B579" s="18"/>
      <c r="C579" s="82"/>
      <c r="D579" s="18"/>
      <c r="E579" s="18"/>
      <c r="F579" s="18"/>
      <c r="G579" s="18"/>
      <c r="H579" s="18"/>
      <c r="I579" s="18"/>
      <c r="J579" s="18"/>
      <c r="K579" s="18"/>
    </row>
    <row r="580" spans="2:11" ht="12.75" customHeight="1" x14ac:dyDescent="0.2">
      <c r="B580" s="18"/>
      <c r="C580" s="82"/>
      <c r="D580" s="18"/>
      <c r="E580" s="18"/>
      <c r="F580" s="18"/>
      <c r="G580" s="18"/>
      <c r="H580" s="18"/>
      <c r="I580" s="18"/>
      <c r="J580" s="18"/>
      <c r="K580" s="18"/>
    </row>
    <row r="581" spans="2:11" ht="12.75" customHeight="1" x14ac:dyDescent="0.2">
      <c r="B581" s="18"/>
      <c r="C581" s="82"/>
      <c r="D581" s="18"/>
      <c r="E581" s="18"/>
      <c r="F581" s="18"/>
      <c r="G581" s="18"/>
      <c r="H581" s="18"/>
      <c r="I581" s="18"/>
      <c r="J581" s="18"/>
      <c r="K581" s="18"/>
    </row>
    <row r="582" spans="2:11" ht="12.75" customHeight="1" x14ac:dyDescent="0.2">
      <c r="B582" s="18"/>
      <c r="C582" s="82"/>
      <c r="D582" s="18"/>
      <c r="E582" s="18"/>
      <c r="F582" s="18"/>
      <c r="G582" s="18"/>
      <c r="H582" s="18"/>
      <c r="I582" s="18"/>
      <c r="J582" s="18"/>
      <c r="K582" s="18"/>
    </row>
    <row r="583" spans="2:11" ht="12.75" customHeight="1" x14ac:dyDescent="0.2">
      <c r="B583" s="18"/>
      <c r="C583" s="82"/>
      <c r="D583" s="18"/>
      <c r="E583" s="18"/>
      <c r="F583" s="18"/>
      <c r="G583" s="18"/>
      <c r="H583" s="18"/>
      <c r="I583" s="18"/>
      <c r="J583" s="18"/>
      <c r="K583" s="18"/>
    </row>
    <row r="584" spans="2:11" ht="12.75" customHeight="1" x14ac:dyDescent="0.2">
      <c r="B584" s="18"/>
      <c r="C584" s="82"/>
      <c r="D584" s="18"/>
      <c r="E584" s="18"/>
      <c r="F584" s="18"/>
      <c r="G584" s="18"/>
      <c r="H584" s="18"/>
      <c r="I584" s="18"/>
      <c r="J584" s="18"/>
      <c r="K584" s="18"/>
    </row>
    <row r="585" spans="2:11" ht="12.75" customHeight="1" x14ac:dyDescent="0.2">
      <c r="B585" s="18"/>
      <c r="C585" s="82"/>
      <c r="D585" s="18"/>
      <c r="E585" s="18"/>
      <c r="F585" s="18"/>
      <c r="G585" s="18"/>
      <c r="H585" s="18"/>
      <c r="I585" s="18"/>
      <c r="J585" s="18"/>
      <c r="K585" s="18"/>
    </row>
    <row r="586" spans="2:11" ht="12.75" customHeight="1" x14ac:dyDescent="0.2">
      <c r="B586" s="18"/>
      <c r="C586" s="82"/>
      <c r="D586" s="18"/>
      <c r="E586" s="18"/>
      <c r="F586" s="18"/>
      <c r="G586" s="18"/>
      <c r="H586" s="18"/>
      <c r="I586" s="18"/>
      <c r="J586" s="18"/>
      <c r="K586" s="18"/>
    </row>
    <row r="587" spans="2:11" ht="12.75" customHeight="1" x14ac:dyDescent="0.2">
      <c r="B587" s="18"/>
      <c r="C587" s="82"/>
      <c r="D587" s="18"/>
      <c r="E587" s="18"/>
      <c r="F587" s="18"/>
      <c r="G587" s="18"/>
      <c r="H587" s="18"/>
      <c r="I587" s="18"/>
      <c r="J587" s="18"/>
      <c r="K587" s="18"/>
    </row>
    <row r="588" spans="2:11" ht="12.75" customHeight="1" x14ac:dyDescent="0.2">
      <c r="B588" s="18"/>
      <c r="C588" s="82"/>
      <c r="D588" s="18"/>
      <c r="E588" s="18"/>
      <c r="F588" s="18"/>
      <c r="G588" s="18"/>
      <c r="H588" s="18"/>
      <c r="I588" s="18"/>
      <c r="J588" s="18"/>
      <c r="K588" s="18"/>
    </row>
    <row r="589" spans="2:11" ht="12.75" customHeight="1" x14ac:dyDescent="0.2">
      <c r="B589" s="18"/>
      <c r="C589" s="82"/>
      <c r="D589" s="18"/>
      <c r="E589" s="18"/>
      <c r="F589" s="18"/>
      <c r="G589" s="18"/>
      <c r="H589" s="18"/>
      <c r="I589" s="18"/>
      <c r="J589" s="18"/>
      <c r="K589" s="18"/>
    </row>
    <row r="590" spans="2:11" ht="12.75" customHeight="1" x14ac:dyDescent="0.2">
      <c r="B590" s="18"/>
      <c r="C590" s="82"/>
      <c r="D590" s="18"/>
      <c r="E590" s="18"/>
      <c r="F590" s="18"/>
      <c r="G590" s="18"/>
      <c r="H590" s="18"/>
      <c r="I590" s="18"/>
      <c r="J590" s="18"/>
      <c r="K590" s="18"/>
    </row>
    <row r="591" spans="2:11" ht="12.75" customHeight="1" x14ac:dyDescent="0.2">
      <c r="B591" s="18"/>
      <c r="C591" s="82"/>
      <c r="D591" s="18"/>
      <c r="E591" s="18"/>
      <c r="F591" s="18"/>
      <c r="G591" s="18"/>
      <c r="H591" s="18"/>
      <c r="I591" s="18"/>
      <c r="J591" s="18"/>
      <c r="K591" s="18"/>
    </row>
    <row r="592" spans="2:11" ht="12.75" customHeight="1" x14ac:dyDescent="0.2">
      <c r="B592" s="18"/>
      <c r="C592" s="82"/>
      <c r="D592" s="18"/>
      <c r="E592" s="18"/>
      <c r="F592" s="18"/>
      <c r="G592" s="18"/>
      <c r="H592" s="18"/>
      <c r="I592" s="18"/>
      <c r="J592" s="18"/>
      <c r="K592" s="18"/>
    </row>
    <row r="593" spans="2:11" ht="12.75" customHeight="1" x14ac:dyDescent="0.2">
      <c r="B593" s="18"/>
      <c r="C593" s="82"/>
      <c r="D593" s="18"/>
      <c r="E593" s="18"/>
      <c r="F593" s="18"/>
      <c r="G593" s="18"/>
      <c r="H593" s="18"/>
      <c r="I593" s="18"/>
      <c r="J593" s="18"/>
      <c r="K593" s="18"/>
    </row>
    <row r="594" spans="2:11" ht="12.75" customHeight="1" x14ac:dyDescent="0.2">
      <c r="B594" s="18"/>
      <c r="C594" s="82"/>
      <c r="D594" s="18"/>
      <c r="E594" s="18"/>
      <c r="F594" s="18"/>
      <c r="G594" s="18"/>
      <c r="H594" s="18"/>
      <c r="I594" s="18"/>
      <c r="J594" s="18"/>
      <c r="K594" s="18"/>
    </row>
    <row r="595" spans="2:11" ht="12.75" customHeight="1" x14ac:dyDescent="0.2">
      <c r="B595" s="18"/>
      <c r="C595" s="82"/>
      <c r="D595" s="18"/>
      <c r="E595" s="18"/>
      <c r="F595" s="18"/>
      <c r="G595" s="18"/>
      <c r="H595" s="18"/>
      <c r="I595" s="18"/>
      <c r="J595" s="18"/>
      <c r="K595" s="18"/>
    </row>
    <row r="596" spans="2:11" ht="12.75" customHeight="1" x14ac:dyDescent="0.2">
      <c r="B596" s="18"/>
      <c r="C596" s="82"/>
      <c r="D596" s="18"/>
      <c r="E596" s="18"/>
      <c r="F596" s="18"/>
      <c r="G596" s="18"/>
      <c r="H596" s="18"/>
      <c r="I596" s="18"/>
      <c r="J596" s="18"/>
      <c r="K596" s="18"/>
    </row>
    <row r="597" spans="2:11" ht="12.75" customHeight="1" x14ac:dyDescent="0.2">
      <c r="B597" s="18"/>
      <c r="C597" s="82"/>
      <c r="D597" s="18"/>
      <c r="E597" s="18"/>
      <c r="F597" s="18"/>
      <c r="G597" s="18"/>
      <c r="H597" s="18"/>
      <c r="I597" s="18"/>
      <c r="J597" s="18"/>
      <c r="K597" s="18"/>
    </row>
    <row r="598" spans="2:11" ht="12.75" customHeight="1" x14ac:dyDescent="0.2">
      <c r="B598" s="18"/>
      <c r="C598" s="82"/>
      <c r="D598" s="18"/>
      <c r="E598" s="18"/>
      <c r="F598" s="18"/>
      <c r="G598" s="18"/>
      <c r="H598" s="18"/>
      <c r="I598" s="18"/>
      <c r="J598" s="18"/>
      <c r="K598" s="18"/>
    </row>
    <row r="599" spans="2:11" ht="12.75" customHeight="1" x14ac:dyDescent="0.2">
      <c r="B599" s="18"/>
      <c r="C599" s="82"/>
      <c r="D599" s="18"/>
      <c r="E599" s="18"/>
      <c r="F599" s="18"/>
      <c r="G599" s="18"/>
      <c r="H599" s="18"/>
      <c r="I599" s="18"/>
      <c r="J599" s="18"/>
      <c r="K599" s="18"/>
    </row>
    <row r="600" spans="2:11" ht="12.75" customHeight="1" x14ac:dyDescent="0.2">
      <c r="B600" s="18"/>
      <c r="C600" s="82"/>
      <c r="D600" s="18"/>
      <c r="E600" s="18"/>
      <c r="F600" s="18"/>
      <c r="G600" s="18"/>
      <c r="H600" s="18"/>
      <c r="I600" s="18"/>
      <c r="J600" s="18"/>
      <c r="K600" s="18"/>
    </row>
    <row r="601" spans="2:11" ht="12.75" customHeight="1" x14ac:dyDescent="0.2">
      <c r="B601" s="18"/>
      <c r="C601" s="82"/>
      <c r="D601" s="18"/>
      <c r="E601" s="18"/>
      <c r="F601" s="18"/>
      <c r="G601" s="18"/>
      <c r="H601" s="18"/>
      <c r="I601" s="18"/>
      <c r="J601" s="18"/>
      <c r="K601" s="18"/>
    </row>
    <row r="602" spans="2:11" ht="12.75" customHeight="1" x14ac:dyDescent="0.2">
      <c r="B602" s="18"/>
      <c r="C602" s="82"/>
      <c r="D602" s="18"/>
      <c r="E602" s="18"/>
      <c r="F602" s="18"/>
      <c r="G602" s="18"/>
      <c r="H602" s="18"/>
      <c r="I602" s="18"/>
      <c r="J602" s="18"/>
      <c r="K602" s="18"/>
    </row>
    <row r="603" spans="2:11" ht="12.75" customHeight="1" x14ac:dyDescent="0.2">
      <c r="B603" s="18"/>
      <c r="C603" s="82"/>
      <c r="D603" s="18"/>
      <c r="E603" s="18"/>
      <c r="F603" s="18"/>
      <c r="G603" s="18"/>
      <c r="H603" s="18"/>
      <c r="I603" s="18"/>
      <c r="J603" s="18"/>
      <c r="K603" s="18"/>
    </row>
    <row r="604" spans="2:11" ht="12.75" customHeight="1" x14ac:dyDescent="0.2">
      <c r="B604" s="18"/>
      <c r="C604" s="82"/>
      <c r="D604" s="18"/>
      <c r="E604" s="18"/>
      <c r="F604" s="18"/>
      <c r="G604" s="18"/>
      <c r="H604" s="18"/>
      <c r="I604" s="18"/>
      <c r="J604" s="18"/>
      <c r="K604" s="18"/>
    </row>
    <row r="605" spans="2:11" ht="12.75" customHeight="1" x14ac:dyDescent="0.2">
      <c r="B605" s="18"/>
      <c r="C605" s="82"/>
      <c r="D605" s="18"/>
      <c r="E605" s="18"/>
      <c r="F605" s="18"/>
      <c r="G605" s="18"/>
      <c r="H605" s="18"/>
      <c r="I605" s="18"/>
      <c r="J605" s="18"/>
      <c r="K605" s="18"/>
    </row>
    <row r="606" spans="2:11" ht="12.75" customHeight="1" x14ac:dyDescent="0.2">
      <c r="B606" s="18"/>
      <c r="C606" s="82"/>
      <c r="D606" s="18"/>
      <c r="E606" s="18"/>
      <c r="F606" s="18"/>
      <c r="G606" s="18"/>
      <c r="H606" s="18"/>
      <c r="I606" s="18"/>
      <c r="J606" s="18"/>
      <c r="K606" s="18"/>
    </row>
    <row r="607" spans="2:11" ht="12.75" customHeight="1" x14ac:dyDescent="0.2">
      <c r="B607" s="18"/>
      <c r="C607" s="82"/>
      <c r="D607" s="18"/>
      <c r="E607" s="18"/>
      <c r="F607" s="18"/>
      <c r="G607" s="18"/>
      <c r="H607" s="18"/>
      <c r="I607" s="18"/>
      <c r="J607" s="18"/>
      <c r="K607" s="18"/>
    </row>
    <row r="608" spans="2:11" ht="12.75" customHeight="1" x14ac:dyDescent="0.2">
      <c r="B608" s="18"/>
      <c r="C608" s="82"/>
      <c r="D608" s="18"/>
      <c r="E608" s="18"/>
      <c r="F608" s="18"/>
      <c r="G608" s="18"/>
      <c r="H608" s="18"/>
      <c r="I608" s="18"/>
      <c r="J608" s="18"/>
      <c r="K608" s="18"/>
    </row>
    <row r="609" spans="2:11" ht="12.75" customHeight="1" x14ac:dyDescent="0.2">
      <c r="B609" s="18"/>
      <c r="C609" s="82"/>
      <c r="D609" s="18"/>
      <c r="E609" s="18"/>
      <c r="F609" s="18"/>
      <c r="G609" s="18"/>
      <c r="H609" s="18"/>
      <c r="I609" s="18"/>
      <c r="J609" s="18"/>
      <c r="K609" s="18"/>
    </row>
    <row r="610" spans="2:11" ht="12.75" customHeight="1" x14ac:dyDescent="0.2">
      <c r="B610" s="18"/>
      <c r="C610" s="82"/>
      <c r="D610" s="18"/>
      <c r="E610" s="18"/>
      <c r="F610" s="18"/>
      <c r="G610" s="18"/>
      <c r="H610" s="18"/>
      <c r="I610" s="18"/>
      <c r="J610" s="18"/>
      <c r="K610" s="18"/>
    </row>
    <row r="611" spans="2:11" ht="12.75" customHeight="1" x14ac:dyDescent="0.2">
      <c r="B611" s="18"/>
      <c r="C611" s="82"/>
      <c r="D611" s="18"/>
      <c r="E611" s="18"/>
      <c r="F611" s="18"/>
      <c r="G611" s="18"/>
      <c r="H611" s="18"/>
      <c r="I611" s="18"/>
      <c r="J611" s="18"/>
      <c r="K611" s="18"/>
    </row>
    <row r="612" spans="2:11" ht="12.75" customHeight="1" x14ac:dyDescent="0.2">
      <c r="B612" s="18"/>
      <c r="C612" s="82"/>
      <c r="D612" s="18"/>
      <c r="E612" s="18"/>
      <c r="F612" s="18"/>
      <c r="G612" s="18"/>
      <c r="H612" s="18"/>
      <c r="I612" s="18"/>
      <c r="J612" s="18"/>
      <c r="K612" s="18"/>
    </row>
    <row r="613" spans="2:11" ht="12.75" customHeight="1" x14ac:dyDescent="0.2">
      <c r="B613" s="18"/>
      <c r="C613" s="82"/>
      <c r="D613" s="18"/>
      <c r="E613" s="18"/>
      <c r="F613" s="18"/>
      <c r="G613" s="18"/>
      <c r="H613" s="18"/>
      <c r="I613" s="18"/>
      <c r="J613" s="18"/>
      <c r="K613" s="18"/>
    </row>
    <row r="614" spans="2:11" ht="12.75" customHeight="1" x14ac:dyDescent="0.2">
      <c r="B614" s="18"/>
      <c r="C614" s="82"/>
      <c r="D614" s="18"/>
      <c r="E614" s="18"/>
      <c r="F614" s="18"/>
      <c r="G614" s="18"/>
      <c r="H614" s="18"/>
      <c r="I614" s="18"/>
      <c r="J614" s="18"/>
      <c r="K614" s="18"/>
    </row>
    <row r="615" spans="2:11" ht="12.75" customHeight="1" x14ac:dyDescent="0.2">
      <c r="B615" s="18"/>
      <c r="C615" s="82"/>
      <c r="D615" s="18"/>
      <c r="E615" s="18"/>
      <c r="F615" s="18"/>
      <c r="G615" s="18"/>
      <c r="H615" s="18"/>
      <c r="I615" s="18"/>
      <c r="J615" s="18"/>
      <c r="K615" s="18"/>
    </row>
    <row r="616" spans="2:11" ht="12.75" customHeight="1" x14ac:dyDescent="0.2">
      <c r="B616" s="18"/>
      <c r="C616" s="82"/>
      <c r="D616" s="18"/>
      <c r="E616" s="18"/>
      <c r="F616" s="18"/>
      <c r="G616" s="18"/>
      <c r="H616" s="18"/>
      <c r="I616" s="18"/>
      <c r="J616" s="18"/>
      <c r="K616" s="18"/>
    </row>
    <row r="617" spans="2:11" ht="12.75" customHeight="1" x14ac:dyDescent="0.2">
      <c r="B617" s="18"/>
      <c r="C617" s="82"/>
      <c r="D617" s="18"/>
      <c r="E617" s="18"/>
      <c r="F617" s="18"/>
      <c r="G617" s="18"/>
      <c r="H617" s="18"/>
      <c r="I617" s="18"/>
      <c r="J617" s="18"/>
      <c r="K617" s="18"/>
    </row>
    <row r="618" spans="2:11" ht="12.75" customHeight="1" x14ac:dyDescent="0.2">
      <c r="B618" s="18"/>
      <c r="C618" s="82"/>
      <c r="D618" s="18"/>
      <c r="E618" s="18"/>
      <c r="F618" s="18"/>
      <c r="G618" s="18"/>
      <c r="H618" s="18"/>
      <c r="I618" s="18"/>
      <c r="J618" s="18"/>
      <c r="K618" s="18"/>
    </row>
    <row r="619" spans="2:11" ht="12.75" customHeight="1" x14ac:dyDescent="0.2">
      <c r="B619" s="18"/>
      <c r="C619" s="82"/>
      <c r="D619" s="18"/>
      <c r="E619" s="18"/>
      <c r="F619" s="18"/>
      <c r="G619" s="18"/>
      <c r="H619" s="18"/>
      <c r="I619" s="18"/>
      <c r="J619" s="18"/>
      <c r="K619" s="18"/>
    </row>
    <row r="620" spans="2:11" ht="12.75" customHeight="1" x14ac:dyDescent="0.2">
      <c r="B620" s="18"/>
      <c r="C620" s="82"/>
      <c r="D620" s="18"/>
      <c r="E620" s="18"/>
      <c r="F620" s="18"/>
      <c r="G620" s="18"/>
      <c r="H620" s="18"/>
      <c r="I620" s="18"/>
      <c r="J620" s="18"/>
      <c r="K620" s="18"/>
    </row>
    <row r="621" spans="2:11" ht="12.75" customHeight="1" x14ac:dyDescent="0.2">
      <c r="B621" s="18"/>
      <c r="C621" s="82"/>
      <c r="D621" s="18"/>
      <c r="E621" s="18"/>
      <c r="F621" s="18"/>
      <c r="G621" s="18"/>
      <c r="H621" s="18"/>
      <c r="I621" s="18"/>
      <c r="J621" s="18"/>
      <c r="K621" s="18"/>
    </row>
    <row r="622" spans="2:11" ht="12.75" customHeight="1" x14ac:dyDescent="0.2">
      <c r="B622" s="18"/>
      <c r="C622" s="82"/>
      <c r="D622" s="18"/>
      <c r="E622" s="18"/>
      <c r="F622" s="18"/>
      <c r="G622" s="18"/>
      <c r="H622" s="18"/>
      <c r="I622" s="18"/>
      <c r="J622" s="18"/>
      <c r="K622" s="18"/>
    </row>
    <row r="623" spans="2:11" ht="12.75" customHeight="1" x14ac:dyDescent="0.2">
      <c r="B623" s="18"/>
      <c r="C623" s="82"/>
      <c r="D623" s="18"/>
      <c r="E623" s="18"/>
      <c r="F623" s="18"/>
      <c r="G623" s="18"/>
      <c r="H623" s="18"/>
      <c r="I623" s="18"/>
      <c r="J623" s="18"/>
      <c r="K623" s="18"/>
    </row>
    <row r="624" spans="2:11" ht="12.75" customHeight="1" x14ac:dyDescent="0.2">
      <c r="B624" s="18"/>
      <c r="C624" s="82"/>
      <c r="D624" s="18"/>
      <c r="E624" s="18"/>
      <c r="F624" s="18"/>
      <c r="G624" s="18"/>
      <c r="H624" s="18"/>
      <c r="I624" s="18"/>
      <c r="J624" s="18"/>
      <c r="K624" s="18"/>
    </row>
    <row r="625" spans="2:11" ht="12.75" customHeight="1" x14ac:dyDescent="0.2">
      <c r="B625" s="18"/>
      <c r="C625" s="82"/>
      <c r="D625" s="18"/>
      <c r="E625" s="18"/>
      <c r="F625" s="18"/>
      <c r="G625" s="18"/>
      <c r="H625" s="18"/>
      <c r="I625" s="18"/>
      <c r="J625" s="18"/>
      <c r="K625" s="18"/>
    </row>
    <row r="626" spans="2:11" ht="12.75" customHeight="1" x14ac:dyDescent="0.2">
      <c r="B626" s="18"/>
      <c r="C626" s="82"/>
      <c r="D626" s="18"/>
      <c r="E626" s="18"/>
      <c r="F626" s="18"/>
      <c r="G626" s="18"/>
      <c r="H626" s="18"/>
      <c r="I626" s="18"/>
      <c r="J626" s="18"/>
      <c r="K626" s="18"/>
    </row>
    <row r="627" spans="2:11" ht="12.75" customHeight="1" x14ac:dyDescent="0.2">
      <c r="B627" s="18"/>
      <c r="C627" s="82"/>
      <c r="D627" s="18"/>
      <c r="E627" s="18"/>
      <c r="F627" s="18"/>
      <c r="G627" s="18"/>
      <c r="H627" s="18"/>
      <c r="I627" s="18"/>
      <c r="J627" s="18"/>
      <c r="K627" s="18"/>
    </row>
    <row r="628" spans="2:11" ht="12.75" customHeight="1" x14ac:dyDescent="0.2">
      <c r="B628" s="18"/>
      <c r="C628" s="82"/>
      <c r="D628" s="18"/>
      <c r="E628" s="18"/>
      <c r="F628" s="18"/>
      <c r="G628" s="18"/>
      <c r="H628" s="18"/>
      <c r="I628" s="18"/>
      <c r="J628" s="18"/>
      <c r="K628" s="18"/>
    </row>
    <row r="629" spans="2:11" ht="12.75" customHeight="1" x14ac:dyDescent="0.2">
      <c r="B629" s="18"/>
      <c r="C629" s="82"/>
      <c r="D629" s="18"/>
      <c r="E629" s="18"/>
      <c r="F629" s="18"/>
      <c r="G629" s="18"/>
      <c r="H629" s="18"/>
      <c r="I629" s="18"/>
      <c r="J629" s="18"/>
      <c r="K629" s="18"/>
    </row>
    <row r="630" spans="2:11" ht="12.75" customHeight="1" x14ac:dyDescent="0.2">
      <c r="B630" s="18"/>
      <c r="C630" s="82"/>
      <c r="D630" s="18"/>
      <c r="E630" s="18"/>
      <c r="F630" s="18"/>
      <c r="G630" s="18"/>
      <c r="H630" s="18"/>
      <c r="I630" s="18"/>
      <c r="J630" s="18"/>
      <c r="K630" s="18"/>
    </row>
    <row r="631" spans="2:11" ht="12.75" customHeight="1" x14ac:dyDescent="0.2">
      <c r="B631" s="18"/>
      <c r="C631" s="82"/>
      <c r="D631" s="18"/>
      <c r="E631" s="18"/>
      <c r="F631" s="18"/>
      <c r="G631" s="18"/>
      <c r="H631" s="18"/>
      <c r="I631" s="18"/>
      <c r="J631" s="18"/>
      <c r="K631" s="18"/>
    </row>
    <row r="632" spans="2:11" ht="12.75" customHeight="1" x14ac:dyDescent="0.2">
      <c r="B632" s="18"/>
      <c r="C632" s="82"/>
      <c r="D632" s="18"/>
      <c r="E632" s="18"/>
      <c r="F632" s="18"/>
      <c r="G632" s="18"/>
      <c r="H632" s="18"/>
      <c r="I632" s="18"/>
      <c r="J632" s="18"/>
      <c r="K632" s="18"/>
    </row>
    <row r="633" spans="2:11" ht="12.75" customHeight="1" x14ac:dyDescent="0.2">
      <c r="B633" s="18"/>
      <c r="C633" s="82"/>
      <c r="D633" s="18"/>
      <c r="E633" s="18"/>
      <c r="F633" s="18"/>
      <c r="G633" s="18"/>
      <c r="H633" s="18"/>
      <c r="I633" s="18"/>
      <c r="J633" s="18"/>
      <c r="K633" s="18"/>
    </row>
    <row r="634" spans="2:11" ht="12.75" customHeight="1" x14ac:dyDescent="0.2">
      <c r="B634" s="18"/>
      <c r="C634" s="82"/>
      <c r="D634" s="18"/>
      <c r="E634" s="18"/>
      <c r="F634" s="18"/>
      <c r="G634" s="18"/>
      <c r="H634" s="18"/>
      <c r="I634" s="18"/>
      <c r="J634" s="18"/>
      <c r="K634" s="18"/>
    </row>
    <row r="635" spans="2:11" ht="12.75" customHeight="1" x14ac:dyDescent="0.2">
      <c r="B635" s="18"/>
      <c r="C635" s="82"/>
      <c r="D635" s="18"/>
      <c r="E635" s="18"/>
      <c r="F635" s="18"/>
      <c r="G635" s="18"/>
      <c r="H635" s="18"/>
      <c r="I635" s="18"/>
      <c r="J635" s="18"/>
      <c r="K635" s="18"/>
    </row>
    <row r="636" spans="2:11" ht="12.75" customHeight="1" x14ac:dyDescent="0.2">
      <c r="B636" s="18"/>
      <c r="C636" s="82"/>
      <c r="D636" s="18"/>
      <c r="E636" s="18"/>
      <c r="F636" s="18"/>
      <c r="G636" s="18"/>
      <c r="H636" s="18"/>
      <c r="I636" s="18"/>
      <c r="J636" s="18"/>
      <c r="K636" s="18"/>
    </row>
    <row r="637" spans="2:11" ht="12.75" customHeight="1" x14ac:dyDescent="0.2">
      <c r="B637" s="18"/>
      <c r="C637" s="82"/>
      <c r="D637" s="18"/>
      <c r="E637" s="18"/>
      <c r="F637" s="18"/>
      <c r="G637" s="18"/>
      <c r="H637" s="18"/>
      <c r="I637" s="18"/>
      <c r="J637" s="18"/>
      <c r="K637" s="18"/>
    </row>
    <row r="638" spans="2:11" ht="12.75" customHeight="1" x14ac:dyDescent="0.2">
      <c r="B638" s="18"/>
      <c r="C638" s="82"/>
      <c r="D638" s="18"/>
      <c r="E638" s="18"/>
      <c r="F638" s="18"/>
      <c r="G638" s="18"/>
      <c r="H638" s="18"/>
      <c r="I638" s="18"/>
      <c r="J638" s="18"/>
      <c r="K638" s="18"/>
    </row>
    <row r="639" spans="2:11" ht="12.75" customHeight="1" x14ac:dyDescent="0.2">
      <c r="B639" s="18"/>
      <c r="C639" s="82"/>
      <c r="D639" s="18"/>
      <c r="E639" s="18"/>
      <c r="F639" s="18"/>
      <c r="G639" s="18"/>
      <c r="H639" s="18"/>
      <c r="I639" s="18"/>
      <c r="J639" s="18"/>
      <c r="K639" s="18"/>
    </row>
    <row r="640" spans="2:11" ht="12.75" customHeight="1" x14ac:dyDescent="0.2">
      <c r="B640" s="18"/>
      <c r="C640" s="82"/>
      <c r="D640" s="18"/>
      <c r="E640" s="18"/>
      <c r="F640" s="18"/>
      <c r="G640" s="18"/>
      <c r="H640" s="18"/>
      <c r="I640" s="18"/>
      <c r="J640" s="18"/>
      <c r="K640" s="18"/>
    </row>
    <row r="641" spans="2:11" ht="12.75" customHeight="1" x14ac:dyDescent="0.2">
      <c r="B641" s="18"/>
      <c r="C641" s="82"/>
      <c r="D641" s="18"/>
      <c r="E641" s="18"/>
      <c r="F641" s="18"/>
      <c r="G641" s="18"/>
      <c r="H641" s="18"/>
      <c r="I641" s="18"/>
      <c r="J641" s="18"/>
      <c r="K641" s="18"/>
    </row>
    <row r="642" spans="2:11" ht="12.75" customHeight="1" x14ac:dyDescent="0.2">
      <c r="B642" s="18"/>
      <c r="C642" s="82"/>
      <c r="D642" s="18"/>
      <c r="E642" s="18"/>
      <c r="F642" s="18"/>
      <c r="G642" s="18"/>
      <c r="H642" s="18"/>
      <c r="I642" s="18"/>
      <c r="J642" s="18"/>
      <c r="K642" s="18"/>
    </row>
    <row r="643" spans="2:11" ht="12.75" customHeight="1" x14ac:dyDescent="0.2">
      <c r="B643" s="18"/>
      <c r="C643" s="82"/>
      <c r="D643" s="18"/>
      <c r="E643" s="18"/>
      <c r="F643" s="18"/>
      <c r="G643" s="18"/>
      <c r="H643" s="18"/>
      <c r="I643" s="18"/>
      <c r="J643" s="18"/>
      <c r="K643" s="18"/>
    </row>
    <row r="644" spans="2:11" ht="12.75" customHeight="1" x14ac:dyDescent="0.2">
      <c r="B644" s="18"/>
      <c r="C644" s="82"/>
      <c r="D644" s="18"/>
      <c r="E644" s="18"/>
      <c r="F644" s="18"/>
      <c r="G644" s="18"/>
      <c r="H644" s="18"/>
      <c r="I644" s="18"/>
      <c r="J644" s="18"/>
      <c r="K644" s="18"/>
    </row>
    <row r="645" spans="2:11" ht="12.75" customHeight="1" x14ac:dyDescent="0.2">
      <c r="B645" s="18"/>
      <c r="C645" s="82"/>
      <c r="D645" s="18"/>
      <c r="E645" s="18"/>
      <c r="F645" s="18"/>
      <c r="G645" s="18"/>
      <c r="H645" s="18"/>
      <c r="I645" s="18"/>
      <c r="J645" s="18"/>
      <c r="K645" s="18"/>
    </row>
    <row r="646" spans="2:11" ht="12.75" customHeight="1" x14ac:dyDescent="0.2">
      <c r="B646" s="18"/>
      <c r="C646" s="82"/>
      <c r="D646" s="18"/>
      <c r="E646" s="18"/>
      <c r="F646" s="18"/>
      <c r="G646" s="18"/>
      <c r="H646" s="18"/>
      <c r="I646" s="18"/>
      <c r="J646" s="18"/>
      <c r="K646" s="18"/>
    </row>
    <row r="647" spans="2:11" ht="12.75" customHeight="1" x14ac:dyDescent="0.2">
      <c r="B647" s="18"/>
      <c r="C647" s="82"/>
      <c r="D647" s="18"/>
      <c r="E647" s="18"/>
      <c r="F647" s="18"/>
      <c r="G647" s="18"/>
      <c r="H647" s="18"/>
      <c r="I647" s="18"/>
      <c r="J647" s="18"/>
      <c r="K647" s="18"/>
    </row>
    <row r="648" spans="2:11" ht="12.75" customHeight="1" x14ac:dyDescent="0.2">
      <c r="B648" s="18"/>
      <c r="C648" s="82"/>
      <c r="D648" s="18"/>
      <c r="E648" s="18"/>
      <c r="F648" s="18"/>
      <c r="G648" s="18"/>
      <c r="H648" s="18"/>
      <c r="I648" s="18"/>
      <c r="J648" s="18"/>
      <c r="K648" s="18"/>
    </row>
    <row r="649" spans="2:11" ht="12.75" customHeight="1" x14ac:dyDescent="0.2">
      <c r="B649" s="18"/>
      <c r="C649" s="82"/>
      <c r="D649" s="18"/>
      <c r="E649" s="18"/>
      <c r="F649" s="18"/>
      <c r="G649" s="18"/>
      <c r="H649" s="18"/>
      <c r="I649" s="18"/>
      <c r="J649" s="18"/>
      <c r="K649" s="18"/>
    </row>
    <row r="650" spans="2:11" ht="12.75" customHeight="1" x14ac:dyDescent="0.2">
      <c r="B650" s="18"/>
      <c r="C650" s="82"/>
      <c r="D650" s="18"/>
      <c r="E650" s="18"/>
      <c r="F650" s="18"/>
      <c r="G650" s="18"/>
      <c r="H650" s="18"/>
      <c r="I650" s="18"/>
      <c r="J650" s="18"/>
      <c r="K650" s="18"/>
    </row>
    <row r="651" spans="2:11" ht="12.75" customHeight="1" x14ac:dyDescent="0.2">
      <c r="B651" s="18"/>
      <c r="C651" s="82"/>
      <c r="D651" s="18"/>
      <c r="E651" s="18"/>
      <c r="F651" s="18"/>
      <c r="G651" s="18"/>
      <c r="H651" s="18"/>
      <c r="I651" s="18"/>
      <c r="J651" s="18"/>
      <c r="K651" s="18"/>
    </row>
    <row r="652" spans="2:11" ht="12.75" customHeight="1" x14ac:dyDescent="0.2">
      <c r="B652" s="18"/>
      <c r="C652" s="82"/>
      <c r="D652" s="18"/>
      <c r="E652" s="18"/>
      <c r="F652" s="18"/>
      <c r="G652" s="18"/>
      <c r="H652" s="18"/>
      <c r="I652" s="18"/>
      <c r="J652" s="18"/>
      <c r="K652" s="18"/>
    </row>
    <row r="653" spans="2:11" ht="12.75" customHeight="1" x14ac:dyDescent="0.2">
      <c r="B653" s="18"/>
      <c r="C653" s="82"/>
      <c r="D653" s="18"/>
      <c r="E653" s="18"/>
      <c r="F653" s="18"/>
      <c r="G653" s="18"/>
      <c r="H653" s="18"/>
      <c r="I653" s="18"/>
      <c r="J653" s="18"/>
      <c r="K653" s="18"/>
    </row>
    <row r="654" spans="2:11" ht="12.75" customHeight="1" x14ac:dyDescent="0.2">
      <c r="B654" s="18"/>
      <c r="C654" s="82"/>
      <c r="D654" s="18"/>
      <c r="E654" s="18"/>
      <c r="F654" s="18"/>
      <c r="G654" s="18"/>
      <c r="H654" s="18"/>
      <c r="I654" s="18"/>
      <c r="J654" s="18"/>
      <c r="K654" s="18"/>
    </row>
    <row r="655" spans="2:11" ht="12.75" customHeight="1" x14ac:dyDescent="0.2">
      <c r="B655" s="18"/>
      <c r="C655" s="82"/>
      <c r="D655" s="18"/>
      <c r="E655" s="18"/>
      <c r="F655" s="18"/>
      <c r="G655" s="18"/>
      <c r="H655" s="18"/>
      <c r="I655" s="18"/>
      <c r="J655" s="18"/>
      <c r="K655" s="18"/>
    </row>
    <row r="656" spans="2:11" ht="12.75" customHeight="1" x14ac:dyDescent="0.2">
      <c r="B656" s="18"/>
      <c r="C656" s="82"/>
      <c r="D656" s="18"/>
      <c r="E656" s="18"/>
      <c r="F656" s="18"/>
      <c r="G656" s="18"/>
      <c r="H656" s="18"/>
      <c r="I656" s="18"/>
      <c r="J656" s="18"/>
      <c r="K656" s="18"/>
    </row>
    <row r="657" spans="2:11" ht="12.75" customHeight="1" x14ac:dyDescent="0.2">
      <c r="B657" s="18"/>
      <c r="C657" s="82"/>
      <c r="D657" s="18"/>
      <c r="E657" s="18"/>
      <c r="F657" s="18"/>
      <c r="G657" s="18"/>
      <c r="H657" s="18"/>
      <c r="I657" s="18"/>
      <c r="J657" s="18"/>
      <c r="K657" s="18"/>
    </row>
    <row r="658" spans="2:11" ht="12.75" customHeight="1" x14ac:dyDescent="0.2">
      <c r="B658" s="18"/>
      <c r="C658" s="82"/>
      <c r="D658" s="18"/>
      <c r="E658" s="18"/>
      <c r="F658" s="18"/>
      <c r="G658" s="18"/>
      <c r="H658" s="18"/>
      <c r="I658" s="18"/>
      <c r="J658" s="18"/>
      <c r="K658" s="18"/>
    </row>
    <row r="659" spans="2:11" ht="12.75" customHeight="1" x14ac:dyDescent="0.2">
      <c r="B659" s="18"/>
      <c r="C659" s="82"/>
      <c r="D659" s="18"/>
      <c r="E659" s="18"/>
      <c r="F659" s="18"/>
      <c r="G659" s="18"/>
      <c r="H659" s="18"/>
      <c r="I659" s="18"/>
      <c r="J659" s="18"/>
      <c r="K659" s="18"/>
    </row>
    <row r="660" spans="2:11" ht="12.75" customHeight="1" x14ac:dyDescent="0.2">
      <c r="B660" s="18"/>
      <c r="C660" s="82"/>
      <c r="D660" s="18"/>
      <c r="E660" s="18"/>
      <c r="F660" s="18"/>
      <c r="G660" s="18"/>
      <c r="H660" s="18"/>
      <c r="I660" s="18"/>
      <c r="J660" s="18"/>
      <c r="K660" s="18"/>
    </row>
    <row r="661" spans="2:11" ht="12.75" customHeight="1" x14ac:dyDescent="0.2">
      <c r="B661" s="18"/>
      <c r="C661" s="82"/>
      <c r="D661" s="18"/>
      <c r="E661" s="18"/>
      <c r="F661" s="18"/>
      <c r="G661" s="18"/>
      <c r="H661" s="18"/>
      <c r="I661" s="18"/>
      <c r="J661" s="18"/>
      <c r="K661" s="18"/>
    </row>
    <row r="662" spans="2:11" ht="12.75" customHeight="1" x14ac:dyDescent="0.2">
      <c r="B662" s="18"/>
      <c r="C662" s="82"/>
      <c r="D662" s="18"/>
      <c r="E662" s="18"/>
      <c r="F662" s="18"/>
      <c r="G662" s="18"/>
      <c r="H662" s="18"/>
      <c r="I662" s="18"/>
      <c r="J662" s="18"/>
      <c r="K662" s="18"/>
    </row>
    <row r="663" spans="2:11" ht="12.75" customHeight="1" x14ac:dyDescent="0.2">
      <c r="B663" s="18"/>
      <c r="C663" s="82"/>
      <c r="D663" s="18"/>
      <c r="E663" s="18"/>
      <c r="F663" s="18"/>
      <c r="G663" s="18"/>
      <c r="H663" s="18"/>
      <c r="I663" s="18"/>
      <c r="J663" s="18"/>
      <c r="K663" s="18"/>
    </row>
    <row r="664" spans="2:11" ht="12.75" customHeight="1" x14ac:dyDescent="0.2">
      <c r="B664" s="18"/>
      <c r="C664" s="82"/>
      <c r="D664" s="18"/>
      <c r="E664" s="18"/>
      <c r="F664" s="18"/>
      <c r="G664" s="18"/>
      <c r="H664" s="18"/>
      <c r="I664" s="18"/>
      <c r="J664" s="18"/>
      <c r="K664" s="18"/>
    </row>
    <row r="665" spans="2:11" ht="12.75" customHeight="1" x14ac:dyDescent="0.2">
      <c r="B665" s="18"/>
      <c r="C665" s="82"/>
      <c r="D665" s="18"/>
      <c r="E665" s="18"/>
      <c r="F665" s="18"/>
      <c r="G665" s="18"/>
      <c r="H665" s="18"/>
      <c r="I665" s="18"/>
      <c r="J665" s="18"/>
      <c r="K665" s="18"/>
    </row>
    <row r="666" spans="2:11" ht="12.75" customHeight="1" x14ac:dyDescent="0.2">
      <c r="B666" s="18"/>
      <c r="C666" s="82"/>
      <c r="D666" s="18"/>
      <c r="E666" s="18"/>
      <c r="F666" s="18"/>
      <c r="G666" s="18"/>
      <c r="H666" s="18"/>
      <c r="I666" s="18"/>
      <c r="J666" s="18"/>
      <c r="K666" s="18"/>
    </row>
    <row r="667" spans="2:11" ht="12.75" customHeight="1" x14ac:dyDescent="0.2">
      <c r="B667" s="18"/>
      <c r="C667" s="82"/>
      <c r="D667" s="18"/>
      <c r="E667" s="18"/>
      <c r="F667" s="18"/>
      <c r="G667" s="18"/>
      <c r="H667" s="18"/>
      <c r="I667" s="18"/>
      <c r="J667" s="18"/>
      <c r="K667" s="18"/>
    </row>
    <row r="668" spans="2:11" ht="12.75" customHeight="1" x14ac:dyDescent="0.2">
      <c r="B668" s="18"/>
      <c r="C668" s="82"/>
      <c r="D668" s="18"/>
      <c r="E668" s="18"/>
      <c r="F668" s="18"/>
      <c r="G668" s="18"/>
      <c r="H668" s="18"/>
      <c r="I668" s="18"/>
      <c r="J668" s="18"/>
      <c r="K668" s="18"/>
    </row>
    <row r="669" spans="2:11" ht="12.75" customHeight="1" x14ac:dyDescent="0.2">
      <c r="B669" s="18"/>
      <c r="C669" s="82"/>
      <c r="D669" s="18"/>
      <c r="E669" s="18"/>
      <c r="F669" s="18"/>
      <c r="G669" s="18"/>
      <c r="H669" s="18"/>
      <c r="I669" s="18"/>
      <c r="J669" s="18"/>
      <c r="K669" s="18"/>
    </row>
    <row r="670" spans="2:11" ht="12.75" customHeight="1" x14ac:dyDescent="0.2">
      <c r="B670" s="18"/>
      <c r="C670" s="82"/>
      <c r="D670" s="18"/>
      <c r="E670" s="18"/>
      <c r="F670" s="18"/>
      <c r="G670" s="18"/>
      <c r="H670" s="18"/>
      <c r="I670" s="18"/>
      <c r="J670" s="18"/>
      <c r="K670" s="18"/>
    </row>
    <row r="671" spans="2:11" ht="12.75" customHeight="1" x14ac:dyDescent="0.2">
      <c r="B671" s="18"/>
      <c r="C671" s="82"/>
      <c r="D671" s="18"/>
      <c r="E671" s="18"/>
      <c r="F671" s="18"/>
      <c r="G671" s="18"/>
      <c r="H671" s="18"/>
      <c r="I671" s="18"/>
      <c r="J671" s="18"/>
      <c r="K671" s="18"/>
    </row>
    <row r="672" spans="2:11" ht="12.75" customHeight="1" x14ac:dyDescent="0.2">
      <c r="B672" s="18"/>
      <c r="C672" s="82"/>
      <c r="D672" s="18"/>
      <c r="E672" s="18"/>
      <c r="F672" s="18"/>
      <c r="G672" s="18"/>
      <c r="H672" s="18"/>
      <c r="I672" s="18"/>
      <c r="J672" s="18"/>
      <c r="K672" s="18"/>
    </row>
    <row r="673" spans="2:11" ht="12.75" customHeight="1" x14ac:dyDescent="0.2">
      <c r="B673" s="18"/>
      <c r="C673" s="82"/>
      <c r="D673" s="18"/>
      <c r="E673" s="18"/>
      <c r="F673" s="18"/>
      <c r="G673" s="18"/>
      <c r="H673" s="18"/>
      <c r="I673" s="18"/>
      <c r="J673" s="18"/>
      <c r="K673" s="18"/>
    </row>
    <row r="674" spans="2:11" ht="12.75" customHeight="1" x14ac:dyDescent="0.2">
      <c r="B674" s="18"/>
      <c r="C674" s="82"/>
      <c r="D674" s="18"/>
      <c r="E674" s="18"/>
      <c r="F674" s="18"/>
      <c r="G674" s="18"/>
      <c r="H674" s="18"/>
      <c r="I674" s="18"/>
      <c r="J674" s="18"/>
      <c r="K674" s="18"/>
    </row>
    <row r="675" spans="2:11" ht="12.75" customHeight="1" x14ac:dyDescent="0.2">
      <c r="B675" s="18"/>
      <c r="C675" s="82"/>
      <c r="D675" s="18"/>
      <c r="E675" s="18"/>
      <c r="F675" s="18"/>
      <c r="G675" s="18"/>
      <c r="H675" s="18"/>
      <c r="I675" s="18"/>
      <c r="J675" s="18"/>
      <c r="K675" s="18"/>
    </row>
    <row r="676" spans="2:11" ht="12.75" customHeight="1" x14ac:dyDescent="0.2">
      <c r="B676" s="18"/>
      <c r="C676" s="82"/>
      <c r="D676" s="18"/>
      <c r="E676" s="18"/>
      <c r="F676" s="18"/>
      <c r="G676" s="18"/>
      <c r="H676" s="18"/>
      <c r="I676" s="18"/>
      <c r="J676" s="18"/>
      <c r="K676" s="18"/>
    </row>
    <row r="677" spans="2:11" ht="12.75" customHeight="1" x14ac:dyDescent="0.2">
      <c r="B677" s="18"/>
      <c r="C677" s="82"/>
      <c r="D677" s="18"/>
      <c r="E677" s="18"/>
      <c r="F677" s="18"/>
      <c r="G677" s="18"/>
      <c r="H677" s="18"/>
      <c r="I677" s="18"/>
      <c r="J677" s="18"/>
      <c r="K677" s="18"/>
    </row>
    <row r="678" spans="2:11" ht="12.75" customHeight="1" x14ac:dyDescent="0.2">
      <c r="B678" s="18"/>
      <c r="C678" s="82"/>
      <c r="D678" s="18"/>
      <c r="E678" s="18"/>
      <c r="F678" s="18"/>
      <c r="G678" s="18"/>
      <c r="H678" s="18"/>
      <c r="I678" s="18"/>
      <c r="J678" s="18"/>
      <c r="K678" s="18"/>
    </row>
    <row r="679" spans="2:11" ht="12.75" customHeight="1" x14ac:dyDescent="0.2">
      <c r="B679" s="18"/>
      <c r="C679" s="82"/>
      <c r="D679" s="18"/>
      <c r="E679" s="18"/>
      <c r="F679" s="18"/>
      <c r="G679" s="18"/>
      <c r="H679" s="18"/>
      <c r="I679" s="18"/>
      <c r="J679" s="18"/>
      <c r="K679" s="18"/>
    </row>
    <row r="680" spans="2:11" ht="12.75" customHeight="1" x14ac:dyDescent="0.2">
      <c r="B680" s="18"/>
      <c r="C680" s="82"/>
      <c r="D680" s="18"/>
      <c r="E680" s="18"/>
      <c r="F680" s="18"/>
      <c r="G680" s="18"/>
      <c r="H680" s="18"/>
      <c r="I680" s="18"/>
      <c r="J680" s="18"/>
      <c r="K680" s="18"/>
    </row>
    <row r="681" spans="2:11" ht="12.75" customHeight="1" x14ac:dyDescent="0.2">
      <c r="B681" s="18"/>
      <c r="C681" s="82"/>
      <c r="D681" s="18"/>
      <c r="E681" s="18"/>
      <c r="F681" s="18"/>
      <c r="G681" s="18"/>
      <c r="H681" s="18"/>
      <c r="I681" s="18"/>
      <c r="J681" s="18"/>
      <c r="K681" s="18"/>
    </row>
    <row r="682" spans="2:11" ht="12.75" customHeight="1" x14ac:dyDescent="0.2">
      <c r="B682" s="18"/>
      <c r="C682" s="82"/>
      <c r="D682" s="18"/>
      <c r="E682" s="18"/>
      <c r="F682" s="18"/>
      <c r="G682" s="18"/>
      <c r="H682" s="18"/>
      <c r="I682" s="18"/>
      <c r="J682" s="18"/>
      <c r="K682" s="18"/>
    </row>
    <row r="683" spans="2:11" ht="12.75" customHeight="1" x14ac:dyDescent="0.2">
      <c r="B683" s="18"/>
      <c r="C683" s="82"/>
      <c r="D683" s="18"/>
      <c r="E683" s="18"/>
      <c r="F683" s="18"/>
      <c r="G683" s="18"/>
      <c r="H683" s="18"/>
      <c r="I683" s="18"/>
      <c r="J683" s="18"/>
      <c r="K683" s="18"/>
    </row>
    <row r="684" spans="2:11" ht="12.75" customHeight="1" x14ac:dyDescent="0.2">
      <c r="B684" s="18"/>
      <c r="C684" s="82"/>
      <c r="D684" s="18"/>
      <c r="E684" s="18"/>
      <c r="F684" s="18"/>
      <c r="G684" s="18"/>
      <c r="H684" s="18"/>
      <c r="I684" s="18"/>
      <c r="J684" s="18"/>
      <c r="K684" s="18"/>
    </row>
    <row r="685" spans="2:11" ht="12.75" customHeight="1" x14ac:dyDescent="0.2">
      <c r="B685" s="18"/>
      <c r="C685" s="82"/>
      <c r="D685" s="18"/>
      <c r="E685" s="18"/>
      <c r="F685" s="18"/>
      <c r="G685" s="18"/>
      <c r="H685" s="18"/>
      <c r="I685" s="18"/>
      <c r="J685" s="18"/>
      <c r="K685" s="18"/>
    </row>
    <row r="686" spans="2:11" ht="12.75" customHeight="1" x14ac:dyDescent="0.2">
      <c r="B686" s="18"/>
      <c r="C686" s="82"/>
      <c r="D686" s="18"/>
      <c r="E686" s="18"/>
      <c r="F686" s="18"/>
      <c r="G686" s="18"/>
      <c r="H686" s="18"/>
      <c r="I686" s="18"/>
      <c r="J686" s="18"/>
      <c r="K686" s="18"/>
    </row>
    <row r="687" spans="2:11" ht="12.75" customHeight="1" x14ac:dyDescent="0.2">
      <c r="B687" s="18"/>
      <c r="C687" s="82"/>
      <c r="D687" s="18"/>
      <c r="E687" s="18"/>
      <c r="F687" s="18"/>
      <c r="G687" s="18"/>
      <c r="H687" s="18"/>
      <c r="I687" s="18"/>
      <c r="J687" s="18"/>
      <c r="K687" s="18"/>
    </row>
    <row r="688" spans="2:11" ht="12.75" customHeight="1" x14ac:dyDescent="0.2">
      <c r="B688" s="18"/>
      <c r="C688" s="82"/>
      <c r="D688" s="18"/>
      <c r="E688" s="18"/>
      <c r="F688" s="18"/>
      <c r="G688" s="18"/>
      <c r="H688" s="18"/>
      <c r="I688" s="18"/>
      <c r="J688" s="18"/>
      <c r="K688" s="18"/>
    </row>
    <row r="689" spans="2:11" ht="12.75" customHeight="1" x14ac:dyDescent="0.2">
      <c r="B689" s="18"/>
      <c r="C689" s="82"/>
      <c r="D689" s="18"/>
      <c r="E689" s="18"/>
      <c r="F689" s="18"/>
      <c r="G689" s="18"/>
      <c r="H689" s="18"/>
      <c r="I689" s="18"/>
      <c r="J689" s="18"/>
      <c r="K689" s="18"/>
    </row>
    <row r="690" spans="2:11" ht="12.75" customHeight="1" x14ac:dyDescent="0.2">
      <c r="B690" s="18"/>
      <c r="C690" s="82"/>
      <c r="D690" s="18"/>
      <c r="E690" s="18"/>
      <c r="F690" s="18"/>
      <c r="G690" s="18"/>
      <c r="H690" s="18"/>
      <c r="I690" s="18"/>
      <c r="J690" s="18"/>
      <c r="K690" s="18"/>
    </row>
    <row r="691" spans="2:11" ht="12.75" customHeight="1" x14ac:dyDescent="0.2">
      <c r="B691" s="18"/>
      <c r="C691" s="82"/>
      <c r="D691" s="18"/>
      <c r="E691" s="18"/>
      <c r="F691" s="18"/>
      <c r="G691" s="18"/>
      <c r="H691" s="18"/>
      <c r="I691" s="18"/>
      <c r="J691" s="18"/>
      <c r="K691" s="18"/>
    </row>
    <row r="692" spans="2:11" ht="12.75" customHeight="1" x14ac:dyDescent="0.2">
      <c r="B692" s="18"/>
      <c r="C692" s="82"/>
      <c r="D692" s="18"/>
      <c r="E692" s="18"/>
      <c r="F692" s="18"/>
      <c r="G692" s="18"/>
      <c r="H692" s="18"/>
      <c r="I692" s="18"/>
      <c r="J692" s="18"/>
      <c r="K692" s="18"/>
    </row>
    <row r="693" spans="2:11" ht="12.75" customHeight="1" x14ac:dyDescent="0.2">
      <c r="B693" s="18"/>
      <c r="C693" s="82"/>
      <c r="D693" s="18"/>
      <c r="E693" s="18"/>
      <c r="F693" s="18"/>
      <c r="G693" s="18"/>
      <c r="H693" s="18"/>
      <c r="I693" s="18"/>
      <c r="J693" s="18"/>
      <c r="K693" s="18"/>
    </row>
    <row r="694" spans="2:11" ht="12.75" customHeight="1" x14ac:dyDescent="0.2">
      <c r="B694" s="18"/>
      <c r="C694" s="82"/>
      <c r="D694" s="18"/>
      <c r="E694" s="18"/>
      <c r="F694" s="18"/>
      <c r="G694" s="18"/>
      <c r="H694" s="18"/>
      <c r="I694" s="18"/>
      <c r="J694" s="18"/>
      <c r="K694" s="18"/>
    </row>
    <row r="695" spans="2:11" ht="12.75" customHeight="1" x14ac:dyDescent="0.2">
      <c r="B695" s="18"/>
      <c r="C695" s="82"/>
      <c r="D695" s="18"/>
      <c r="E695" s="18"/>
      <c r="F695" s="18"/>
      <c r="G695" s="18"/>
      <c r="H695" s="18"/>
      <c r="I695" s="18"/>
      <c r="J695" s="18"/>
      <c r="K695" s="18"/>
    </row>
    <row r="696" spans="2:11" ht="12.75" customHeight="1" x14ac:dyDescent="0.2">
      <c r="B696" s="18"/>
      <c r="C696" s="82"/>
      <c r="D696" s="18"/>
      <c r="E696" s="18"/>
      <c r="F696" s="18"/>
      <c r="G696" s="18"/>
      <c r="H696" s="18"/>
      <c r="I696" s="18"/>
      <c r="J696" s="18"/>
      <c r="K696" s="18"/>
    </row>
    <row r="697" spans="2:11" ht="12.75" customHeight="1" x14ac:dyDescent="0.2">
      <c r="B697" s="18"/>
      <c r="C697" s="82"/>
      <c r="D697" s="18"/>
      <c r="E697" s="18"/>
      <c r="F697" s="18"/>
      <c r="G697" s="18"/>
      <c r="H697" s="18"/>
      <c r="I697" s="18"/>
      <c r="J697" s="18"/>
      <c r="K697" s="18"/>
    </row>
    <row r="698" spans="2:11" ht="12.75" customHeight="1" x14ac:dyDescent="0.2">
      <c r="B698" s="18"/>
      <c r="C698" s="82"/>
      <c r="D698" s="18"/>
      <c r="E698" s="18"/>
      <c r="F698" s="18"/>
      <c r="G698" s="18"/>
      <c r="H698" s="18"/>
      <c r="I698" s="18"/>
      <c r="J698" s="18"/>
      <c r="K698" s="18"/>
    </row>
    <row r="699" spans="2:11" ht="12.75" customHeight="1" x14ac:dyDescent="0.2">
      <c r="B699" s="18"/>
      <c r="C699" s="82"/>
      <c r="D699" s="18"/>
      <c r="E699" s="18"/>
      <c r="F699" s="18"/>
      <c r="G699" s="18"/>
      <c r="H699" s="18"/>
      <c r="I699" s="18"/>
      <c r="J699" s="18"/>
      <c r="K699" s="18"/>
    </row>
    <row r="700" spans="2:11" ht="12.75" customHeight="1" x14ac:dyDescent="0.2">
      <c r="B700" s="18"/>
      <c r="C700" s="82"/>
      <c r="D700" s="18"/>
      <c r="E700" s="18"/>
      <c r="F700" s="18"/>
      <c r="G700" s="18"/>
      <c r="H700" s="18"/>
      <c r="I700" s="18"/>
      <c r="J700" s="18"/>
      <c r="K700" s="18"/>
    </row>
    <row r="701" spans="2:11" ht="12.75" customHeight="1" x14ac:dyDescent="0.2">
      <c r="B701" s="18"/>
      <c r="C701" s="82"/>
      <c r="D701" s="18"/>
      <c r="E701" s="18"/>
      <c r="F701" s="18"/>
      <c r="G701" s="18"/>
      <c r="H701" s="18"/>
      <c r="I701" s="18"/>
      <c r="J701" s="18"/>
      <c r="K701" s="18"/>
    </row>
    <row r="702" spans="2:11" ht="12.75" customHeight="1" x14ac:dyDescent="0.2">
      <c r="B702" s="18"/>
      <c r="C702" s="82"/>
      <c r="D702" s="18"/>
      <c r="E702" s="18"/>
      <c r="F702" s="18"/>
      <c r="G702" s="18"/>
      <c r="H702" s="18"/>
      <c r="I702" s="18"/>
      <c r="J702" s="18"/>
      <c r="K702" s="18"/>
    </row>
    <row r="703" spans="2:11" ht="12.75" customHeight="1" x14ac:dyDescent="0.2">
      <c r="B703" s="18"/>
      <c r="C703" s="82"/>
      <c r="D703" s="18"/>
      <c r="E703" s="18"/>
      <c r="F703" s="18"/>
      <c r="G703" s="18"/>
      <c r="H703" s="18"/>
      <c r="I703" s="18"/>
      <c r="J703" s="18"/>
      <c r="K703" s="18"/>
    </row>
    <row r="704" spans="2:11" ht="12.75" customHeight="1" x14ac:dyDescent="0.2">
      <c r="B704" s="18"/>
      <c r="C704" s="82"/>
      <c r="D704" s="18"/>
      <c r="E704" s="18"/>
      <c r="F704" s="18"/>
      <c r="G704" s="18"/>
      <c r="H704" s="18"/>
      <c r="I704" s="18"/>
      <c r="J704" s="18"/>
      <c r="K704" s="18"/>
    </row>
    <row r="705" spans="2:11" ht="12.75" customHeight="1" x14ac:dyDescent="0.2">
      <c r="B705" s="18"/>
      <c r="C705" s="82"/>
      <c r="D705" s="18"/>
      <c r="E705" s="18"/>
      <c r="F705" s="18"/>
      <c r="G705" s="18"/>
      <c r="H705" s="18"/>
      <c r="I705" s="18"/>
      <c r="J705" s="18"/>
      <c r="K705" s="18"/>
    </row>
    <row r="706" spans="2:11" ht="12.75" customHeight="1" x14ac:dyDescent="0.2">
      <c r="B706" s="18"/>
      <c r="C706" s="82"/>
      <c r="D706" s="18"/>
      <c r="E706" s="18"/>
      <c r="F706" s="18"/>
      <c r="G706" s="18"/>
      <c r="H706" s="18"/>
      <c r="I706" s="18"/>
      <c r="J706" s="18"/>
      <c r="K706" s="18"/>
    </row>
    <row r="707" spans="2:11" ht="12.75" customHeight="1" x14ac:dyDescent="0.2">
      <c r="B707" s="18"/>
      <c r="C707" s="82"/>
      <c r="D707" s="18"/>
      <c r="E707" s="18"/>
      <c r="F707" s="18"/>
      <c r="G707" s="18"/>
      <c r="H707" s="18"/>
      <c r="I707" s="18"/>
      <c r="J707" s="18"/>
      <c r="K707" s="18"/>
    </row>
    <row r="708" spans="2:11" ht="12.75" customHeight="1" x14ac:dyDescent="0.2">
      <c r="B708" s="18"/>
      <c r="C708" s="82"/>
      <c r="D708" s="18"/>
      <c r="E708" s="18"/>
      <c r="F708" s="18"/>
      <c r="G708" s="18"/>
      <c r="H708" s="18"/>
      <c r="I708" s="18"/>
      <c r="J708" s="18"/>
      <c r="K708" s="18"/>
    </row>
    <row r="709" spans="2:11" ht="12.75" customHeight="1" x14ac:dyDescent="0.2">
      <c r="B709" s="18"/>
      <c r="C709" s="82"/>
      <c r="D709" s="18"/>
      <c r="E709" s="18"/>
      <c r="F709" s="18"/>
      <c r="G709" s="18"/>
      <c r="H709" s="18"/>
      <c r="I709" s="18"/>
      <c r="J709" s="18"/>
      <c r="K709" s="18"/>
    </row>
    <row r="710" spans="2:11" ht="12.75" customHeight="1" x14ac:dyDescent="0.2">
      <c r="B710" s="18"/>
      <c r="C710" s="82"/>
      <c r="D710" s="18"/>
      <c r="E710" s="18"/>
      <c r="F710" s="18"/>
      <c r="G710" s="18"/>
      <c r="H710" s="18"/>
      <c r="I710" s="18"/>
      <c r="J710" s="18"/>
      <c r="K710" s="18"/>
    </row>
    <row r="711" spans="2:11" ht="12.75" customHeight="1" x14ac:dyDescent="0.2">
      <c r="B711" s="18"/>
      <c r="C711" s="82"/>
      <c r="D711" s="18"/>
      <c r="E711" s="18"/>
      <c r="F711" s="18"/>
      <c r="G711" s="18"/>
      <c r="H711" s="18"/>
      <c r="I711" s="18"/>
      <c r="J711" s="18"/>
      <c r="K711" s="18"/>
    </row>
    <row r="712" spans="2:11" ht="12.75" customHeight="1" x14ac:dyDescent="0.2">
      <c r="B712" s="18"/>
      <c r="C712" s="82"/>
      <c r="D712" s="18"/>
      <c r="E712" s="18"/>
      <c r="F712" s="18"/>
      <c r="G712" s="18"/>
      <c r="H712" s="18"/>
      <c r="I712" s="18"/>
      <c r="J712" s="18"/>
      <c r="K712" s="18"/>
    </row>
    <row r="713" spans="2:11" ht="12.75" customHeight="1" x14ac:dyDescent="0.2">
      <c r="B713" s="18"/>
      <c r="C713" s="82"/>
      <c r="D713" s="18"/>
      <c r="E713" s="18"/>
      <c r="F713" s="18"/>
      <c r="G713" s="18"/>
      <c r="H713" s="18"/>
      <c r="I713" s="18"/>
      <c r="J713" s="18"/>
      <c r="K713" s="18"/>
    </row>
    <row r="714" spans="2:11" ht="12.75" customHeight="1" x14ac:dyDescent="0.2">
      <c r="B714" s="18"/>
      <c r="C714" s="82"/>
      <c r="D714" s="18"/>
      <c r="E714" s="18"/>
      <c r="F714" s="18"/>
      <c r="G714" s="18"/>
      <c r="H714" s="18"/>
      <c r="I714" s="18"/>
      <c r="J714" s="18"/>
      <c r="K714" s="18"/>
    </row>
    <row r="715" spans="2:11" ht="12.75" customHeight="1" x14ac:dyDescent="0.2">
      <c r="B715" s="18"/>
      <c r="C715" s="82"/>
      <c r="D715" s="18"/>
      <c r="E715" s="18"/>
      <c r="F715" s="18"/>
      <c r="G715" s="18"/>
      <c r="H715" s="18"/>
      <c r="I715" s="18"/>
      <c r="J715" s="18"/>
      <c r="K715" s="18"/>
    </row>
    <row r="716" spans="2:11" ht="12.75" customHeight="1" x14ac:dyDescent="0.2">
      <c r="B716" s="18"/>
      <c r="C716" s="82"/>
      <c r="D716" s="18"/>
      <c r="E716" s="18"/>
      <c r="F716" s="18"/>
      <c r="G716" s="18"/>
      <c r="H716" s="18"/>
      <c r="I716" s="18"/>
      <c r="J716" s="18"/>
      <c r="K716" s="18"/>
    </row>
    <row r="717" spans="2:11" ht="12.75" customHeight="1" x14ac:dyDescent="0.2">
      <c r="B717" s="18"/>
      <c r="C717" s="82"/>
      <c r="D717" s="18"/>
      <c r="E717" s="18"/>
      <c r="F717" s="18"/>
      <c r="G717" s="18"/>
      <c r="H717" s="18"/>
      <c r="I717" s="18"/>
      <c r="J717" s="18"/>
      <c r="K717" s="18"/>
    </row>
    <row r="718" spans="2:11" ht="12.75" customHeight="1" x14ac:dyDescent="0.2">
      <c r="B718" s="18"/>
      <c r="C718" s="82"/>
      <c r="D718" s="18"/>
      <c r="E718" s="18"/>
      <c r="F718" s="18"/>
      <c r="G718" s="18"/>
      <c r="H718" s="18"/>
      <c r="I718" s="18"/>
      <c r="J718" s="18"/>
      <c r="K718" s="18"/>
    </row>
    <row r="719" spans="2:11" ht="12.75" customHeight="1" x14ac:dyDescent="0.2">
      <c r="B719" s="18"/>
      <c r="C719" s="82"/>
      <c r="D719" s="18"/>
      <c r="E719" s="18"/>
      <c r="F719" s="18"/>
      <c r="G719" s="18"/>
      <c r="H719" s="18"/>
      <c r="I719" s="18"/>
      <c r="J719" s="18"/>
      <c r="K719" s="18"/>
    </row>
    <row r="720" spans="2:11" ht="12.75" customHeight="1" x14ac:dyDescent="0.2">
      <c r="B720" s="18"/>
      <c r="C720" s="82"/>
      <c r="D720" s="18"/>
      <c r="E720" s="18"/>
      <c r="F720" s="18"/>
      <c r="G720" s="18"/>
      <c r="H720" s="18"/>
      <c r="I720" s="18"/>
      <c r="J720" s="18"/>
      <c r="K720" s="18"/>
    </row>
    <row r="721" spans="2:11" ht="12.75" customHeight="1" x14ac:dyDescent="0.2">
      <c r="B721" s="18"/>
      <c r="C721" s="82"/>
      <c r="D721" s="18"/>
      <c r="E721" s="18"/>
      <c r="F721" s="18"/>
      <c r="G721" s="18"/>
      <c r="H721" s="18"/>
      <c r="I721" s="18"/>
      <c r="J721" s="18"/>
      <c r="K721" s="18"/>
    </row>
    <row r="722" spans="2:11" ht="12.75" customHeight="1" x14ac:dyDescent="0.2">
      <c r="B722" s="18"/>
      <c r="C722" s="82"/>
      <c r="D722" s="18"/>
      <c r="E722" s="18"/>
      <c r="F722" s="18"/>
      <c r="G722" s="18"/>
      <c r="H722" s="18"/>
      <c r="I722" s="18"/>
      <c r="J722" s="18"/>
      <c r="K722" s="18"/>
    </row>
    <row r="723" spans="2:11" ht="12.75" customHeight="1" x14ac:dyDescent="0.2">
      <c r="B723" s="18"/>
      <c r="C723" s="82"/>
      <c r="D723" s="18"/>
      <c r="E723" s="18"/>
      <c r="F723" s="18"/>
      <c r="G723" s="18"/>
      <c r="H723" s="18"/>
      <c r="I723" s="18"/>
      <c r="J723" s="18"/>
      <c r="K723" s="18"/>
    </row>
    <row r="724" spans="2:11" ht="12.75" customHeight="1" x14ac:dyDescent="0.2">
      <c r="B724" s="18"/>
      <c r="C724" s="82"/>
      <c r="D724" s="18"/>
      <c r="E724" s="18"/>
      <c r="F724" s="18"/>
      <c r="G724" s="18"/>
      <c r="H724" s="18"/>
      <c r="I724" s="18"/>
      <c r="J724" s="18"/>
      <c r="K724" s="18"/>
    </row>
    <row r="725" spans="2:11" ht="12.75" customHeight="1" x14ac:dyDescent="0.2">
      <c r="B725" s="18"/>
      <c r="C725" s="82"/>
      <c r="D725" s="18"/>
      <c r="E725" s="18"/>
      <c r="F725" s="18"/>
      <c r="G725" s="18"/>
      <c r="H725" s="18"/>
      <c r="I725" s="18"/>
      <c r="J725" s="18"/>
      <c r="K725" s="18"/>
    </row>
    <row r="726" spans="2:11" ht="12.75" customHeight="1" x14ac:dyDescent="0.2">
      <c r="B726" s="18"/>
      <c r="C726" s="82"/>
      <c r="D726" s="18"/>
      <c r="E726" s="18"/>
      <c r="F726" s="18"/>
      <c r="G726" s="18"/>
      <c r="H726" s="18"/>
      <c r="I726" s="18"/>
      <c r="J726" s="18"/>
      <c r="K726" s="18"/>
    </row>
    <row r="727" spans="2:11" ht="12.75" customHeight="1" x14ac:dyDescent="0.2">
      <c r="B727" s="18"/>
      <c r="C727" s="82"/>
      <c r="D727" s="18"/>
      <c r="E727" s="18"/>
      <c r="F727" s="18"/>
      <c r="G727" s="18"/>
      <c r="H727" s="18"/>
      <c r="I727" s="18"/>
      <c r="J727" s="18"/>
      <c r="K727" s="18"/>
    </row>
    <row r="728" spans="2:11" ht="12.75" customHeight="1" x14ac:dyDescent="0.2">
      <c r="B728" s="18"/>
      <c r="C728" s="82"/>
      <c r="D728" s="18"/>
      <c r="E728" s="18"/>
      <c r="F728" s="18"/>
      <c r="G728" s="18"/>
      <c r="H728" s="18"/>
      <c r="I728" s="18"/>
      <c r="J728" s="18"/>
      <c r="K728" s="18"/>
    </row>
    <row r="729" spans="2:11" ht="12.75" customHeight="1" x14ac:dyDescent="0.2">
      <c r="B729" s="18"/>
      <c r="C729" s="82"/>
      <c r="D729" s="18"/>
      <c r="E729" s="18"/>
      <c r="F729" s="18"/>
      <c r="G729" s="18"/>
      <c r="H729" s="18"/>
      <c r="I729" s="18"/>
      <c r="J729" s="18"/>
      <c r="K729" s="18"/>
    </row>
    <row r="730" spans="2:11" ht="12.75" customHeight="1" x14ac:dyDescent="0.2">
      <c r="B730" s="18"/>
      <c r="C730" s="82"/>
      <c r="D730" s="18"/>
      <c r="E730" s="18"/>
      <c r="F730" s="18"/>
      <c r="G730" s="18"/>
      <c r="H730" s="18"/>
      <c r="I730" s="18"/>
      <c r="J730" s="18"/>
      <c r="K730" s="18"/>
    </row>
    <row r="731" spans="2:11" ht="12.75" customHeight="1" x14ac:dyDescent="0.2">
      <c r="B731" s="18"/>
      <c r="C731" s="82"/>
      <c r="D731" s="18"/>
      <c r="E731" s="18"/>
      <c r="F731" s="18"/>
      <c r="G731" s="18"/>
      <c r="H731" s="18"/>
      <c r="I731" s="18"/>
      <c r="J731" s="18"/>
      <c r="K731" s="18"/>
    </row>
    <row r="732" spans="2:11" ht="12.75" customHeight="1" x14ac:dyDescent="0.2">
      <c r="B732" s="18"/>
      <c r="C732" s="82"/>
      <c r="D732" s="18"/>
      <c r="E732" s="18"/>
      <c r="F732" s="18"/>
      <c r="G732" s="18"/>
      <c r="H732" s="18"/>
      <c r="I732" s="18"/>
      <c r="J732" s="18"/>
      <c r="K732" s="18"/>
    </row>
    <row r="733" spans="2:11" ht="12.75" customHeight="1" x14ac:dyDescent="0.2">
      <c r="B733" s="18"/>
      <c r="C733" s="82"/>
      <c r="D733" s="18"/>
      <c r="E733" s="18"/>
      <c r="F733" s="18"/>
      <c r="G733" s="18"/>
      <c r="H733" s="18"/>
      <c r="I733" s="18"/>
      <c r="J733" s="18"/>
      <c r="K733" s="18"/>
    </row>
    <row r="734" spans="2:11" ht="12.75" customHeight="1" x14ac:dyDescent="0.2">
      <c r="B734" s="18"/>
      <c r="C734" s="82"/>
      <c r="D734" s="18"/>
      <c r="E734" s="18"/>
      <c r="F734" s="18"/>
      <c r="G734" s="18"/>
      <c r="H734" s="18"/>
      <c r="I734" s="18"/>
      <c r="J734" s="18"/>
      <c r="K734" s="18"/>
    </row>
    <row r="735" spans="2:11" ht="12.75" customHeight="1" x14ac:dyDescent="0.2">
      <c r="B735" s="18"/>
      <c r="C735" s="82"/>
      <c r="D735" s="18"/>
      <c r="E735" s="18"/>
      <c r="F735" s="18"/>
      <c r="G735" s="18"/>
      <c r="H735" s="18"/>
      <c r="I735" s="18"/>
      <c r="J735" s="18"/>
      <c r="K735" s="18"/>
    </row>
    <row r="736" spans="2:11" ht="12.75" customHeight="1" x14ac:dyDescent="0.2">
      <c r="B736" s="18"/>
      <c r="C736" s="82"/>
      <c r="D736" s="18"/>
      <c r="E736" s="18"/>
      <c r="F736" s="18"/>
      <c r="G736" s="18"/>
      <c r="H736" s="18"/>
      <c r="I736" s="18"/>
      <c r="J736" s="18"/>
      <c r="K736" s="18"/>
    </row>
    <row r="737" spans="2:11" ht="12.75" customHeight="1" x14ac:dyDescent="0.2">
      <c r="B737" s="18"/>
      <c r="C737" s="82"/>
      <c r="D737" s="18"/>
      <c r="E737" s="18"/>
      <c r="F737" s="18"/>
      <c r="G737" s="18"/>
      <c r="H737" s="18"/>
      <c r="I737" s="18"/>
      <c r="J737" s="18"/>
      <c r="K737" s="18"/>
    </row>
    <row r="738" spans="2:11" ht="12.75" customHeight="1" x14ac:dyDescent="0.2">
      <c r="B738" s="18"/>
      <c r="C738" s="82"/>
      <c r="D738" s="18"/>
      <c r="E738" s="18"/>
      <c r="F738" s="18"/>
      <c r="G738" s="18"/>
      <c r="H738" s="18"/>
      <c r="I738" s="18"/>
      <c r="J738" s="18"/>
      <c r="K738" s="18"/>
    </row>
    <row r="739" spans="2:11" ht="12.75" customHeight="1" x14ac:dyDescent="0.2">
      <c r="B739" s="18"/>
      <c r="C739" s="82"/>
      <c r="D739" s="18"/>
      <c r="E739" s="18"/>
      <c r="F739" s="18"/>
      <c r="G739" s="18"/>
      <c r="H739" s="18"/>
      <c r="I739" s="18"/>
      <c r="J739" s="18"/>
      <c r="K739" s="18"/>
    </row>
    <row r="740" spans="2:11" ht="12.75" customHeight="1" x14ac:dyDescent="0.2">
      <c r="B740" s="18"/>
      <c r="C740" s="82"/>
      <c r="D740" s="18"/>
      <c r="E740" s="18"/>
      <c r="F740" s="18"/>
      <c r="G740" s="18"/>
      <c r="H740" s="18"/>
      <c r="I740" s="18"/>
      <c r="J740" s="18"/>
      <c r="K740" s="18"/>
    </row>
    <row r="741" spans="2:11" ht="12.75" customHeight="1" x14ac:dyDescent="0.2">
      <c r="B741" s="18"/>
      <c r="C741" s="82"/>
      <c r="D741" s="18"/>
      <c r="E741" s="18"/>
      <c r="F741" s="18"/>
      <c r="G741" s="18"/>
      <c r="H741" s="18"/>
      <c r="I741" s="18"/>
      <c r="J741" s="18"/>
      <c r="K741" s="18"/>
    </row>
    <row r="742" spans="2:11" ht="12.75" customHeight="1" x14ac:dyDescent="0.2">
      <c r="B742" s="18"/>
      <c r="C742" s="82"/>
      <c r="D742" s="18"/>
      <c r="E742" s="18"/>
      <c r="F742" s="18"/>
      <c r="G742" s="18"/>
      <c r="H742" s="18"/>
      <c r="I742" s="18"/>
      <c r="J742" s="18"/>
      <c r="K742" s="18"/>
    </row>
    <row r="743" spans="2:11" ht="12.75" customHeight="1" x14ac:dyDescent="0.2">
      <c r="B743" s="18"/>
      <c r="C743" s="82"/>
      <c r="D743" s="18"/>
      <c r="E743" s="18"/>
      <c r="F743" s="18"/>
      <c r="G743" s="18"/>
      <c r="H743" s="18"/>
      <c r="I743" s="18"/>
      <c r="J743" s="18"/>
      <c r="K743" s="18"/>
    </row>
    <row r="744" spans="2:11" ht="12.75" customHeight="1" x14ac:dyDescent="0.2">
      <c r="B744" s="18"/>
      <c r="C744" s="82"/>
      <c r="D744" s="18"/>
      <c r="E744" s="18"/>
      <c r="F744" s="18"/>
      <c r="G744" s="18"/>
      <c r="H744" s="18"/>
      <c r="I744" s="18"/>
      <c r="J744" s="18"/>
      <c r="K744" s="18"/>
    </row>
    <row r="745" spans="2:11" ht="12.75" customHeight="1" x14ac:dyDescent="0.2">
      <c r="B745" s="18"/>
      <c r="C745" s="82"/>
      <c r="D745" s="18"/>
      <c r="E745" s="18"/>
      <c r="F745" s="18"/>
      <c r="G745" s="18"/>
      <c r="H745" s="18"/>
      <c r="I745" s="18"/>
      <c r="J745" s="18"/>
      <c r="K745" s="18"/>
    </row>
    <row r="746" spans="2:11" ht="12.75" customHeight="1" x14ac:dyDescent="0.2">
      <c r="B746" s="18"/>
      <c r="C746" s="82"/>
      <c r="D746" s="18"/>
      <c r="E746" s="18"/>
      <c r="F746" s="18"/>
      <c r="G746" s="18"/>
      <c r="H746" s="18"/>
      <c r="I746" s="18"/>
      <c r="J746" s="18"/>
      <c r="K746" s="18"/>
    </row>
    <row r="747" spans="2:11" ht="12.75" customHeight="1" x14ac:dyDescent="0.2">
      <c r="B747" s="18"/>
      <c r="C747" s="82"/>
      <c r="D747" s="18"/>
      <c r="E747" s="18"/>
      <c r="F747" s="18"/>
      <c r="G747" s="18"/>
      <c r="H747" s="18"/>
      <c r="I747" s="18"/>
      <c r="J747" s="18"/>
      <c r="K747" s="18"/>
    </row>
    <row r="748" spans="2:11" ht="12.75" customHeight="1" x14ac:dyDescent="0.2">
      <c r="B748" s="18"/>
      <c r="C748" s="82"/>
      <c r="D748" s="18"/>
      <c r="E748" s="18"/>
      <c r="F748" s="18"/>
      <c r="G748" s="18"/>
      <c r="H748" s="18"/>
      <c r="I748" s="18"/>
      <c r="J748" s="18"/>
      <c r="K748" s="18"/>
    </row>
    <row r="749" spans="2:11" ht="12.75" customHeight="1" x14ac:dyDescent="0.2">
      <c r="B749" s="18"/>
      <c r="C749" s="82"/>
      <c r="D749" s="18"/>
      <c r="E749" s="18"/>
      <c r="F749" s="18"/>
      <c r="G749" s="18"/>
      <c r="H749" s="18"/>
      <c r="I749" s="18"/>
      <c r="J749" s="18"/>
      <c r="K749" s="18"/>
    </row>
    <row r="750" spans="2:11" ht="12.75" customHeight="1" x14ac:dyDescent="0.2">
      <c r="B750" s="18"/>
      <c r="C750" s="82"/>
      <c r="D750" s="18"/>
      <c r="E750" s="18"/>
      <c r="F750" s="18"/>
      <c r="G750" s="18"/>
      <c r="H750" s="18"/>
      <c r="I750" s="18"/>
      <c r="J750" s="18"/>
      <c r="K750" s="18"/>
    </row>
    <row r="751" spans="2:11" ht="12.75" customHeight="1" x14ac:dyDescent="0.2">
      <c r="B751" s="18"/>
      <c r="C751" s="82"/>
      <c r="D751" s="18"/>
      <c r="E751" s="18"/>
      <c r="F751" s="18"/>
      <c r="G751" s="18"/>
      <c r="H751" s="18"/>
      <c r="I751" s="18"/>
      <c r="J751" s="18"/>
      <c r="K751" s="18"/>
    </row>
    <row r="752" spans="2:11" ht="12.75" customHeight="1" x14ac:dyDescent="0.2">
      <c r="B752" s="18"/>
      <c r="C752" s="82"/>
      <c r="D752" s="18"/>
      <c r="E752" s="18"/>
      <c r="F752" s="18"/>
      <c r="G752" s="18"/>
      <c r="H752" s="18"/>
      <c r="I752" s="18"/>
      <c r="J752" s="18"/>
      <c r="K752" s="18"/>
    </row>
    <row r="753" spans="2:11" ht="12.75" customHeight="1" x14ac:dyDescent="0.2">
      <c r="B753" s="18"/>
      <c r="C753" s="82"/>
      <c r="D753" s="18"/>
      <c r="E753" s="18"/>
      <c r="F753" s="18"/>
      <c r="G753" s="18"/>
      <c r="H753" s="18"/>
      <c r="I753" s="18"/>
      <c r="J753" s="18"/>
      <c r="K753" s="18"/>
    </row>
    <row r="754" spans="2:11" ht="12.75" customHeight="1" x14ac:dyDescent="0.2">
      <c r="B754" s="18"/>
      <c r="C754" s="82"/>
      <c r="D754" s="18"/>
      <c r="E754" s="18"/>
      <c r="F754" s="18"/>
      <c r="G754" s="18"/>
      <c r="H754" s="18"/>
      <c r="I754" s="18"/>
      <c r="J754" s="18"/>
      <c r="K754" s="18"/>
    </row>
    <row r="755" spans="2:11" ht="12.75" customHeight="1" x14ac:dyDescent="0.2">
      <c r="B755" s="18"/>
      <c r="C755" s="82"/>
      <c r="D755" s="18"/>
      <c r="E755" s="18"/>
      <c r="F755" s="18"/>
      <c r="G755" s="18"/>
      <c r="H755" s="18"/>
      <c r="I755" s="18"/>
      <c r="J755" s="18"/>
      <c r="K755" s="18"/>
    </row>
    <row r="756" spans="2:11" ht="12.75" customHeight="1" x14ac:dyDescent="0.2">
      <c r="B756" s="18"/>
      <c r="C756" s="82"/>
      <c r="D756" s="18"/>
      <c r="E756" s="18"/>
      <c r="F756" s="18"/>
      <c r="G756" s="18"/>
      <c r="H756" s="18"/>
      <c r="I756" s="18"/>
      <c r="J756" s="18"/>
      <c r="K756" s="18"/>
    </row>
    <row r="757" spans="2:11" ht="12.75" customHeight="1" x14ac:dyDescent="0.2">
      <c r="B757" s="18"/>
      <c r="C757" s="82"/>
      <c r="D757" s="18"/>
      <c r="E757" s="18"/>
      <c r="F757" s="18"/>
      <c r="G757" s="18"/>
      <c r="H757" s="18"/>
      <c r="I757" s="18"/>
      <c r="J757" s="18"/>
      <c r="K757" s="18"/>
    </row>
    <row r="758" spans="2:11" ht="12.75" customHeight="1" x14ac:dyDescent="0.2">
      <c r="B758" s="18"/>
      <c r="C758" s="82"/>
      <c r="D758" s="18"/>
      <c r="E758" s="18"/>
      <c r="F758" s="18"/>
      <c r="G758" s="18"/>
      <c r="H758" s="18"/>
      <c r="I758" s="18"/>
      <c r="J758" s="18"/>
      <c r="K758" s="18"/>
    </row>
    <row r="759" spans="2:11" ht="12.75" customHeight="1" x14ac:dyDescent="0.2">
      <c r="B759" s="18"/>
      <c r="C759" s="82"/>
      <c r="D759" s="18"/>
      <c r="E759" s="18"/>
      <c r="F759" s="18"/>
      <c r="G759" s="18"/>
      <c r="H759" s="18"/>
      <c r="I759" s="18"/>
      <c r="J759" s="18"/>
      <c r="K759" s="18"/>
    </row>
    <row r="760" spans="2:11" ht="12.75" customHeight="1" x14ac:dyDescent="0.2">
      <c r="B760" s="18"/>
      <c r="C760" s="82"/>
      <c r="D760" s="18"/>
      <c r="E760" s="18"/>
      <c r="F760" s="18"/>
      <c r="G760" s="18"/>
      <c r="H760" s="18"/>
      <c r="I760" s="18"/>
      <c r="J760" s="18"/>
      <c r="K760" s="18"/>
    </row>
    <row r="761" spans="2:11" ht="12.75" customHeight="1" x14ac:dyDescent="0.2">
      <c r="B761" s="18"/>
      <c r="C761" s="82"/>
      <c r="D761" s="18"/>
      <c r="E761" s="18"/>
      <c r="F761" s="18"/>
      <c r="G761" s="18"/>
      <c r="H761" s="18"/>
      <c r="I761" s="18"/>
      <c r="J761" s="18"/>
      <c r="K761" s="18"/>
    </row>
    <row r="762" spans="2:11" ht="12.75" customHeight="1" x14ac:dyDescent="0.2">
      <c r="B762" s="18"/>
      <c r="C762" s="82"/>
      <c r="D762" s="18"/>
      <c r="E762" s="18"/>
      <c r="F762" s="18"/>
      <c r="G762" s="18"/>
      <c r="H762" s="18"/>
      <c r="I762" s="18"/>
      <c r="J762" s="18"/>
      <c r="K762" s="18"/>
    </row>
    <row r="763" spans="2:11" ht="12.75" customHeight="1" x14ac:dyDescent="0.2">
      <c r="B763" s="18"/>
      <c r="C763" s="82"/>
      <c r="D763" s="18"/>
      <c r="E763" s="18"/>
      <c r="F763" s="18"/>
      <c r="G763" s="18"/>
      <c r="H763" s="18"/>
      <c r="I763" s="18"/>
      <c r="J763" s="18"/>
      <c r="K763" s="18"/>
    </row>
    <row r="764" spans="2:11" ht="12.75" customHeight="1" x14ac:dyDescent="0.2">
      <c r="B764" s="18"/>
      <c r="C764" s="82"/>
      <c r="D764" s="18"/>
      <c r="E764" s="18"/>
      <c r="F764" s="18"/>
      <c r="G764" s="18"/>
      <c r="H764" s="18"/>
      <c r="I764" s="18"/>
      <c r="J764" s="18"/>
      <c r="K764" s="18"/>
    </row>
    <row r="765" spans="2:11" ht="12.75" customHeight="1" x14ac:dyDescent="0.2">
      <c r="B765" s="18"/>
      <c r="C765" s="82"/>
      <c r="D765" s="18"/>
      <c r="E765" s="18"/>
      <c r="F765" s="18"/>
      <c r="G765" s="18"/>
      <c r="H765" s="18"/>
      <c r="I765" s="18"/>
      <c r="J765" s="18"/>
      <c r="K765" s="18"/>
    </row>
    <row r="766" spans="2:11" ht="12.75" customHeight="1" x14ac:dyDescent="0.2">
      <c r="B766" s="18"/>
      <c r="C766" s="82"/>
      <c r="D766" s="18"/>
      <c r="E766" s="18"/>
      <c r="F766" s="18"/>
      <c r="G766" s="18"/>
      <c r="H766" s="18"/>
      <c r="I766" s="18"/>
      <c r="J766" s="18"/>
      <c r="K766" s="18"/>
    </row>
    <row r="767" spans="2:11" ht="12.75" customHeight="1" x14ac:dyDescent="0.2">
      <c r="B767" s="18"/>
      <c r="C767" s="82"/>
      <c r="D767" s="18"/>
      <c r="E767" s="18"/>
      <c r="F767" s="18"/>
      <c r="G767" s="18"/>
      <c r="H767" s="18"/>
      <c r="I767" s="18"/>
      <c r="J767" s="18"/>
      <c r="K767" s="18"/>
    </row>
    <row r="768" spans="2:11" ht="12.75" customHeight="1" x14ac:dyDescent="0.2">
      <c r="B768" s="18"/>
      <c r="C768" s="82"/>
      <c r="D768" s="18"/>
      <c r="E768" s="18"/>
      <c r="F768" s="18"/>
      <c r="G768" s="18"/>
      <c r="H768" s="18"/>
      <c r="I768" s="18"/>
      <c r="J768" s="18"/>
      <c r="K768" s="18"/>
    </row>
    <row r="769" spans="2:11" ht="12.75" customHeight="1" x14ac:dyDescent="0.2">
      <c r="B769" s="18"/>
      <c r="C769" s="82"/>
      <c r="D769" s="18"/>
      <c r="E769" s="18"/>
      <c r="F769" s="18"/>
      <c r="G769" s="18"/>
      <c r="H769" s="18"/>
      <c r="I769" s="18"/>
      <c r="J769" s="18"/>
      <c r="K769" s="18"/>
    </row>
    <row r="770" spans="2:11" ht="12.75" customHeight="1" x14ac:dyDescent="0.2">
      <c r="B770" s="18"/>
      <c r="C770" s="82"/>
      <c r="D770" s="18"/>
      <c r="E770" s="18"/>
      <c r="F770" s="18"/>
      <c r="G770" s="18"/>
      <c r="H770" s="18"/>
      <c r="I770" s="18"/>
      <c r="J770" s="18"/>
      <c r="K770" s="18"/>
    </row>
    <row r="771" spans="2:11" ht="12.75" customHeight="1" x14ac:dyDescent="0.2">
      <c r="B771" s="18"/>
      <c r="C771" s="82"/>
      <c r="D771" s="18"/>
      <c r="E771" s="18"/>
      <c r="F771" s="18"/>
      <c r="G771" s="18"/>
      <c r="H771" s="18"/>
      <c r="I771" s="18"/>
      <c r="J771" s="18"/>
      <c r="K771" s="18"/>
    </row>
    <row r="772" spans="2:11" ht="12.75" customHeight="1" x14ac:dyDescent="0.2">
      <c r="B772" s="18"/>
      <c r="C772" s="82"/>
      <c r="D772" s="18"/>
      <c r="E772" s="18"/>
      <c r="F772" s="18"/>
      <c r="G772" s="18"/>
      <c r="H772" s="18"/>
      <c r="I772" s="18"/>
      <c r="J772" s="18"/>
      <c r="K772" s="18"/>
    </row>
    <row r="773" spans="2:11" ht="12.75" customHeight="1" x14ac:dyDescent="0.2">
      <c r="B773" s="18"/>
      <c r="C773" s="82"/>
      <c r="D773" s="18"/>
      <c r="E773" s="18"/>
      <c r="F773" s="18"/>
      <c r="G773" s="18"/>
      <c r="H773" s="18"/>
      <c r="I773" s="18"/>
      <c r="J773" s="18"/>
      <c r="K773" s="18"/>
    </row>
    <row r="774" spans="2:11" ht="12.75" customHeight="1" x14ac:dyDescent="0.2">
      <c r="B774" s="18"/>
      <c r="C774" s="82"/>
      <c r="D774" s="18"/>
      <c r="E774" s="18"/>
      <c r="F774" s="18"/>
      <c r="G774" s="18"/>
      <c r="H774" s="18"/>
      <c r="I774" s="18"/>
      <c r="J774" s="18"/>
      <c r="K774" s="18"/>
    </row>
    <row r="775" spans="2:11" ht="12.75" customHeight="1" x14ac:dyDescent="0.2">
      <c r="B775" s="18"/>
      <c r="C775" s="82"/>
      <c r="D775" s="18"/>
      <c r="E775" s="18"/>
      <c r="F775" s="18"/>
      <c r="G775" s="18"/>
      <c r="H775" s="18"/>
      <c r="I775" s="18"/>
      <c r="J775" s="18"/>
      <c r="K775" s="18"/>
    </row>
    <row r="776" spans="2:11" ht="12.75" customHeight="1" x14ac:dyDescent="0.2">
      <c r="B776" s="18"/>
      <c r="C776" s="82"/>
      <c r="D776" s="18"/>
      <c r="E776" s="18"/>
      <c r="F776" s="18"/>
      <c r="G776" s="18"/>
      <c r="H776" s="18"/>
      <c r="I776" s="18"/>
      <c r="J776" s="18"/>
      <c r="K776" s="18"/>
    </row>
    <row r="777" spans="2:11" ht="12.75" customHeight="1" x14ac:dyDescent="0.2">
      <c r="B777" s="18"/>
      <c r="C777" s="82"/>
      <c r="D777" s="18"/>
      <c r="E777" s="18"/>
      <c r="F777" s="18"/>
      <c r="G777" s="18"/>
      <c r="H777" s="18"/>
      <c r="I777" s="18"/>
      <c r="J777" s="18"/>
      <c r="K777" s="18"/>
    </row>
    <row r="778" spans="2:11" ht="12.75" customHeight="1" x14ac:dyDescent="0.2">
      <c r="B778" s="18"/>
      <c r="C778" s="82"/>
      <c r="D778" s="18"/>
      <c r="E778" s="18"/>
      <c r="F778" s="18"/>
      <c r="G778" s="18"/>
      <c r="H778" s="18"/>
      <c r="I778" s="18"/>
      <c r="J778" s="18"/>
      <c r="K778" s="18"/>
    </row>
    <row r="779" spans="2:11" ht="12.75" customHeight="1" x14ac:dyDescent="0.2">
      <c r="B779" s="18"/>
      <c r="C779" s="82"/>
      <c r="D779" s="18"/>
      <c r="E779" s="18"/>
      <c r="F779" s="18"/>
      <c r="G779" s="18"/>
      <c r="H779" s="18"/>
      <c r="I779" s="18"/>
      <c r="J779" s="18"/>
      <c r="K779" s="18"/>
    </row>
    <row r="780" spans="2:11" ht="12.75" customHeight="1" x14ac:dyDescent="0.2">
      <c r="B780" s="18"/>
      <c r="C780" s="82"/>
      <c r="D780" s="18"/>
      <c r="E780" s="18"/>
      <c r="F780" s="18"/>
      <c r="G780" s="18"/>
      <c r="H780" s="18"/>
      <c r="I780" s="18"/>
      <c r="J780" s="18"/>
      <c r="K780" s="18"/>
    </row>
    <row r="781" spans="2:11" ht="12.75" customHeight="1" x14ac:dyDescent="0.2">
      <c r="B781" s="18"/>
      <c r="C781" s="82"/>
      <c r="D781" s="18"/>
      <c r="E781" s="18"/>
      <c r="F781" s="18"/>
      <c r="G781" s="18"/>
      <c r="H781" s="18"/>
      <c r="I781" s="18"/>
      <c r="J781" s="18"/>
      <c r="K781" s="18"/>
    </row>
    <row r="782" spans="2:11" ht="12.75" customHeight="1" x14ac:dyDescent="0.2">
      <c r="B782" s="18"/>
      <c r="C782" s="82"/>
      <c r="D782" s="18"/>
      <c r="E782" s="18"/>
      <c r="F782" s="18"/>
      <c r="G782" s="18"/>
      <c r="H782" s="18"/>
      <c r="I782" s="18"/>
      <c r="J782" s="18"/>
      <c r="K782" s="18"/>
    </row>
    <row r="783" spans="2:11" ht="12.75" customHeight="1" x14ac:dyDescent="0.2">
      <c r="B783" s="18"/>
      <c r="C783" s="82"/>
      <c r="D783" s="18"/>
      <c r="E783" s="18"/>
      <c r="F783" s="18"/>
      <c r="G783" s="18"/>
      <c r="H783" s="18"/>
      <c r="I783" s="18"/>
      <c r="J783" s="18"/>
      <c r="K783" s="18"/>
    </row>
    <row r="784" spans="2:11" ht="12.75" customHeight="1" x14ac:dyDescent="0.2">
      <c r="B784" s="18"/>
      <c r="C784" s="82"/>
      <c r="D784" s="18"/>
      <c r="E784" s="18"/>
      <c r="F784" s="18"/>
      <c r="G784" s="18"/>
      <c r="H784" s="18"/>
      <c r="I784" s="18"/>
      <c r="J784" s="18"/>
      <c r="K784" s="18"/>
    </row>
    <row r="785" spans="2:11" ht="12.75" customHeight="1" x14ac:dyDescent="0.2">
      <c r="B785" s="18"/>
      <c r="C785" s="82"/>
      <c r="D785" s="18"/>
      <c r="E785" s="18"/>
      <c r="F785" s="18"/>
      <c r="G785" s="18"/>
      <c r="H785" s="18"/>
      <c r="I785" s="18"/>
      <c r="J785" s="18"/>
      <c r="K785" s="18"/>
    </row>
    <row r="786" spans="2:11" ht="12.75" customHeight="1" x14ac:dyDescent="0.2">
      <c r="B786" s="18"/>
      <c r="C786" s="82"/>
      <c r="D786" s="18"/>
      <c r="E786" s="18"/>
      <c r="F786" s="18"/>
      <c r="G786" s="18"/>
      <c r="H786" s="18"/>
      <c r="I786" s="18"/>
      <c r="J786" s="18"/>
      <c r="K786" s="18"/>
    </row>
    <row r="787" spans="2:11" ht="12.75" customHeight="1" x14ac:dyDescent="0.2">
      <c r="B787" s="18"/>
      <c r="C787" s="82"/>
      <c r="D787" s="18"/>
      <c r="E787" s="18"/>
      <c r="F787" s="18"/>
      <c r="G787" s="18"/>
      <c r="H787" s="18"/>
      <c r="I787" s="18"/>
      <c r="J787" s="18"/>
      <c r="K787" s="18"/>
    </row>
    <row r="788" spans="2:11" ht="12.75" customHeight="1" x14ac:dyDescent="0.2">
      <c r="B788" s="18"/>
      <c r="C788" s="82"/>
      <c r="D788" s="18"/>
      <c r="E788" s="18"/>
      <c r="F788" s="18"/>
      <c r="G788" s="18"/>
      <c r="H788" s="18"/>
      <c r="I788" s="18"/>
      <c r="J788" s="18"/>
      <c r="K788" s="18"/>
    </row>
    <row r="789" spans="2:11" ht="12.75" customHeight="1" x14ac:dyDescent="0.2">
      <c r="B789" s="18"/>
      <c r="C789" s="82"/>
      <c r="D789" s="18"/>
      <c r="E789" s="18"/>
      <c r="F789" s="18"/>
      <c r="G789" s="18"/>
      <c r="H789" s="18"/>
      <c r="I789" s="18"/>
      <c r="J789" s="18"/>
      <c r="K789" s="18"/>
    </row>
    <row r="790" spans="2:11" ht="12.75" customHeight="1" x14ac:dyDescent="0.2">
      <c r="B790" s="18"/>
      <c r="C790" s="82"/>
      <c r="D790" s="18"/>
      <c r="E790" s="18"/>
      <c r="F790" s="18"/>
      <c r="G790" s="18"/>
      <c r="H790" s="18"/>
      <c r="I790" s="18"/>
      <c r="J790" s="18"/>
      <c r="K790" s="18"/>
    </row>
    <row r="791" spans="2:11" ht="12.75" customHeight="1" x14ac:dyDescent="0.2">
      <c r="B791" s="18"/>
      <c r="C791" s="82"/>
      <c r="D791" s="18"/>
      <c r="E791" s="18"/>
      <c r="F791" s="18"/>
      <c r="G791" s="18"/>
      <c r="H791" s="18"/>
      <c r="I791" s="18"/>
      <c r="J791" s="18"/>
      <c r="K791" s="18"/>
    </row>
    <row r="792" spans="2:11" ht="12.75" customHeight="1" x14ac:dyDescent="0.2">
      <c r="B792" s="18"/>
      <c r="C792" s="82"/>
      <c r="D792" s="18"/>
      <c r="E792" s="18"/>
      <c r="F792" s="18"/>
      <c r="G792" s="18"/>
      <c r="H792" s="18"/>
      <c r="I792" s="18"/>
      <c r="J792" s="18"/>
      <c r="K792" s="18"/>
    </row>
    <row r="793" spans="2:11" ht="12.75" customHeight="1" x14ac:dyDescent="0.2">
      <c r="B793" s="18"/>
      <c r="C793" s="82"/>
      <c r="D793" s="18"/>
      <c r="E793" s="18"/>
      <c r="F793" s="18"/>
      <c r="G793" s="18"/>
      <c r="H793" s="18"/>
      <c r="I793" s="18"/>
      <c r="J793" s="18"/>
      <c r="K793" s="18"/>
    </row>
    <row r="794" spans="2:11" ht="12.75" customHeight="1" x14ac:dyDescent="0.2">
      <c r="B794" s="18"/>
      <c r="C794" s="82"/>
      <c r="D794" s="18"/>
      <c r="E794" s="18"/>
      <c r="F794" s="18"/>
      <c r="G794" s="18"/>
      <c r="H794" s="18"/>
      <c r="I794" s="18"/>
      <c r="J794" s="18"/>
      <c r="K794" s="18"/>
    </row>
    <row r="795" spans="2:11" ht="12.75" customHeight="1" x14ac:dyDescent="0.2">
      <c r="B795" s="18"/>
      <c r="C795" s="82"/>
      <c r="D795" s="18"/>
      <c r="E795" s="18"/>
      <c r="F795" s="18"/>
      <c r="G795" s="18"/>
      <c r="H795" s="18"/>
      <c r="I795" s="18"/>
      <c r="J795" s="18"/>
      <c r="K795" s="18"/>
    </row>
    <row r="796" spans="2:11" ht="12.75" customHeight="1" x14ac:dyDescent="0.2">
      <c r="B796" s="18"/>
      <c r="C796" s="82"/>
      <c r="D796" s="18"/>
      <c r="E796" s="18"/>
      <c r="F796" s="18"/>
      <c r="G796" s="18"/>
      <c r="H796" s="18"/>
      <c r="I796" s="18"/>
      <c r="J796" s="18"/>
      <c r="K796" s="18"/>
    </row>
    <row r="797" spans="2:11" ht="12.75" customHeight="1" x14ac:dyDescent="0.2">
      <c r="B797" s="18"/>
      <c r="C797" s="82"/>
      <c r="D797" s="18"/>
      <c r="E797" s="18"/>
      <c r="F797" s="18"/>
      <c r="G797" s="18"/>
      <c r="H797" s="18"/>
      <c r="I797" s="18"/>
      <c r="J797" s="18"/>
      <c r="K797" s="18"/>
    </row>
    <row r="798" spans="2:11" ht="12.75" customHeight="1" x14ac:dyDescent="0.2">
      <c r="B798" s="18"/>
      <c r="C798" s="82"/>
      <c r="D798" s="18"/>
      <c r="E798" s="18"/>
      <c r="F798" s="18"/>
      <c r="G798" s="18"/>
      <c r="H798" s="18"/>
      <c r="I798" s="18"/>
      <c r="J798" s="18"/>
      <c r="K798" s="18"/>
    </row>
    <row r="799" spans="2:11" ht="12.75" customHeight="1" x14ac:dyDescent="0.2">
      <c r="B799" s="18"/>
      <c r="C799" s="82"/>
      <c r="D799" s="18"/>
      <c r="E799" s="18"/>
      <c r="F799" s="18"/>
      <c r="G799" s="18"/>
      <c r="H799" s="18"/>
      <c r="I799" s="18"/>
      <c r="J799" s="18"/>
      <c r="K799" s="18"/>
    </row>
    <row r="800" spans="2:11" ht="12.75" customHeight="1" x14ac:dyDescent="0.2">
      <c r="B800" s="18"/>
      <c r="C800" s="82"/>
      <c r="D800" s="18"/>
      <c r="E800" s="18"/>
      <c r="F800" s="18"/>
      <c r="G800" s="18"/>
      <c r="H800" s="18"/>
      <c r="I800" s="18"/>
      <c r="J800" s="18"/>
      <c r="K800" s="18"/>
    </row>
    <row r="801" spans="2:11" ht="12.75" customHeight="1" x14ac:dyDescent="0.2">
      <c r="B801" s="18"/>
      <c r="C801" s="82"/>
      <c r="D801" s="18"/>
      <c r="E801" s="18"/>
      <c r="F801" s="18"/>
      <c r="G801" s="18"/>
      <c r="H801" s="18"/>
      <c r="I801" s="18"/>
      <c r="J801" s="18"/>
      <c r="K801" s="18"/>
    </row>
    <row r="802" spans="2:11" ht="12.75" customHeight="1" x14ac:dyDescent="0.2">
      <c r="B802" s="18"/>
      <c r="C802" s="82"/>
      <c r="D802" s="18"/>
      <c r="E802" s="18"/>
      <c r="F802" s="18"/>
      <c r="G802" s="18"/>
      <c r="H802" s="18"/>
      <c r="I802" s="18"/>
      <c r="J802" s="18"/>
      <c r="K802" s="18"/>
    </row>
    <row r="803" spans="2:11" ht="12.75" customHeight="1" x14ac:dyDescent="0.2">
      <c r="B803" s="18"/>
      <c r="C803" s="82"/>
      <c r="D803" s="18"/>
      <c r="E803" s="18"/>
      <c r="F803" s="18"/>
      <c r="G803" s="18"/>
      <c r="H803" s="18"/>
      <c r="I803" s="18"/>
      <c r="J803" s="18"/>
      <c r="K803" s="18"/>
    </row>
    <row r="804" spans="2:11" ht="12.75" customHeight="1" x14ac:dyDescent="0.2">
      <c r="B804" s="18"/>
      <c r="C804" s="82"/>
      <c r="D804" s="18"/>
      <c r="E804" s="18"/>
      <c r="F804" s="18"/>
      <c r="G804" s="18"/>
      <c r="H804" s="18"/>
      <c r="I804" s="18"/>
      <c r="J804" s="18"/>
      <c r="K804" s="18"/>
    </row>
    <row r="805" spans="2:11" ht="12.75" customHeight="1" x14ac:dyDescent="0.2">
      <c r="B805" s="18"/>
      <c r="C805" s="82"/>
      <c r="D805" s="18"/>
      <c r="E805" s="18"/>
      <c r="F805" s="18"/>
      <c r="G805" s="18"/>
      <c r="H805" s="18"/>
      <c r="I805" s="18"/>
      <c r="J805" s="18"/>
      <c r="K805" s="18"/>
    </row>
    <row r="806" spans="2:11" ht="12.75" customHeight="1" x14ac:dyDescent="0.2">
      <c r="B806" s="18"/>
      <c r="C806" s="82"/>
      <c r="D806" s="18"/>
      <c r="E806" s="18"/>
      <c r="F806" s="18"/>
      <c r="G806" s="18"/>
      <c r="H806" s="18"/>
      <c r="I806" s="18"/>
      <c r="J806" s="18"/>
      <c r="K806" s="18"/>
    </row>
    <row r="807" spans="2:11" ht="12.75" customHeight="1" x14ac:dyDescent="0.2">
      <c r="B807" s="18"/>
      <c r="C807" s="82"/>
      <c r="D807" s="18"/>
      <c r="E807" s="18"/>
      <c r="F807" s="18"/>
      <c r="G807" s="18"/>
      <c r="H807" s="18"/>
      <c r="I807" s="18"/>
      <c r="J807" s="18"/>
      <c r="K807" s="18"/>
    </row>
    <row r="808" spans="2:11" ht="12.75" customHeight="1" x14ac:dyDescent="0.2">
      <c r="B808" s="18"/>
      <c r="C808" s="82"/>
      <c r="D808" s="18"/>
      <c r="E808" s="18"/>
      <c r="F808" s="18"/>
      <c r="G808" s="18"/>
      <c r="H808" s="18"/>
      <c r="I808" s="18"/>
      <c r="J808" s="18"/>
      <c r="K808" s="18"/>
    </row>
    <row r="809" spans="2:11" ht="12.75" customHeight="1" x14ac:dyDescent="0.2">
      <c r="B809" s="18"/>
      <c r="C809" s="82"/>
      <c r="D809" s="18"/>
      <c r="E809" s="18"/>
      <c r="F809" s="18"/>
      <c r="G809" s="18"/>
      <c r="H809" s="18"/>
      <c r="I809" s="18"/>
      <c r="J809" s="18"/>
      <c r="K809" s="18"/>
    </row>
    <row r="810" spans="2:11" ht="12.75" customHeight="1" x14ac:dyDescent="0.2">
      <c r="B810" s="18"/>
      <c r="C810" s="82"/>
      <c r="D810" s="18"/>
      <c r="E810" s="18"/>
      <c r="F810" s="18"/>
      <c r="G810" s="18"/>
      <c r="H810" s="18"/>
      <c r="I810" s="18"/>
      <c r="J810" s="18"/>
      <c r="K810" s="18"/>
    </row>
    <row r="811" spans="2:11" ht="12.75" customHeight="1" x14ac:dyDescent="0.2">
      <c r="B811" s="18"/>
      <c r="C811" s="82"/>
      <c r="D811" s="18"/>
      <c r="E811" s="18"/>
      <c r="F811" s="18"/>
      <c r="G811" s="18"/>
      <c r="H811" s="18"/>
      <c r="I811" s="18"/>
      <c r="J811" s="18"/>
      <c r="K811" s="18"/>
    </row>
    <row r="812" spans="2:11" ht="12.75" customHeight="1" x14ac:dyDescent="0.2">
      <c r="B812" s="18"/>
      <c r="C812" s="82"/>
      <c r="D812" s="18"/>
      <c r="E812" s="18"/>
      <c r="F812" s="18"/>
      <c r="G812" s="18"/>
      <c r="H812" s="18"/>
      <c r="I812" s="18"/>
      <c r="J812" s="18"/>
      <c r="K812" s="18"/>
    </row>
    <row r="813" spans="2:11" ht="12.75" customHeight="1" x14ac:dyDescent="0.2">
      <c r="B813" s="18"/>
      <c r="C813" s="82"/>
      <c r="D813" s="18"/>
      <c r="E813" s="18"/>
      <c r="F813" s="18"/>
      <c r="G813" s="18"/>
      <c r="H813" s="18"/>
      <c r="I813" s="18"/>
      <c r="J813" s="18"/>
      <c r="K813" s="18"/>
    </row>
    <row r="814" spans="2:11" ht="12.75" customHeight="1" x14ac:dyDescent="0.2">
      <c r="B814" s="18"/>
      <c r="C814" s="82"/>
      <c r="D814" s="18"/>
      <c r="E814" s="18"/>
      <c r="F814" s="18"/>
      <c r="G814" s="18"/>
      <c r="H814" s="18"/>
      <c r="I814" s="18"/>
      <c r="J814" s="18"/>
      <c r="K814" s="18"/>
    </row>
    <row r="815" spans="2:11" ht="12.75" customHeight="1" x14ac:dyDescent="0.2">
      <c r="B815" s="18"/>
      <c r="C815" s="82"/>
      <c r="D815" s="18"/>
      <c r="E815" s="18"/>
      <c r="F815" s="18"/>
      <c r="G815" s="18"/>
      <c r="H815" s="18"/>
      <c r="I815" s="18"/>
      <c r="J815" s="18"/>
      <c r="K815" s="18"/>
    </row>
    <row r="816" spans="2:11" ht="12.75" customHeight="1" x14ac:dyDescent="0.2">
      <c r="B816" s="18"/>
      <c r="C816" s="82"/>
      <c r="D816" s="18"/>
      <c r="E816" s="18"/>
      <c r="F816" s="18"/>
      <c r="G816" s="18"/>
      <c r="H816" s="18"/>
      <c r="I816" s="18"/>
      <c r="J816" s="18"/>
      <c r="K816" s="18"/>
    </row>
    <row r="817" spans="2:11" ht="12.75" customHeight="1" x14ac:dyDescent="0.2">
      <c r="B817" s="18"/>
      <c r="C817" s="82"/>
      <c r="D817" s="18"/>
      <c r="E817" s="18"/>
      <c r="F817" s="18"/>
      <c r="G817" s="18"/>
      <c r="H817" s="18"/>
      <c r="I817" s="18"/>
      <c r="J817" s="18"/>
      <c r="K817" s="18"/>
    </row>
    <row r="818" spans="2:11" ht="12.75" customHeight="1" x14ac:dyDescent="0.2">
      <c r="B818" s="18"/>
      <c r="C818" s="82"/>
      <c r="D818" s="18"/>
      <c r="E818" s="18"/>
      <c r="F818" s="18"/>
      <c r="G818" s="18"/>
      <c r="H818" s="18"/>
      <c r="I818" s="18"/>
      <c r="J818" s="18"/>
      <c r="K818" s="18"/>
    </row>
    <row r="819" spans="2:11" ht="12.75" customHeight="1" x14ac:dyDescent="0.2">
      <c r="B819" s="18"/>
      <c r="C819" s="82"/>
      <c r="D819" s="18"/>
      <c r="E819" s="18"/>
      <c r="F819" s="18"/>
      <c r="G819" s="18"/>
      <c r="H819" s="18"/>
      <c r="I819" s="18"/>
      <c r="J819" s="18"/>
      <c r="K819" s="18"/>
    </row>
    <row r="820" spans="2:11" ht="12.75" customHeight="1" x14ac:dyDescent="0.2">
      <c r="B820" s="18"/>
      <c r="C820" s="82"/>
      <c r="D820" s="18"/>
      <c r="E820" s="18"/>
      <c r="F820" s="18"/>
      <c r="G820" s="18"/>
      <c r="H820" s="18"/>
      <c r="I820" s="18"/>
      <c r="J820" s="18"/>
      <c r="K820" s="18"/>
    </row>
    <row r="821" spans="2:11" ht="12.75" customHeight="1" x14ac:dyDescent="0.2">
      <c r="B821" s="18"/>
      <c r="C821" s="82"/>
      <c r="D821" s="18"/>
      <c r="E821" s="18"/>
      <c r="F821" s="18"/>
      <c r="G821" s="18"/>
      <c r="H821" s="18"/>
      <c r="I821" s="18"/>
      <c r="J821" s="18"/>
      <c r="K821" s="18"/>
    </row>
    <row r="822" spans="2:11" ht="12.75" customHeight="1" x14ac:dyDescent="0.2">
      <c r="B822" s="18"/>
      <c r="C822" s="82"/>
      <c r="D822" s="18"/>
      <c r="E822" s="18"/>
      <c r="F822" s="18"/>
      <c r="G822" s="18"/>
      <c r="H822" s="18"/>
      <c r="I822" s="18"/>
      <c r="J822" s="18"/>
      <c r="K822" s="18"/>
    </row>
    <row r="823" spans="2:11" ht="12.75" customHeight="1" x14ac:dyDescent="0.2">
      <c r="B823" s="18"/>
      <c r="C823" s="82"/>
      <c r="D823" s="18"/>
      <c r="E823" s="18"/>
      <c r="F823" s="18"/>
      <c r="G823" s="18"/>
      <c r="H823" s="18"/>
      <c r="I823" s="18"/>
      <c r="J823" s="18"/>
      <c r="K823" s="18"/>
    </row>
    <row r="824" spans="2:11" ht="12.75" customHeight="1" x14ac:dyDescent="0.2">
      <c r="B824" s="18"/>
      <c r="C824" s="82"/>
      <c r="D824" s="18"/>
      <c r="E824" s="18"/>
      <c r="F824" s="18"/>
      <c r="G824" s="18"/>
      <c r="H824" s="18"/>
      <c r="I824" s="18"/>
      <c r="J824" s="18"/>
      <c r="K824" s="18"/>
    </row>
    <row r="825" spans="2:11" ht="12.75" customHeight="1" x14ac:dyDescent="0.2">
      <c r="B825" s="18"/>
      <c r="C825" s="82"/>
      <c r="D825" s="18"/>
      <c r="E825" s="18"/>
      <c r="F825" s="18"/>
      <c r="G825" s="18"/>
      <c r="H825" s="18"/>
      <c r="I825" s="18"/>
      <c r="J825" s="18"/>
      <c r="K825" s="18"/>
    </row>
    <row r="826" spans="2:11" ht="12.75" customHeight="1" x14ac:dyDescent="0.2">
      <c r="B826" s="18"/>
      <c r="C826" s="82"/>
      <c r="D826" s="18"/>
      <c r="E826" s="18"/>
      <c r="F826" s="18"/>
      <c r="G826" s="18"/>
      <c r="H826" s="18"/>
      <c r="I826" s="18"/>
      <c r="J826" s="18"/>
      <c r="K826" s="18"/>
    </row>
    <row r="827" spans="2:11" ht="12.75" customHeight="1" x14ac:dyDescent="0.2">
      <c r="B827" s="18"/>
      <c r="C827" s="82"/>
      <c r="D827" s="18"/>
      <c r="E827" s="18"/>
      <c r="F827" s="18"/>
      <c r="G827" s="18"/>
      <c r="H827" s="18"/>
      <c r="I827" s="18"/>
      <c r="J827" s="18"/>
      <c r="K827" s="18"/>
    </row>
    <row r="828" spans="2:11" ht="12.75" customHeight="1" x14ac:dyDescent="0.2">
      <c r="B828" s="18"/>
      <c r="C828" s="82"/>
      <c r="D828" s="18"/>
      <c r="E828" s="18"/>
      <c r="F828" s="18"/>
      <c r="G828" s="18"/>
      <c r="H828" s="18"/>
      <c r="I828" s="18"/>
      <c r="J828" s="18"/>
      <c r="K828" s="18"/>
    </row>
    <row r="829" spans="2:11" ht="12.75" customHeight="1" x14ac:dyDescent="0.2">
      <c r="B829" s="18"/>
      <c r="C829" s="82"/>
      <c r="D829" s="18"/>
      <c r="E829" s="18"/>
      <c r="F829" s="18"/>
      <c r="G829" s="18"/>
      <c r="H829" s="18"/>
      <c r="I829" s="18"/>
      <c r="J829" s="18"/>
      <c r="K829" s="18"/>
    </row>
    <row r="830" spans="2:11" ht="12.75" customHeight="1" x14ac:dyDescent="0.2">
      <c r="B830" s="18"/>
      <c r="C830" s="82"/>
      <c r="D830" s="18"/>
      <c r="E830" s="18"/>
      <c r="F830" s="18"/>
      <c r="G830" s="18"/>
      <c r="H830" s="18"/>
      <c r="I830" s="18"/>
      <c r="J830" s="18"/>
      <c r="K830" s="18"/>
    </row>
    <row r="831" spans="2:11" ht="12.75" customHeight="1" x14ac:dyDescent="0.2">
      <c r="B831" s="18"/>
      <c r="C831" s="82"/>
      <c r="D831" s="18"/>
      <c r="E831" s="18"/>
      <c r="F831" s="18"/>
      <c r="G831" s="18"/>
      <c r="H831" s="18"/>
      <c r="I831" s="18"/>
      <c r="J831" s="18"/>
      <c r="K831" s="18"/>
    </row>
    <row r="832" spans="2:11" ht="12.75" customHeight="1" x14ac:dyDescent="0.2">
      <c r="B832" s="18"/>
      <c r="C832" s="82"/>
      <c r="D832" s="18"/>
      <c r="E832" s="18"/>
      <c r="F832" s="18"/>
      <c r="G832" s="18"/>
      <c r="H832" s="18"/>
      <c r="I832" s="18"/>
      <c r="J832" s="18"/>
      <c r="K832" s="18"/>
    </row>
    <row r="833" spans="2:11" ht="12.75" customHeight="1" x14ac:dyDescent="0.2">
      <c r="B833" s="18"/>
      <c r="C833" s="82"/>
      <c r="D833" s="18"/>
      <c r="E833" s="18"/>
      <c r="F833" s="18"/>
      <c r="G833" s="18"/>
      <c r="H833" s="18"/>
      <c r="I833" s="18"/>
      <c r="J833" s="18"/>
      <c r="K833" s="18"/>
    </row>
    <row r="834" spans="2:11" ht="12.75" customHeight="1" x14ac:dyDescent="0.2">
      <c r="B834" s="18"/>
      <c r="C834" s="82"/>
      <c r="D834" s="18"/>
      <c r="E834" s="18"/>
      <c r="F834" s="18"/>
      <c r="G834" s="18"/>
      <c r="H834" s="18"/>
      <c r="I834" s="18"/>
      <c r="J834" s="18"/>
      <c r="K834" s="18"/>
    </row>
    <row r="835" spans="2:11" ht="12.75" customHeight="1" x14ac:dyDescent="0.2">
      <c r="B835" s="18"/>
      <c r="C835" s="82"/>
      <c r="D835" s="18"/>
      <c r="E835" s="18"/>
      <c r="F835" s="18"/>
      <c r="G835" s="18"/>
      <c r="H835" s="18"/>
      <c r="I835" s="18"/>
      <c r="J835" s="18"/>
      <c r="K835" s="18"/>
    </row>
    <row r="836" spans="2:11" ht="12.75" customHeight="1" x14ac:dyDescent="0.2">
      <c r="B836" s="18"/>
      <c r="C836" s="82"/>
      <c r="D836" s="18"/>
      <c r="E836" s="18"/>
      <c r="F836" s="18"/>
      <c r="G836" s="18"/>
      <c r="H836" s="18"/>
      <c r="I836" s="18"/>
      <c r="J836" s="18"/>
      <c r="K836" s="18"/>
    </row>
    <row r="837" spans="2:11" ht="12.75" customHeight="1" x14ac:dyDescent="0.2">
      <c r="B837" s="18"/>
      <c r="C837" s="82"/>
      <c r="D837" s="18"/>
      <c r="E837" s="18"/>
      <c r="F837" s="18"/>
      <c r="G837" s="18"/>
      <c r="H837" s="18"/>
      <c r="I837" s="18"/>
      <c r="J837" s="18"/>
      <c r="K837" s="18"/>
    </row>
    <row r="838" spans="2:11" ht="12.75" customHeight="1" x14ac:dyDescent="0.2">
      <c r="B838" s="18"/>
      <c r="C838" s="82"/>
      <c r="D838" s="18"/>
      <c r="E838" s="18"/>
      <c r="F838" s="18"/>
      <c r="G838" s="18"/>
      <c r="H838" s="18"/>
      <c r="I838" s="18"/>
      <c r="J838" s="18"/>
      <c r="K838" s="18"/>
    </row>
    <row r="839" spans="2:11" ht="12.75" customHeight="1" x14ac:dyDescent="0.2">
      <c r="B839" s="18"/>
      <c r="C839" s="82"/>
      <c r="D839" s="18"/>
      <c r="E839" s="18"/>
      <c r="F839" s="18"/>
      <c r="G839" s="18"/>
      <c r="H839" s="18"/>
      <c r="I839" s="18"/>
      <c r="J839" s="18"/>
      <c r="K839" s="18"/>
    </row>
    <row r="840" spans="2:11" ht="12.75" customHeight="1" x14ac:dyDescent="0.2">
      <c r="B840" s="18"/>
      <c r="C840" s="82"/>
      <c r="D840" s="18"/>
      <c r="E840" s="18"/>
      <c r="F840" s="18"/>
      <c r="G840" s="18"/>
      <c r="H840" s="18"/>
      <c r="I840" s="18"/>
      <c r="J840" s="18"/>
      <c r="K840" s="18"/>
    </row>
    <row r="841" spans="2:11" ht="12.75" customHeight="1" x14ac:dyDescent="0.2">
      <c r="B841" s="18"/>
      <c r="C841" s="82"/>
      <c r="D841" s="18"/>
      <c r="E841" s="18"/>
      <c r="F841" s="18"/>
      <c r="G841" s="18"/>
      <c r="H841" s="18"/>
      <c r="I841" s="18"/>
      <c r="J841" s="18"/>
      <c r="K841" s="18"/>
    </row>
    <row r="842" spans="2:11" ht="12.75" customHeight="1" x14ac:dyDescent="0.2">
      <c r="B842" s="18"/>
      <c r="C842" s="82"/>
      <c r="D842" s="18"/>
      <c r="E842" s="18"/>
      <c r="F842" s="18"/>
      <c r="G842" s="18"/>
      <c r="H842" s="18"/>
      <c r="I842" s="18"/>
      <c r="J842" s="18"/>
      <c r="K842" s="18"/>
    </row>
    <row r="843" spans="2:11" ht="12.75" customHeight="1" x14ac:dyDescent="0.2">
      <c r="B843" s="18"/>
      <c r="C843" s="82"/>
      <c r="D843" s="18"/>
      <c r="E843" s="18"/>
      <c r="F843" s="18"/>
      <c r="G843" s="18"/>
      <c r="H843" s="18"/>
      <c r="I843" s="18"/>
      <c r="J843" s="18"/>
      <c r="K843" s="18"/>
    </row>
    <row r="844" spans="2:11" ht="12.75" customHeight="1" x14ac:dyDescent="0.2">
      <c r="B844" s="18"/>
      <c r="C844" s="82"/>
      <c r="D844" s="18"/>
      <c r="E844" s="18"/>
      <c r="F844" s="18"/>
      <c r="G844" s="18"/>
      <c r="H844" s="18"/>
      <c r="I844" s="18"/>
      <c r="J844" s="18"/>
      <c r="K844" s="18"/>
    </row>
    <row r="845" spans="2:11" ht="12.75" customHeight="1" x14ac:dyDescent="0.2">
      <c r="B845" s="18"/>
      <c r="C845" s="82"/>
      <c r="D845" s="18"/>
      <c r="E845" s="18"/>
      <c r="F845" s="18"/>
      <c r="G845" s="18"/>
      <c r="H845" s="18"/>
      <c r="I845" s="18"/>
      <c r="J845" s="18"/>
      <c r="K845" s="18"/>
    </row>
    <row r="846" spans="2:11" ht="12.75" customHeight="1" x14ac:dyDescent="0.2">
      <c r="B846" s="18"/>
      <c r="C846" s="82"/>
      <c r="D846" s="18"/>
      <c r="E846" s="18"/>
      <c r="F846" s="18"/>
      <c r="G846" s="18"/>
      <c r="H846" s="18"/>
      <c r="I846" s="18"/>
      <c r="J846" s="18"/>
      <c r="K846" s="18"/>
    </row>
    <row r="847" spans="2:11" ht="12.75" customHeight="1" x14ac:dyDescent="0.2">
      <c r="B847" s="18"/>
      <c r="C847" s="82"/>
      <c r="D847" s="18"/>
      <c r="E847" s="18"/>
      <c r="F847" s="18"/>
      <c r="G847" s="18"/>
      <c r="H847" s="18"/>
      <c r="I847" s="18"/>
      <c r="J847" s="18"/>
      <c r="K847" s="18"/>
    </row>
    <row r="848" spans="2:11" ht="12.75" customHeight="1" x14ac:dyDescent="0.2">
      <c r="B848" s="18"/>
      <c r="C848" s="82"/>
      <c r="D848" s="18"/>
      <c r="E848" s="18"/>
      <c r="F848" s="18"/>
      <c r="G848" s="18"/>
      <c r="H848" s="18"/>
      <c r="I848" s="18"/>
      <c r="J848" s="18"/>
      <c r="K848" s="18"/>
    </row>
    <row r="849" spans="2:11" ht="12.75" customHeight="1" x14ac:dyDescent="0.2">
      <c r="B849" s="18"/>
      <c r="C849" s="82"/>
      <c r="D849" s="18"/>
      <c r="E849" s="18"/>
      <c r="F849" s="18"/>
      <c r="G849" s="18"/>
      <c r="H849" s="18"/>
      <c r="I849" s="18"/>
      <c r="J849" s="18"/>
      <c r="K849" s="18"/>
    </row>
    <row r="850" spans="2:11" ht="12.75" customHeight="1" x14ac:dyDescent="0.2">
      <c r="B850" s="18"/>
      <c r="C850" s="82"/>
      <c r="D850" s="18"/>
      <c r="E850" s="18"/>
      <c r="F850" s="18"/>
      <c r="G850" s="18"/>
      <c r="H850" s="18"/>
      <c r="I850" s="18"/>
      <c r="J850" s="18"/>
      <c r="K850" s="18"/>
    </row>
    <row r="851" spans="2:11" ht="12.75" customHeight="1" x14ac:dyDescent="0.2">
      <c r="B851" s="18"/>
      <c r="C851" s="82"/>
      <c r="D851" s="18"/>
      <c r="E851" s="18"/>
      <c r="F851" s="18"/>
      <c r="G851" s="18"/>
      <c r="H851" s="18"/>
      <c r="I851" s="18"/>
      <c r="J851" s="18"/>
      <c r="K851" s="18"/>
    </row>
    <row r="852" spans="2:11" ht="12.75" customHeight="1" x14ac:dyDescent="0.2">
      <c r="B852" s="18"/>
      <c r="C852" s="82"/>
      <c r="D852" s="18"/>
      <c r="E852" s="18"/>
      <c r="F852" s="18"/>
      <c r="G852" s="18"/>
      <c r="H852" s="18"/>
      <c r="I852" s="18"/>
      <c r="J852" s="18"/>
      <c r="K852" s="18"/>
    </row>
    <row r="853" spans="2:11" ht="12.75" customHeight="1" x14ac:dyDescent="0.2">
      <c r="B853" s="18"/>
      <c r="C853" s="82"/>
      <c r="D853" s="18"/>
      <c r="E853" s="18"/>
      <c r="F853" s="18"/>
      <c r="G853" s="18"/>
      <c r="H853" s="18"/>
      <c r="I853" s="18"/>
      <c r="J853" s="18"/>
      <c r="K853" s="18"/>
    </row>
    <row r="854" spans="2:11" ht="12.75" customHeight="1" x14ac:dyDescent="0.2">
      <c r="B854" s="18"/>
      <c r="C854" s="82"/>
      <c r="D854" s="18"/>
      <c r="E854" s="18"/>
      <c r="F854" s="18"/>
      <c r="G854" s="18"/>
      <c r="H854" s="18"/>
      <c r="I854" s="18"/>
      <c r="J854" s="18"/>
      <c r="K854" s="18"/>
    </row>
    <row r="855" spans="2:11" ht="12.75" customHeight="1" x14ac:dyDescent="0.2">
      <c r="B855" s="18"/>
      <c r="C855" s="82"/>
      <c r="D855" s="18"/>
      <c r="E855" s="18"/>
      <c r="F855" s="18"/>
      <c r="G855" s="18"/>
      <c r="H855" s="18"/>
      <c r="I855" s="18"/>
      <c r="J855" s="18"/>
      <c r="K855" s="18"/>
    </row>
    <row r="856" spans="2:11" ht="12.75" customHeight="1" x14ac:dyDescent="0.2">
      <c r="B856" s="18"/>
      <c r="C856" s="82"/>
      <c r="D856" s="18"/>
      <c r="E856" s="18"/>
      <c r="F856" s="18"/>
      <c r="G856" s="18"/>
      <c r="H856" s="18"/>
      <c r="I856" s="18"/>
      <c r="J856" s="18"/>
      <c r="K856" s="18"/>
    </row>
    <row r="857" spans="2:11" ht="12.75" customHeight="1" x14ac:dyDescent="0.2">
      <c r="B857" s="18"/>
      <c r="C857" s="82"/>
      <c r="D857" s="18"/>
      <c r="E857" s="18"/>
      <c r="F857" s="18"/>
      <c r="G857" s="18"/>
      <c r="H857" s="18"/>
      <c r="I857" s="18"/>
      <c r="J857" s="18"/>
      <c r="K857" s="18"/>
    </row>
    <row r="858" spans="2:11" ht="12.75" customHeight="1" x14ac:dyDescent="0.2">
      <c r="B858" s="18"/>
      <c r="C858" s="82"/>
      <c r="D858" s="18"/>
      <c r="E858" s="18"/>
      <c r="F858" s="18"/>
      <c r="G858" s="18"/>
      <c r="H858" s="18"/>
      <c r="I858" s="18"/>
      <c r="J858" s="18"/>
      <c r="K858" s="18"/>
    </row>
    <row r="859" spans="2:11" ht="12.75" customHeight="1" x14ac:dyDescent="0.2">
      <c r="B859" s="18"/>
      <c r="C859" s="82"/>
      <c r="D859" s="18"/>
      <c r="E859" s="18"/>
      <c r="F859" s="18"/>
      <c r="G859" s="18"/>
      <c r="H859" s="18"/>
      <c r="I859" s="18"/>
      <c r="J859" s="18"/>
      <c r="K859" s="18"/>
    </row>
    <row r="860" spans="2:11" ht="12.75" customHeight="1" x14ac:dyDescent="0.2">
      <c r="B860" s="18"/>
      <c r="C860" s="82"/>
      <c r="D860" s="18"/>
      <c r="E860" s="18"/>
      <c r="F860" s="18"/>
      <c r="G860" s="18"/>
      <c r="H860" s="18"/>
      <c r="I860" s="18"/>
      <c r="J860" s="18"/>
      <c r="K860" s="18"/>
    </row>
    <row r="861" spans="2:11" ht="12.75" customHeight="1" x14ac:dyDescent="0.2">
      <c r="B861" s="18"/>
      <c r="C861" s="82"/>
      <c r="D861" s="18"/>
      <c r="E861" s="18"/>
      <c r="F861" s="18"/>
      <c r="G861" s="18"/>
      <c r="H861" s="18"/>
      <c r="I861" s="18"/>
      <c r="J861" s="18"/>
      <c r="K861" s="18"/>
    </row>
    <row r="862" spans="2:11" ht="12.75" customHeight="1" x14ac:dyDescent="0.2">
      <c r="B862" s="18"/>
      <c r="C862" s="82"/>
      <c r="D862" s="18"/>
      <c r="E862" s="18"/>
      <c r="F862" s="18"/>
      <c r="G862" s="18"/>
      <c r="H862" s="18"/>
      <c r="I862" s="18"/>
      <c r="J862" s="18"/>
      <c r="K862" s="18"/>
    </row>
    <row r="863" spans="2:11" ht="12.75" customHeight="1" x14ac:dyDescent="0.2">
      <c r="B863" s="18"/>
      <c r="C863" s="82"/>
      <c r="D863" s="18"/>
      <c r="E863" s="18"/>
      <c r="F863" s="18"/>
      <c r="G863" s="18"/>
      <c r="H863" s="18"/>
      <c r="I863" s="18"/>
      <c r="J863" s="18"/>
      <c r="K863" s="18"/>
    </row>
    <row r="864" spans="2:11" ht="12.75" customHeight="1" x14ac:dyDescent="0.2">
      <c r="B864" s="18"/>
      <c r="C864" s="82"/>
      <c r="D864" s="18"/>
      <c r="E864" s="18"/>
      <c r="F864" s="18"/>
      <c r="G864" s="18"/>
      <c r="H864" s="18"/>
      <c r="I864" s="18"/>
      <c r="J864" s="18"/>
      <c r="K864" s="18"/>
    </row>
    <row r="865" spans="2:11" ht="12.75" customHeight="1" x14ac:dyDescent="0.2">
      <c r="B865" s="18"/>
      <c r="C865" s="82"/>
      <c r="D865" s="18"/>
      <c r="E865" s="18"/>
      <c r="F865" s="18"/>
      <c r="G865" s="18"/>
      <c r="H865" s="18"/>
      <c r="I865" s="18"/>
      <c r="J865" s="18"/>
      <c r="K865" s="18"/>
    </row>
    <row r="866" spans="2:11" ht="12.75" customHeight="1" x14ac:dyDescent="0.2">
      <c r="B866" s="18"/>
      <c r="C866" s="82"/>
      <c r="D866" s="18"/>
      <c r="E866" s="18"/>
      <c r="F866" s="18"/>
      <c r="G866" s="18"/>
      <c r="H866" s="18"/>
      <c r="I866" s="18"/>
      <c r="J866" s="18"/>
      <c r="K866" s="18"/>
    </row>
    <row r="867" spans="2:11" ht="12.75" customHeight="1" x14ac:dyDescent="0.2">
      <c r="B867" s="18"/>
      <c r="C867" s="82"/>
      <c r="D867" s="18"/>
      <c r="E867" s="18"/>
      <c r="F867" s="18"/>
      <c r="G867" s="18"/>
      <c r="H867" s="18"/>
      <c r="I867" s="18"/>
      <c r="J867" s="18"/>
      <c r="K867" s="18"/>
    </row>
    <row r="868" spans="2:11" ht="12.75" customHeight="1" x14ac:dyDescent="0.2">
      <c r="B868" s="18"/>
      <c r="C868" s="82"/>
      <c r="D868" s="18"/>
      <c r="E868" s="18"/>
      <c r="F868" s="18"/>
      <c r="G868" s="18"/>
      <c r="H868" s="18"/>
      <c r="I868" s="18"/>
      <c r="J868" s="18"/>
      <c r="K868" s="18"/>
    </row>
    <row r="869" spans="2:11" ht="12.75" customHeight="1" x14ac:dyDescent="0.2">
      <c r="B869" s="18"/>
      <c r="C869" s="82"/>
      <c r="D869" s="18"/>
      <c r="E869" s="18"/>
      <c r="F869" s="18"/>
      <c r="G869" s="18"/>
      <c r="H869" s="18"/>
      <c r="I869" s="18"/>
      <c r="J869" s="18"/>
      <c r="K869" s="18"/>
    </row>
    <row r="870" spans="2:11" ht="12.75" customHeight="1" x14ac:dyDescent="0.2">
      <c r="B870" s="18"/>
      <c r="C870" s="82"/>
      <c r="D870" s="18"/>
      <c r="E870" s="18"/>
      <c r="F870" s="18"/>
      <c r="G870" s="18"/>
      <c r="H870" s="18"/>
      <c r="I870" s="18"/>
      <c r="J870" s="18"/>
      <c r="K870" s="18"/>
    </row>
    <row r="871" spans="2:11" ht="12.75" customHeight="1" x14ac:dyDescent="0.2">
      <c r="B871" s="18"/>
      <c r="C871" s="82"/>
      <c r="D871" s="18"/>
      <c r="E871" s="18"/>
      <c r="F871" s="18"/>
      <c r="G871" s="18"/>
      <c r="H871" s="18"/>
      <c r="I871" s="18"/>
      <c r="J871" s="18"/>
      <c r="K871" s="18"/>
    </row>
    <row r="872" spans="2:11" ht="12.75" customHeight="1" x14ac:dyDescent="0.2">
      <c r="B872" s="18"/>
      <c r="C872" s="82"/>
      <c r="D872" s="18"/>
      <c r="E872" s="18"/>
      <c r="F872" s="18"/>
      <c r="G872" s="18"/>
      <c r="H872" s="18"/>
      <c r="I872" s="18"/>
      <c r="J872" s="18"/>
      <c r="K872" s="18"/>
    </row>
    <row r="873" spans="2:11" ht="12.75" customHeight="1" x14ac:dyDescent="0.2">
      <c r="B873" s="18"/>
      <c r="C873" s="82"/>
      <c r="D873" s="18"/>
      <c r="E873" s="18"/>
      <c r="F873" s="18"/>
      <c r="G873" s="18"/>
      <c r="H873" s="18"/>
      <c r="I873" s="18"/>
      <c r="J873" s="18"/>
      <c r="K873" s="18"/>
    </row>
    <row r="874" spans="2:11" ht="12.75" customHeight="1" x14ac:dyDescent="0.2">
      <c r="B874" s="18"/>
      <c r="C874" s="82"/>
      <c r="D874" s="18"/>
      <c r="E874" s="18"/>
      <c r="F874" s="18"/>
      <c r="G874" s="18"/>
      <c r="H874" s="18"/>
      <c r="I874" s="18"/>
      <c r="J874" s="18"/>
      <c r="K874" s="18"/>
    </row>
    <row r="875" spans="2:11" ht="12.75" customHeight="1" x14ac:dyDescent="0.2">
      <c r="B875" s="18"/>
      <c r="C875" s="82"/>
      <c r="D875" s="18"/>
      <c r="E875" s="18"/>
      <c r="F875" s="18"/>
      <c r="G875" s="18"/>
      <c r="H875" s="18"/>
      <c r="I875" s="18"/>
      <c r="J875" s="18"/>
      <c r="K875" s="18"/>
    </row>
    <row r="876" spans="2:11" ht="12.75" customHeight="1" x14ac:dyDescent="0.2">
      <c r="B876" s="18"/>
      <c r="C876" s="82"/>
      <c r="D876" s="18"/>
      <c r="E876" s="18"/>
      <c r="F876" s="18"/>
      <c r="G876" s="18"/>
      <c r="H876" s="18"/>
      <c r="I876" s="18"/>
      <c r="J876" s="18"/>
      <c r="K876" s="18"/>
    </row>
    <row r="877" spans="2:11" ht="12.75" customHeight="1" x14ac:dyDescent="0.2">
      <c r="B877" s="18"/>
      <c r="C877" s="82"/>
      <c r="D877" s="18"/>
      <c r="E877" s="18"/>
      <c r="F877" s="18"/>
      <c r="G877" s="18"/>
      <c r="H877" s="18"/>
      <c r="I877" s="18"/>
      <c r="J877" s="18"/>
      <c r="K877" s="18"/>
    </row>
    <row r="878" spans="2:11" ht="12.75" customHeight="1" x14ac:dyDescent="0.2">
      <c r="B878" s="18"/>
      <c r="C878" s="82"/>
      <c r="D878" s="18"/>
      <c r="E878" s="18"/>
      <c r="F878" s="18"/>
      <c r="G878" s="18"/>
      <c r="H878" s="18"/>
      <c r="I878" s="18"/>
      <c r="J878" s="18"/>
      <c r="K878" s="18"/>
    </row>
    <row r="879" spans="2:11" ht="12.75" customHeight="1" x14ac:dyDescent="0.2">
      <c r="B879" s="18"/>
      <c r="C879" s="82"/>
      <c r="D879" s="18"/>
      <c r="E879" s="18"/>
      <c r="F879" s="18"/>
      <c r="G879" s="18"/>
      <c r="H879" s="18"/>
      <c r="I879" s="18"/>
      <c r="J879" s="18"/>
      <c r="K879" s="18"/>
    </row>
    <row r="880" spans="2:11" ht="12.75" customHeight="1" x14ac:dyDescent="0.2">
      <c r="B880" s="18"/>
      <c r="C880" s="82"/>
      <c r="D880" s="18"/>
      <c r="E880" s="18"/>
      <c r="F880" s="18"/>
      <c r="G880" s="18"/>
      <c r="H880" s="18"/>
      <c r="I880" s="18"/>
      <c r="J880" s="18"/>
      <c r="K880" s="18"/>
    </row>
    <row r="881" spans="2:11" ht="12.75" customHeight="1" x14ac:dyDescent="0.2">
      <c r="B881" s="18"/>
      <c r="C881" s="82"/>
      <c r="D881" s="18"/>
      <c r="E881" s="18"/>
      <c r="F881" s="18"/>
      <c r="G881" s="18"/>
      <c r="H881" s="18"/>
      <c r="I881" s="18"/>
      <c r="J881" s="18"/>
      <c r="K881" s="18"/>
    </row>
    <row r="882" spans="2:11" ht="12.75" customHeight="1" x14ac:dyDescent="0.2">
      <c r="B882" s="18"/>
      <c r="C882" s="82"/>
      <c r="D882" s="18"/>
      <c r="E882" s="18"/>
      <c r="F882" s="18"/>
      <c r="G882" s="18"/>
      <c r="H882" s="18"/>
      <c r="I882" s="18"/>
      <c r="J882" s="18"/>
      <c r="K882" s="18"/>
    </row>
    <row r="883" spans="2:11" ht="12.75" customHeight="1" x14ac:dyDescent="0.2">
      <c r="B883" s="18"/>
      <c r="C883" s="82"/>
      <c r="D883" s="18"/>
      <c r="E883" s="18"/>
      <c r="F883" s="18"/>
      <c r="G883" s="18"/>
      <c r="H883" s="18"/>
      <c r="I883" s="18"/>
      <c r="J883" s="18"/>
      <c r="K883" s="18"/>
    </row>
    <row r="884" spans="2:11" ht="12.75" customHeight="1" x14ac:dyDescent="0.2">
      <c r="B884" s="18"/>
      <c r="C884" s="82"/>
      <c r="D884" s="18"/>
      <c r="E884" s="18"/>
      <c r="F884" s="18"/>
      <c r="G884" s="18"/>
      <c r="H884" s="18"/>
      <c r="I884" s="18"/>
      <c r="J884" s="18"/>
      <c r="K884" s="18"/>
    </row>
    <row r="885" spans="2:11" ht="12.75" customHeight="1" x14ac:dyDescent="0.2">
      <c r="B885" s="18"/>
      <c r="C885" s="82"/>
      <c r="D885" s="18"/>
      <c r="E885" s="18"/>
      <c r="F885" s="18"/>
      <c r="G885" s="18"/>
      <c r="H885" s="18"/>
      <c r="I885" s="18"/>
      <c r="J885" s="18"/>
      <c r="K885" s="18"/>
    </row>
    <row r="886" spans="2:11" ht="12.75" customHeight="1" x14ac:dyDescent="0.2">
      <c r="B886" s="18"/>
      <c r="C886" s="82"/>
      <c r="D886" s="18"/>
      <c r="E886" s="18"/>
      <c r="F886" s="18"/>
      <c r="G886" s="18"/>
      <c r="H886" s="18"/>
      <c r="I886" s="18"/>
      <c r="J886" s="18"/>
      <c r="K886" s="18"/>
    </row>
    <row r="887" spans="2:11" ht="12.75" customHeight="1" x14ac:dyDescent="0.2">
      <c r="B887" s="18"/>
      <c r="C887" s="82"/>
      <c r="D887" s="18"/>
      <c r="E887" s="18"/>
      <c r="F887" s="18"/>
      <c r="G887" s="18"/>
      <c r="H887" s="18"/>
      <c r="I887" s="18"/>
      <c r="J887" s="18"/>
      <c r="K887" s="18"/>
    </row>
    <row r="888" spans="2:11" ht="12.75" customHeight="1" x14ac:dyDescent="0.2">
      <c r="B888" s="18"/>
      <c r="C888" s="82"/>
      <c r="D888" s="18"/>
      <c r="E888" s="18"/>
      <c r="F888" s="18"/>
      <c r="G888" s="18"/>
      <c r="H888" s="18"/>
      <c r="I888" s="18"/>
      <c r="J888" s="18"/>
      <c r="K888" s="18"/>
    </row>
    <row r="889" spans="2:11" ht="12.75" customHeight="1" x14ac:dyDescent="0.2">
      <c r="B889" s="18"/>
      <c r="C889" s="82"/>
      <c r="D889" s="18"/>
      <c r="E889" s="18"/>
      <c r="F889" s="18"/>
      <c r="G889" s="18"/>
      <c r="H889" s="18"/>
      <c r="I889" s="18"/>
      <c r="J889" s="18"/>
      <c r="K889" s="18"/>
    </row>
    <row r="890" spans="2:11" ht="12.75" customHeight="1" x14ac:dyDescent="0.2">
      <c r="B890" s="18"/>
      <c r="C890" s="82"/>
      <c r="D890" s="18"/>
      <c r="E890" s="18"/>
      <c r="F890" s="18"/>
      <c r="G890" s="18"/>
      <c r="H890" s="18"/>
      <c r="I890" s="18"/>
      <c r="J890" s="18"/>
      <c r="K890" s="18"/>
    </row>
    <row r="891" spans="2:11" ht="12.75" customHeight="1" x14ac:dyDescent="0.2">
      <c r="B891" s="18"/>
      <c r="C891" s="82"/>
      <c r="D891" s="18"/>
      <c r="E891" s="18"/>
      <c r="F891" s="18"/>
      <c r="G891" s="18"/>
      <c r="H891" s="18"/>
      <c r="I891" s="18"/>
      <c r="J891" s="18"/>
      <c r="K891" s="18"/>
    </row>
    <row r="892" spans="2:11" ht="12.75" customHeight="1" x14ac:dyDescent="0.2">
      <c r="B892" s="18"/>
      <c r="C892" s="82"/>
      <c r="D892" s="18"/>
      <c r="E892" s="18"/>
      <c r="F892" s="18"/>
      <c r="G892" s="18"/>
      <c r="H892" s="18"/>
      <c r="I892" s="18"/>
      <c r="J892" s="18"/>
      <c r="K892" s="18"/>
    </row>
    <row r="893" spans="2:11" ht="12.75" customHeight="1" x14ac:dyDescent="0.2">
      <c r="B893" s="18"/>
      <c r="C893" s="82"/>
      <c r="D893" s="18"/>
      <c r="E893" s="18"/>
      <c r="F893" s="18"/>
      <c r="G893" s="18"/>
      <c r="H893" s="18"/>
      <c r="I893" s="18"/>
      <c r="J893" s="18"/>
      <c r="K893" s="18"/>
    </row>
    <row r="894" spans="2:11" ht="12.75" customHeight="1" x14ac:dyDescent="0.2">
      <c r="B894" s="18"/>
      <c r="C894" s="82"/>
      <c r="D894" s="18"/>
      <c r="E894" s="18"/>
      <c r="F894" s="18"/>
      <c r="G894" s="18"/>
      <c r="H894" s="18"/>
      <c r="I894" s="18"/>
      <c r="J894" s="18"/>
      <c r="K894" s="18"/>
    </row>
    <row r="895" spans="2:11" ht="12.75" customHeight="1" x14ac:dyDescent="0.2">
      <c r="B895" s="18"/>
      <c r="C895" s="82"/>
      <c r="D895" s="18"/>
      <c r="E895" s="18"/>
      <c r="F895" s="18"/>
      <c r="G895" s="18"/>
      <c r="H895" s="18"/>
      <c r="I895" s="18"/>
      <c r="J895" s="18"/>
      <c r="K895" s="18"/>
    </row>
    <row r="896" spans="2:11" ht="12.75" customHeight="1" x14ac:dyDescent="0.2">
      <c r="B896" s="18"/>
      <c r="C896" s="82"/>
      <c r="D896" s="18"/>
      <c r="E896" s="18"/>
      <c r="F896" s="18"/>
      <c r="G896" s="18"/>
      <c r="H896" s="18"/>
      <c r="I896" s="18"/>
      <c r="J896" s="18"/>
      <c r="K896" s="18"/>
    </row>
    <row r="897" spans="2:11" ht="12.75" customHeight="1" x14ac:dyDescent="0.2">
      <c r="B897" s="18"/>
      <c r="C897" s="82"/>
      <c r="D897" s="18"/>
      <c r="E897" s="18"/>
      <c r="F897" s="18"/>
      <c r="G897" s="18"/>
      <c r="H897" s="18"/>
      <c r="I897" s="18"/>
      <c r="J897" s="18"/>
      <c r="K897" s="18"/>
    </row>
    <row r="898" spans="2:11" ht="12.75" customHeight="1" x14ac:dyDescent="0.2">
      <c r="B898" s="18"/>
      <c r="C898" s="82"/>
      <c r="D898" s="18"/>
      <c r="E898" s="18"/>
      <c r="F898" s="18"/>
      <c r="G898" s="18"/>
      <c r="H898" s="18"/>
      <c r="I898" s="18"/>
      <c r="J898" s="18"/>
      <c r="K898" s="18"/>
    </row>
    <row r="899" spans="2:11" ht="12.75" customHeight="1" x14ac:dyDescent="0.2">
      <c r="B899" s="18"/>
      <c r="C899" s="82"/>
      <c r="D899" s="18"/>
      <c r="E899" s="18"/>
      <c r="F899" s="18"/>
      <c r="G899" s="18"/>
      <c r="H899" s="18"/>
      <c r="I899" s="18"/>
      <c r="J899" s="18"/>
      <c r="K899" s="18"/>
    </row>
    <row r="900" spans="2:11" ht="12.75" customHeight="1" x14ac:dyDescent="0.2">
      <c r="B900" s="18"/>
      <c r="C900" s="82"/>
      <c r="D900" s="18"/>
      <c r="E900" s="18"/>
      <c r="F900" s="18"/>
      <c r="G900" s="18"/>
      <c r="H900" s="18"/>
      <c r="I900" s="18"/>
      <c r="J900" s="18"/>
      <c r="K900" s="18"/>
    </row>
    <row r="901" spans="2:11" ht="12.75" customHeight="1" x14ac:dyDescent="0.2">
      <c r="B901" s="18"/>
      <c r="C901" s="82"/>
      <c r="D901" s="18"/>
      <c r="E901" s="18"/>
      <c r="F901" s="18"/>
      <c r="G901" s="18"/>
      <c r="H901" s="18"/>
      <c r="I901" s="18"/>
      <c r="J901" s="18"/>
      <c r="K901" s="18"/>
    </row>
    <row r="902" spans="2:11" ht="12.75" customHeight="1" x14ac:dyDescent="0.2">
      <c r="B902" s="18"/>
      <c r="C902" s="82"/>
      <c r="D902" s="18"/>
      <c r="E902" s="18"/>
      <c r="F902" s="18"/>
      <c r="G902" s="18"/>
      <c r="H902" s="18"/>
      <c r="I902" s="18"/>
      <c r="J902" s="18"/>
      <c r="K902" s="18"/>
    </row>
    <row r="903" spans="2:11" ht="12.75" customHeight="1" x14ac:dyDescent="0.2">
      <c r="B903" s="18"/>
      <c r="C903" s="82"/>
      <c r="D903" s="18"/>
      <c r="E903" s="18"/>
      <c r="F903" s="18"/>
      <c r="G903" s="18"/>
      <c r="H903" s="18"/>
      <c r="I903" s="18"/>
      <c r="J903" s="18"/>
      <c r="K903" s="18"/>
    </row>
    <row r="904" spans="2:11" ht="12.75" customHeight="1" x14ac:dyDescent="0.2">
      <c r="B904" s="18"/>
      <c r="C904" s="82"/>
      <c r="D904" s="18"/>
      <c r="E904" s="18"/>
      <c r="F904" s="18"/>
      <c r="G904" s="18"/>
      <c r="H904" s="18"/>
      <c r="I904" s="18"/>
      <c r="J904" s="18"/>
      <c r="K904" s="18"/>
    </row>
    <row r="905" spans="2:11" ht="12.75" customHeight="1" x14ac:dyDescent="0.2">
      <c r="B905" s="18"/>
      <c r="C905" s="82"/>
      <c r="D905" s="18"/>
      <c r="E905" s="18"/>
      <c r="F905" s="18"/>
      <c r="G905" s="18"/>
      <c r="H905" s="18"/>
      <c r="I905" s="18"/>
      <c r="J905" s="18"/>
      <c r="K905" s="18"/>
    </row>
    <row r="906" spans="2:11" ht="12.75" customHeight="1" x14ac:dyDescent="0.2">
      <c r="B906" s="18"/>
      <c r="C906" s="82"/>
      <c r="D906" s="18"/>
      <c r="E906" s="18"/>
      <c r="F906" s="18"/>
      <c r="G906" s="18"/>
      <c r="H906" s="18"/>
      <c r="I906" s="18"/>
      <c r="J906" s="18"/>
      <c r="K906" s="18"/>
    </row>
    <row r="907" spans="2:11" ht="12.75" customHeight="1" x14ac:dyDescent="0.2">
      <c r="B907" s="18"/>
      <c r="C907" s="82"/>
      <c r="D907" s="18"/>
      <c r="E907" s="18"/>
      <c r="F907" s="18"/>
      <c r="G907" s="18"/>
      <c r="H907" s="18"/>
      <c r="I907" s="18"/>
      <c r="J907" s="18"/>
      <c r="K907" s="18"/>
    </row>
    <row r="908" spans="2:11" ht="12.75" customHeight="1" x14ac:dyDescent="0.2">
      <c r="B908" s="18"/>
      <c r="C908" s="82"/>
      <c r="D908" s="18"/>
      <c r="E908" s="18"/>
      <c r="F908" s="18"/>
      <c r="G908" s="18"/>
      <c r="H908" s="18"/>
      <c r="I908" s="18"/>
      <c r="J908" s="18"/>
      <c r="K908" s="18"/>
    </row>
    <row r="909" spans="2:11" ht="12.75" customHeight="1" x14ac:dyDescent="0.2">
      <c r="B909" s="18"/>
      <c r="C909" s="82"/>
      <c r="D909" s="18"/>
      <c r="E909" s="18"/>
      <c r="F909" s="18"/>
      <c r="G909" s="18"/>
      <c r="H909" s="18"/>
      <c r="I909" s="18"/>
      <c r="J909" s="18"/>
      <c r="K909" s="18"/>
    </row>
    <row r="910" spans="2:11" ht="12.75" customHeight="1" x14ac:dyDescent="0.2">
      <c r="B910" s="18"/>
      <c r="C910" s="82"/>
      <c r="D910" s="18"/>
      <c r="E910" s="18"/>
      <c r="F910" s="18"/>
      <c r="G910" s="18"/>
      <c r="H910" s="18"/>
      <c r="I910" s="18"/>
      <c r="J910" s="18"/>
      <c r="K910" s="18"/>
    </row>
    <row r="911" spans="2:11" ht="12.75" customHeight="1" x14ac:dyDescent="0.2">
      <c r="B911" s="18"/>
      <c r="C911" s="82"/>
      <c r="D911" s="18"/>
      <c r="E911" s="18"/>
      <c r="F911" s="18"/>
      <c r="G911" s="18"/>
      <c r="H911" s="18"/>
      <c r="I911" s="18"/>
      <c r="J911" s="18"/>
      <c r="K911" s="18"/>
    </row>
    <row r="912" spans="2:11" ht="12.75" customHeight="1" x14ac:dyDescent="0.2">
      <c r="B912" s="18"/>
      <c r="C912" s="82"/>
      <c r="D912" s="18"/>
      <c r="E912" s="18"/>
      <c r="F912" s="18"/>
      <c r="G912" s="18"/>
      <c r="H912" s="18"/>
      <c r="I912" s="18"/>
      <c r="J912" s="18"/>
      <c r="K912" s="18"/>
    </row>
    <row r="913" spans="2:11" ht="12.75" customHeight="1" x14ac:dyDescent="0.2">
      <c r="B913" s="18"/>
      <c r="C913" s="82"/>
      <c r="D913" s="18"/>
      <c r="E913" s="18"/>
      <c r="F913" s="18"/>
      <c r="G913" s="18"/>
      <c r="H913" s="18"/>
      <c r="I913" s="18"/>
      <c r="J913" s="18"/>
      <c r="K913" s="18"/>
    </row>
    <row r="914" spans="2:11" ht="12.75" customHeight="1" x14ac:dyDescent="0.2">
      <c r="B914" s="18"/>
      <c r="C914" s="82"/>
      <c r="D914" s="18"/>
      <c r="E914" s="18"/>
      <c r="F914" s="18"/>
      <c r="G914" s="18"/>
      <c r="H914" s="18"/>
      <c r="I914" s="18"/>
      <c r="J914" s="18"/>
      <c r="K914" s="18"/>
    </row>
    <row r="915" spans="2:11" ht="12.75" customHeight="1" x14ac:dyDescent="0.2">
      <c r="B915" s="18"/>
      <c r="C915" s="82"/>
      <c r="D915" s="18"/>
      <c r="E915" s="18"/>
      <c r="F915" s="18"/>
      <c r="G915" s="18"/>
      <c r="H915" s="18"/>
      <c r="I915" s="18"/>
      <c r="J915" s="18"/>
      <c r="K915" s="18"/>
    </row>
    <row r="916" spans="2:11" ht="12.75" customHeight="1" x14ac:dyDescent="0.2">
      <c r="B916" s="18"/>
      <c r="C916" s="82"/>
      <c r="D916" s="18"/>
      <c r="E916" s="18"/>
      <c r="F916" s="18"/>
      <c r="G916" s="18"/>
      <c r="H916" s="18"/>
      <c r="I916" s="18"/>
      <c r="J916" s="18"/>
      <c r="K916" s="18"/>
    </row>
    <row r="917" spans="2:11" ht="12.75" customHeight="1" x14ac:dyDescent="0.2">
      <c r="B917" s="18"/>
      <c r="C917" s="82"/>
      <c r="D917" s="18"/>
      <c r="E917" s="18"/>
      <c r="F917" s="18"/>
      <c r="G917" s="18"/>
      <c r="H917" s="18"/>
      <c r="I917" s="18"/>
      <c r="J917" s="18"/>
      <c r="K917" s="18"/>
    </row>
    <row r="918" spans="2:11" ht="12.75" customHeight="1" x14ac:dyDescent="0.2">
      <c r="B918" s="18"/>
      <c r="C918" s="82"/>
      <c r="D918" s="18"/>
      <c r="E918" s="18"/>
      <c r="F918" s="18"/>
      <c r="G918" s="18"/>
      <c r="H918" s="18"/>
      <c r="I918" s="18"/>
      <c r="J918" s="18"/>
      <c r="K918" s="18"/>
    </row>
    <row r="919" spans="2:11" ht="12.75" customHeight="1" x14ac:dyDescent="0.2">
      <c r="B919" s="18"/>
      <c r="C919" s="82"/>
      <c r="D919" s="18"/>
      <c r="E919" s="18"/>
      <c r="F919" s="18"/>
      <c r="G919" s="18"/>
      <c r="H919" s="18"/>
      <c r="I919" s="18"/>
      <c r="J919" s="18"/>
      <c r="K919" s="18"/>
    </row>
    <row r="920" spans="2:11" ht="12.75" customHeight="1" x14ac:dyDescent="0.2">
      <c r="B920" s="18"/>
      <c r="C920" s="82"/>
      <c r="D920" s="18"/>
      <c r="E920" s="18"/>
      <c r="F920" s="18"/>
      <c r="G920" s="18"/>
      <c r="H920" s="18"/>
      <c r="I920" s="18"/>
      <c r="J920" s="18"/>
      <c r="K920" s="18"/>
    </row>
    <row r="921" spans="2:11" ht="12.75" customHeight="1" x14ac:dyDescent="0.2">
      <c r="B921" s="18"/>
      <c r="C921" s="82"/>
      <c r="D921" s="18"/>
      <c r="E921" s="18"/>
      <c r="F921" s="18"/>
      <c r="G921" s="18"/>
      <c r="H921" s="18"/>
      <c r="I921" s="18"/>
      <c r="J921" s="18"/>
      <c r="K921" s="18"/>
    </row>
    <row r="922" spans="2:11" ht="12.75" customHeight="1" x14ac:dyDescent="0.2">
      <c r="B922" s="18"/>
      <c r="C922" s="82"/>
      <c r="D922" s="18"/>
      <c r="E922" s="18"/>
      <c r="F922" s="18"/>
      <c r="G922" s="18"/>
      <c r="H922" s="18"/>
      <c r="I922" s="18"/>
      <c r="J922" s="18"/>
      <c r="K922" s="18"/>
    </row>
    <row r="923" spans="2:11" ht="12.75" customHeight="1" x14ac:dyDescent="0.2">
      <c r="B923" s="18"/>
      <c r="C923" s="82"/>
      <c r="D923" s="18"/>
      <c r="E923" s="18"/>
      <c r="F923" s="18"/>
      <c r="G923" s="18"/>
      <c r="H923" s="18"/>
      <c r="I923" s="18"/>
      <c r="J923" s="18"/>
      <c r="K923" s="18"/>
    </row>
    <row r="924" spans="2:11" ht="12.75" customHeight="1" x14ac:dyDescent="0.2">
      <c r="B924" s="18"/>
      <c r="C924" s="82"/>
      <c r="D924" s="18"/>
      <c r="E924" s="18"/>
      <c r="F924" s="18"/>
      <c r="G924" s="18"/>
      <c r="H924" s="18"/>
      <c r="I924" s="18"/>
      <c r="J924" s="18"/>
      <c r="K924" s="18"/>
    </row>
    <row r="925" spans="2:11" ht="12.75" customHeight="1" x14ac:dyDescent="0.2">
      <c r="B925" s="18"/>
      <c r="C925" s="82"/>
      <c r="D925" s="18"/>
      <c r="E925" s="18"/>
      <c r="F925" s="18"/>
      <c r="G925" s="18"/>
      <c r="H925" s="18"/>
      <c r="I925" s="18"/>
      <c r="J925" s="18"/>
      <c r="K925" s="18"/>
    </row>
    <row r="926" spans="2:11" ht="12.75" customHeight="1" x14ac:dyDescent="0.2">
      <c r="B926" s="18"/>
      <c r="C926" s="82"/>
      <c r="D926" s="18"/>
      <c r="E926" s="18"/>
      <c r="F926" s="18"/>
      <c r="G926" s="18"/>
      <c r="H926" s="18"/>
      <c r="I926" s="18"/>
      <c r="J926" s="18"/>
      <c r="K926" s="18"/>
    </row>
    <row r="927" spans="2:11" ht="12.75" customHeight="1" x14ac:dyDescent="0.2">
      <c r="B927" s="18"/>
      <c r="C927" s="82"/>
      <c r="D927" s="18"/>
      <c r="E927" s="18"/>
      <c r="F927" s="18"/>
      <c r="G927" s="18"/>
      <c r="H927" s="18"/>
      <c r="I927" s="18"/>
      <c r="J927" s="18"/>
      <c r="K927" s="18"/>
    </row>
    <row r="928" spans="2:11" ht="12.75" customHeight="1" x14ac:dyDescent="0.2">
      <c r="B928" s="18"/>
      <c r="C928" s="82"/>
      <c r="D928" s="18"/>
      <c r="E928" s="18"/>
      <c r="F928" s="18"/>
      <c r="G928" s="18"/>
      <c r="H928" s="18"/>
      <c r="I928" s="18"/>
      <c r="J928" s="18"/>
      <c r="K928" s="18"/>
    </row>
    <row r="929" spans="2:11" ht="12.75" customHeight="1" x14ac:dyDescent="0.2">
      <c r="B929" s="18"/>
      <c r="C929" s="82"/>
      <c r="D929" s="18"/>
      <c r="E929" s="18"/>
      <c r="F929" s="18"/>
      <c r="G929" s="18"/>
      <c r="H929" s="18"/>
      <c r="I929" s="18"/>
      <c r="J929" s="18"/>
      <c r="K929" s="18"/>
    </row>
    <row r="930" spans="2:11" ht="12.75" customHeight="1" x14ac:dyDescent="0.2">
      <c r="B930" s="18"/>
      <c r="C930" s="82"/>
      <c r="D930" s="18"/>
      <c r="E930" s="18"/>
      <c r="F930" s="18"/>
      <c r="G930" s="18"/>
      <c r="H930" s="18"/>
      <c r="I930" s="18"/>
      <c r="J930" s="18"/>
      <c r="K930" s="18"/>
    </row>
    <row r="931" spans="2:11" ht="12.75" customHeight="1" x14ac:dyDescent="0.2">
      <c r="B931" s="18"/>
      <c r="C931" s="82"/>
      <c r="D931" s="18"/>
      <c r="E931" s="18"/>
      <c r="F931" s="18"/>
      <c r="G931" s="18"/>
      <c r="H931" s="18"/>
      <c r="I931" s="18"/>
      <c r="J931" s="18"/>
      <c r="K931" s="18"/>
    </row>
    <row r="932" spans="2:11" ht="12.75" customHeight="1" x14ac:dyDescent="0.2">
      <c r="B932" s="18"/>
      <c r="C932" s="82"/>
      <c r="D932" s="18"/>
      <c r="E932" s="18"/>
      <c r="F932" s="18"/>
      <c r="G932" s="18"/>
      <c r="H932" s="18"/>
      <c r="I932" s="18"/>
      <c r="J932" s="18"/>
      <c r="K932" s="18"/>
    </row>
    <row r="933" spans="2:11" ht="12.75" customHeight="1" x14ac:dyDescent="0.2">
      <c r="B933" s="18"/>
      <c r="C933" s="82"/>
      <c r="D933" s="18"/>
      <c r="E933" s="18"/>
      <c r="F933" s="18"/>
      <c r="G933" s="18"/>
      <c r="H933" s="18"/>
      <c r="I933" s="18"/>
      <c r="J933" s="18"/>
      <c r="K933" s="18"/>
    </row>
    <row r="934" spans="2:11" ht="12.75" customHeight="1" x14ac:dyDescent="0.2">
      <c r="B934" s="18"/>
      <c r="C934" s="82"/>
      <c r="D934" s="18"/>
      <c r="E934" s="18"/>
      <c r="F934" s="18"/>
      <c r="G934" s="18"/>
      <c r="H934" s="18"/>
      <c r="I934" s="18"/>
      <c r="J934" s="18"/>
      <c r="K934" s="18"/>
    </row>
    <row r="935" spans="2:11" ht="12.75" customHeight="1" x14ac:dyDescent="0.2">
      <c r="B935" s="18"/>
      <c r="C935" s="82"/>
      <c r="D935" s="18"/>
      <c r="E935" s="18"/>
      <c r="F935" s="18"/>
      <c r="G935" s="18"/>
      <c r="H935" s="18"/>
      <c r="I935" s="18"/>
      <c r="J935" s="18"/>
      <c r="K935" s="18"/>
    </row>
    <row r="936" spans="2:11" ht="12.75" customHeight="1" x14ac:dyDescent="0.2">
      <c r="B936" s="18"/>
      <c r="C936" s="82"/>
      <c r="D936" s="18"/>
      <c r="E936" s="18"/>
      <c r="F936" s="18"/>
      <c r="G936" s="18"/>
      <c r="H936" s="18"/>
      <c r="I936" s="18"/>
      <c r="J936" s="18"/>
      <c r="K936" s="18"/>
    </row>
    <row r="937" spans="2:11" ht="12.75" customHeight="1" x14ac:dyDescent="0.2">
      <c r="B937" s="18"/>
      <c r="C937" s="82"/>
      <c r="D937" s="18"/>
      <c r="E937" s="18"/>
      <c r="F937" s="18"/>
      <c r="G937" s="18"/>
      <c r="H937" s="18"/>
      <c r="I937" s="18"/>
      <c r="J937" s="18"/>
      <c r="K937" s="18"/>
    </row>
    <row r="938" spans="2:11" ht="12.75" customHeight="1" x14ac:dyDescent="0.2">
      <c r="B938" s="18"/>
      <c r="C938" s="82"/>
      <c r="D938" s="18"/>
      <c r="E938" s="18"/>
      <c r="F938" s="18"/>
      <c r="G938" s="18"/>
      <c r="H938" s="18"/>
      <c r="I938" s="18"/>
      <c r="J938" s="18"/>
      <c r="K938" s="18"/>
    </row>
    <row r="939" spans="2:11" ht="12.75" customHeight="1" x14ac:dyDescent="0.2">
      <c r="B939" s="18"/>
      <c r="C939" s="82"/>
      <c r="D939" s="18"/>
      <c r="E939" s="18"/>
      <c r="F939" s="18"/>
      <c r="G939" s="18"/>
      <c r="H939" s="18"/>
      <c r="I939" s="18"/>
      <c r="J939" s="18"/>
      <c r="K939" s="18"/>
    </row>
    <row r="940" spans="2:11" ht="12.75" customHeight="1" x14ac:dyDescent="0.2">
      <c r="B940" s="18"/>
      <c r="C940" s="82"/>
      <c r="D940" s="18"/>
      <c r="E940" s="18"/>
      <c r="F940" s="18"/>
      <c r="G940" s="18"/>
      <c r="H940" s="18"/>
      <c r="I940" s="18"/>
      <c r="J940" s="18"/>
      <c r="K940" s="18"/>
    </row>
    <row r="941" spans="2:11" ht="12.75" customHeight="1" x14ac:dyDescent="0.2">
      <c r="B941" s="18"/>
      <c r="C941" s="82"/>
      <c r="D941" s="18"/>
      <c r="E941" s="18"/>
      <c r="F941" s="18"/>
      <c r="G941" s="18"/>
      <c r="H941" s="18"/>
      <c r="I941" s="18"/>
      <c r="J941" s="18"/>
      <c r="K941" s="18"/>
    </row>
    <row r="942" spans="2:11" ht="12.75" customHeight="1" x14ac:dyDescent="0.2">
      <c r="B942" s="18"/>
      <c r="C942" s="82"/>
      <c r="D942" s="18"/>
      <c r="E942" s="18"/>
      <c r="F942" s="18"/>
      <c r="G942" s="18"/>
      <c r="H942" s="18"/>
      <c r="I942" s="18"/>
      <c r="J942" s="18"/>
      <c r="K942" s="18"/>
    </row>
    <row r="943" spans="2:11" ht="12.75" customHeight="1" x14ac:dyDescent="0.2">
      <c r="B943" s="18"/>
      <c r="C943" s="82"/>
      <c r="D943" s="18"/>
      <c r="E943" s="18"/>
      <c r="F943" s="18"/>
      <c r="G943" s="18"/>
      <c r="H943" s="18"/>
      <c r="I943" s="18"/>
      <c r="J943" s="18"/>
      <c r="K943" s="18"/>
    </row>
    <row r="944" spans="2:11" ht="12.75" customHeight="1" x14ac:dyDescent="0.2">
      <c r="B944" s="18"/>
      <c r="C944" s="82"/>
      <c r="D944" s="18"/>
      <c r="E944" s="18"/>
      <c r="F944" s="18"/>
      <c r="G944" s="18"/>
      <c r="H944" s="18"/>
      <c r="I944" s="18"/>
      <c r="J944" s="18"/>
      <c r="K944" s="18"/>
    </row>
    <row r="945" spans="2:11" ht="12.75" customHeight="1" x14ac:dyDescent="0.2">
      <c r="B945" s="18"/>
      <c r="C945" s="82"/>
      <c r="D945" s="18"/>
      <c r="E945" s="18"/>
      <c r="F945" s="18"/>
      <c r="G945" s="18"/>
      <c r="H945" s="18"/>
      <c r="I945" s="18"/>
      <c r="J945" s="18"/>
      <c r="K945" s="18"/>
    </row>
    <row r="946" spans="2:11" ht="12.75" customHeight="1" x14ac:dyDescent="0.2">
      <c r="B946" s="18"/>
      <c r="C946" s="82"/>
      <c r="D946" s="18"/>
      <c r="E946" s="18"/>
      <c r="F946" s="18"/>
      <c r="G946" s="18"/>
      <c r="H946" s="18"/>
      <c r="I946" s="18"/>
      <c r="J946" s="18"/>
      <c r="K946" s="18"/>
    </row>
    <row r="947" spans="2:11" ht="12.75" customHeight="1" x14ac:dyDescent="0.2">
      <c r="B947" s="18"/>
      <c r="C947" s="82"/>
      <c r="D947" s="18"/>
      <c r="E947" s="18"/>
      <c r="F947" s="18"/>
      <c r="G947" s="18"/>
      <c r="H947" s="18"/>
      <c r="I947" s="18"/>
      <c r="J947" s="18"/>
      <c r="K947" s="18"/>
    </row>
    <row r="948" spans="2:11" ht="12.75" customHeight="1" x14ac:dyDescent="0.2">
      <c r="B948" s="18"/>
      <c r="C948" s="82"/>
      <c r="D948" s="18"/>
      <c r="E948" s="18"/>
      <c r="F948" s="18"/>
      <c r="G948" s="18"/>
      <c r="H948" s="18"/>
      <c r="I948" s="18"/>
      <c r="J948" s="18"/>
      <c r="K948" s="18"/>
    </row>
    <row r="949" spans="2:11" ht="12.75" customHeight="1" x14ac:dyDescent="0.2">
      <c r="B949" s="18"/>
      <c r="C949" s="82"/>
      <c r="D949" s="18"/>
      <c r="E949" s="18"/>
      <c r="F949" s="18"/>
      <c r="G949" s="18"/>
      <c r="H949" s="18"/>
      <c r="I949" s="18"/>
      <c r="J949" s="18"/>
      <c r="K949" s="18"/>
    </row>
    <row r="950" spans="2:11" ht="12.75" customHeight="1" x14ac:dyDescent="0.2">
      <c r="B950" s="18"/>
      <c r="C950" s="82"/>
      <c r="D950" s="18"/>
      <c r="E950" s="18"/>
      <c r="F950" s="18"/>
      <c r="G950" s="18"/>
      <c r="H950" s="18"/>
      <c r="I950" s="18"/>
      <c r="J950" s="18"/>
      <c r="K950" s="18"/>
    </row>
    <row r="951" spans="2:11" ht="12.75" customHeight="1" x14ac:dyDescent="0.2">
      <c r="B951" s="18"/>
      <c r="C951" s="82"/>
      <c r="D951" s="18"/>
      <c r="E951" s="18"/>
      <c r="F951" s="18"/>
      <c r="G951" s="18"/>
      <c r="H951" s="18"/>
      <c r="I951" s="18"/>
      <c r="J951" s="18"/>
      <c r="K951" s="18"/>
    </row>
    <row r="952" spans="2:11" ht="12.75" customHeight="1" x14ac:dyDescent="0.2">
      <c r="B952" s="18"/>
      <c r="C952" s="82"/>
      <c r="D952" s="18"/>
      <c r="E952" s="18"/>
      <c r="F952" s="18"/>
      <c r="G952" s="18"/>
      <c r="H952" s="18"/>
      <c r="I952" s="18"/>
      <c r="J952" s="18"/>
      <c r="K952" s="18"/>
    </row>
    <row r="953" spans="2:11" ht="12.75" customHeight="1" x14ac:dyDescent="0.2">
      <c r="B953" s="18"/>
      <c r="C953" s="82"/>
      <c r="D953" s="18"/>
      <c r="E953" s="18"/>
      <c r="F953" s="18"/>
      <c r="G953" s="18"/>
      <c r="H953" s="18"/>
      <c r="I953" s="18"/>
      <c r="J953" s="18"/>
      <c r="K953" s="18"/>
    </row>
    <row r="954" spans="2:11" ht="12.75" customHeight="1" x14ac:dyDescent="0.2">
      <c r="B954" s="18"/>
      <c r="C954" s="82"/>
      <c r="D954" s="18"/>
      <c r="E954" s="18"/>
      <c r="F954" s="18"/>
      <c r="G954" s="18"/>
      <c r="H954" s="18"/>
      <c r="I954" s="18"/>
      <c r="J954" s="18"/>
      <c r="K954" s="18"/>
    </row>
    <row r="955" spans="2:11" ht="12.75" customHeight="1" x14ac:dyDescent="0.2">
      <c r="B955" s="18"/>
      <c r="C955" s="82"/>
      <c r="D955" s="18"/>
      <c r="E955" s="18"/>
      <c r="F955" s="18"/>
      <c r="G955" s="18"/>
      <c r="H955" s="18"/>
      <c r="I955" s="18"/>
      <c r="J955" s="18"/>
      <c r="K955" s="18"/>
    </row>
    <row r="956" spans="2:11" ht="12.75" customHeight="1" x14ac:dyDescent="0.2">
      <c r="B956" s="18"/>
      <c r="C956" s="82"/>
      <c r="D956" s="18"/>
      <c r="E956" s="18"/>
      <c r="F956" s="18"/>
      <c r="G956" s="18"/>
      <c r="H956" s="18"/>
      <c r="I956" s="18"/>
      <c r="J956" s="18"/>
      <c r="K956" s="18"/>
    </row>
    <row r="957" spans="2:11" ht="12.75" customHeight="1" x14ac:dyDescent="0.2">
      <c r="B957" s="18"/>
      <c r="C957" s="82"/>
      <c r="D957" s="18"/>
      <c r="E957" s="18"/>
      <c r="F957" s="18"/>
      <c r="G957" s="18"/>
      <c r="H957" s="18"/>
      <c r="I957" s="18"/>
      <c r="J957" s="18"/>
      <c r="K957" s="18"/>
    </row>
    <row r="958" spans="2:11" ht="12.75" customHeight="1" x14ac:dyDescent="0.2">
      <c r="B958" s="18"/>
      <c r="C958" s="82"/>
      <c r="D958" s="18"/>
      <c r="E958" s="18"/>
      <c r="F958" s="18"/>
      <c r="G958" s="18"/>
      <c r="H958" s="18"/>
      <c r="I958" s="18"/>
      <c r="J958" s="18"/>
      <c r="K958" s="18"/>
    </row>
    <row r="959" spans="2:11" ht="12.75" customHeight="1" x14ac:dyDescent="0.2">
      <c r="B959" s="18"/>
      <c r="C959" s="82"/>
      <c r="D959" s="18"/>
      <c r="E959" s="18"/>
      <c r="F959" s="18"/>
      <c r="G959" s="18"/>
      <c r="H959" s="18"/>
      <c r="I959" s="18"/>
      <c r="J959" s="18"/>
      <c r="K959" s="18"/>
    </row>
    <row r="960" spans="2:11" ht="12.75" customHeight="1" x14ac:dyDescent="0.2">
      <c r="B960" s="18"/>
      <c r="C960" s="82"/>
      <c r="D960" s="18"/>
      <c r="E960" s="18"/>
      <c r="F960" s="18"/>
      <c r="G960" s="18"/>
      <c r="H960" s="18"/>
      <c r="I960" s="18"/>
      <c r="J960" s="18"/>
      <c r="K960" s="18"/>
    </row>
    <row r="961" spans="2:11" ht="12.75" customHeight="1" x14ac:dyDescent="0.2">
      <c r="B961" s="18"/>
      <c r="C961" s="82"/>
      <c r="D961" s="18"/>
      <c r="E961" s="18"/>
      <c r="F961" s="18"/>
      <c r="G961" s="18"/>
      <c r="H961" s="18"/>
      <c r="I961" s="18"/>
      <c r="J961" s="18"/>
      <c r="K961" s="18"/>
    </row>
    <row r="962" spans="2:11" ht="12.75" customHeight="1" x14ac:dyDescent="0.2">
      <c r="B962" s="18"/>
      <c r="C962" s="82"/>
      <c r="D962" s="18"/>
      <c r="E962" s="18"/>
      <c r="F962" s="18"/>
      <c r="G962" s="18"/>
      <c r="H962" s="18"/>
      <c r="I962" s="18"/>
      <c r="J962" s="18"/>
      <c r="K962" s="18"/>
    </row>
    <row r="963" spans="2:11" ht="12.75" customHeight="1" x14ac:dyDescent="0.2">
      <c r="B963" s="18"/>
      <c r="C963" s="82"/>
      <c r="D963" s="18"/>
      <c r="E963" s="18"/>
      <c r="F963" s="18"/>
      <c r="G963" s="18"/>
      <c r="H963" s="18"/>
      <c r="I963" s="18"/>
      <c r="J963" s="18"/>
      <c r="K963" s="18"/>
    </row>
    <row r="964" spans="2:11" ht="12.75" customHeight="1" x14ac:dyDescent="0.2">
      <c r="B964" s="18"/>
      <c r="C964" s="82"/>
      <c r="D964" s="18"/>
      <c r="E964" s="18"/>
      <c r="F964" s="18"/>
      <c r="G964" s="18"/>
      <c r="H964" s="18"/>
      <c r="I964" s="18"/>
      <c r="J964" s="18"/>
      <c r="K964" s="18"/>
    </row>
    <row r="965" spans="2:11" ht="12.75" customHeight="1" x14ac:dyDescent="0.2">
      <c r="B965" s="18"/>
      <c r="C965" s="82"/>
      <c r="D965" s="18"/>
      <c r="E965" s="18"/>
      <c r="F965" s="18"/>
      <c r="G965" s="18"/>
      <c r="H965" s="18"/>
      <c r="I965" s="18"/>
      <c r="J965" s="18"/>
      <c r="K965" s="18"/>
    </row>
    <row r="966" spans="2:11" ht="12.75" customHeight="1" x14ac:dyDescent="0.2">
      <c r="B966" s="18"/>
      <c r="C966" s="82"/>
      <c r="D966" s="18"/>
      <c r="E966" s="18"/>
      <c r="F966" s="18"/>
      <c r="G966" s="18"/>
      <c r="H966" s="18"/>
      <c r="I966" s="18"/>
      <c r="J966" s="18"/>
      <c r="K966" s="18"/>
    </row>
    <row r="967" spans="2:11" ht="12.75" customHeight="1" x14ac:dyDescent="0.2">
      <c r="B967" s="18"/>
      <c r="C967" s="82"/>
      <c r="D967" s="18"/>
      <c r="E967" s="18"/>
      <c r="F967" s="18"/>
      <c r="G967" s="18"/>
      <c r="H967" s="18"/>
      <c r="I967" s="18"/>
      <c r="J967" s="18"/>
      <c r="K967" s="18"/>
    </row>
    <row r="968" spans="2:11" ht="12.75" customHeight="1" x14ac:dyDescent="0.2">
      <c r="B968" s="18"/>
      <c r="C968" s="82"/>
      <c r="D968" s="18"/>
      <c r="E968" s="18"/>
      <c r="F968" s="18"/>
      <c r="G968" s="18"/>
      <c r="H968" s="18"/>
      <c r="I968" s="18"/>
      <c r="J968" s="18"/>
      <c r="K968" s="18"/>
    </row>
    <row r="969" spans="2:11" ht="12.75" customHeight="1" x14ac:dyDescent="0.2">
      <c r="B969" s="18"/>
      <c r="C969" s="82"/>
      <c r="D969" s="18"/>
      <c r="E969" s="18"/>
      <c r="F969" s="18"/>
      <c r="G969" s="18"/>
      <c r="H969" s="18"/>
      <c r="I969" s="18"/>
      <c r="J969" s="18"/>
      <c r="K969" s="18"/>
    </row>
    <row r="970" spans="2:11" ht="12.75" customHeight="1" x14ac:dyDescent="0.2">
      <c r="B970" s="18"/>
      <c r="C970" s="82"/>
      <c r="D970" s="18"/>
      <c r="E970" s="18"/>
      <c r="F970" s="18"/>
      <c r="G970" s="18"/>
      <c r="H970" s="18"/>
      <c r="I970" s="18"/>
      <c r="J970" s="18"/>
      <c r="K970" s="18"/>
    </row>
    <row r="971" spans="2:11" ht="12.75" customHeight="1" x14ac:dyDescent="0.2">
      <c r="B971" s="18"/>
      <c r="C971" s="82"/>
      <c r="D971" s="18"/>
      <c r="E971" s="18"/>
      <c r="F971" s="18"/>
      <c r="G971" s="18"/>
      <c r="H971" s="18"/>
      <c r="I971" s="18"/>
      <c r="J971" s="18"/>
      <c r="K971" s="18"/>
    </row>
    <row r="972" spans="2:11" ht="12.75" customHeight="1" x14ac:dyDescent="0.2">
      <c r="B972" s="18"/>
      <c r="C972" s="82"/>
      <c r="D972" s="18"/>
      <c r="E972" s="18"/>
      <c r="F972" s="18"/>
      <c r="G972" s="18"/>
      <c r="H972" s="18"/>
      <c r="I972" s="18"/>
      <c r="J972" s="18"/>
      <c r="K972" s="18"/>
    </row>
    <row r="973" spans="2:11" ht="12.75" customHeight="1" x14ac:dyDescent="0.2">
      <c r="B973" s="18"/>
      <c r="C973" s="82"/>
      <c r="D973" s="18"/>
      <c r="E973" s="18"/>
      <c r="F973" s="18"/>
      <c r="G973" s="18"/>
      <c r="H973" s="18"/>
      <c r="I973" s="18"/>
      <c r="J973" s="18"/>
      <c r="K973" s="18"/>
    </row>
    <row r="974" spans="2:11" ht="12.75" customHeight="1" x14ac:dyDescent="0.2">
      <c r="B974" s="18"/>
      <c r="C974" s="82"/>
      <c r="D974" s="18"/>
      <c r="E974" s="18"/>
      <c r="F974" s="18"/>
      <c r="G974" s="18"/>
      <c r="H974" s="18"/>
      <c r="I974" s="18"/>
      <c r="J974" s="18"/>
      <c r="K974" s="18"/>
    </row>
    <row r="975" spans="2:11" ht="12.75" customHeight="1" x14ac:dyDescent="0.2">
      <c r="B975" s="18"/>
      <c r="C975" s="82"/>
      <c r="D975" s="18"/>
      <c r="E975" s="18"/>
      <c r="F975" s="18"/>
      <c r="G975" s="18"/>
      <c r="H975" s="18"/>
      <c r="I975" s="18"/>
      <c r="J975" s="18"/>
      <c r="K975" s="18"/>
    </row>
    <row r="976" spans="2:11" ht="12.75" customHeight="1" x14ac:dyDescent="0.2">
      <c r="B976" s="18"/>
      <c r="C976" s="82"/>
      <c r="D976" s="18"/>
      <c r="E976" s="18"/>
      <c r="F976" s="18"/>
      <c r="G976" s="18"/>
      <c r="H976" s="18"/>
      <c r="I976" s="18"/>
      <c r="J976" s="18"/>
      <c r="K976" s="18"/>
    </row>
    <row r="977" spans="2:11" ht="12.75" customHeight="1" x14ac:dyDescent="0.2">
      <c r="B977" s="18"/>
      <c r="C977" s="82"/>
      <c r="D977" s="18"/>
      <c r="E977" s="18"/>
      <c r="F977" s="18"/>
      <c r="G977" s="18"/>
      <c r="H977" s="18"/>
      <c r="I977" s="18"/>
      <c r="J977" s="18"/>
      <c r="K977" s="18"/>
    </row>
    <row r="978" spans="2:11" ht="12.75" customHeight="1" x14ac:dyDescent="0.2">
      <c r="B978" s="18"/>
      <c r="C978" s="82"/>
      <c r="D978" s="18"/>
      <c r="E978" s="18"/>
      <c r="F978" s="18"/>
      <c r="G978" s="18"/>
      <c r="H978" s="18"/>
      <c r="I978" s="18"/>
      <c r="J978" s="18"/>
      <c r="K978" s="18"/>
    </row>
    <row r="979" spans="2:11" ht="12.75" customHeight="1" x14ac:dyDescent="0.2">
      <c r="B979" s="18"/>
      <c r="C979" s="82"/>
      <c r="D979" s="18"/>
      <c r="E979" s="18"/>
      <c r="F979" s="18"/>
      <c r="G979" s="18"/>
      <c r="H979" s="18"/>
      <c r="I979" s="18"/>
      <c r="J979" s="18"/>
      <c r="K979" s="18"/>
    </row>
    <row r="980" spans="2:11" ht="12.75" customHeight="1" x14ac:dyDescent="0.2">
      <c r="B980" s="18"/>
      <c r="C980" s="82"/>
      <c r="D980" s="18"/>
      <c r="E980" s="18"/>
      <c r="F980" s="18"/>
      <c r="G980" s="18"/>
      <c r="H980" s="18"/>
      <c r="I980" s="18"/>
      <c r="J980" s="18"/>
      <c r="K980" s="18"/>
    </row>
    <row r="981" spans="2:11" ht="12.75" customHeight="1" x14ac:dyDescent="0.2">
      <c r="B981" s="18"/>
      <c r="C981" s="82"/>
      <c r="D981" s="18"/>
      <c r="E981" s="18"/>
      <c r="F981" s="18"/>
      <c r="G981" s="18"/>
      <c r="H981" s="18"/>
      <c r="I981" s="18"/>
      <c r="J981" s="18"/>
      <c r="K981" s="18"/>
    </row>
    <row r="982" spans="2:11" ht="12.75" customHeight="1" x14ac:dyDescent="0.2">
      <c r="B982" s="18"/>
      <c r="C982" s="82"/>
      <c r="D982" s="18"/>
      <c r="E982" s="18"/>
      <c r="F982" s="18"/>
      <c r="G982" s="18"/>
      <c r="H982" s="18"/>
      <c r="I982" s="18"/>
      <c r="J982" s="18"/>
      <c r="K982" s="18"/>
    </row>
    <row r="983" spans="2:11" ht="12.75" customHeight="1" x14ac:dyDescent="0.2">
      <c r="B983" s="18"/>
      <c r="C983" s="82"/>
      <c r="D983" s="18"/>
      <c r="E983" s="18"/>
      <c r="F983" s="18"/>
      <c r="G983" s="18"/>
      <c r="H983" s="18"/>
      <c r="I983" s="18"/>
      <c r="J983" s="18"/>
      <c r="K983" s="18"/>
    </row>
    <row r="984" spans="2:11" ht="12.75" customHeight="1" x14ac:dyDescent="0.2">
      <c r="B984" s="18"/>
      <c r="C984" s="82"/>
      <c r="D984" s="18"/>
      <c r="E984" s="18"/>
      <c r="F984" s="18"/>
      <c r="G984" s="18"/>
      <c r="H984" s="18"/>
      <c r="I984" s="18"/>
      <c r="J984" s="18"/>
      <c r="K984" s="18"/>
    </row>
    <row r="985" spans="2:11" ht="12.75" customHeight="1" x14ac:dyDescent="0.2">
      <c r="B985" s="18"/>
      <c r="C985" s="82"/>
      <c r="D985" s="18"/>
      <c r="E985" s="18"/>
      <c r="F985" s="18"/>
      <c r="G985" s="18"/>
      <c r="H985" s="18"/>
      <c r="I985" s="18"/>
      <c r="J985" s="18"/>
      <c r="K985" s="18"/>
    </row>
    <row r="986" spans="2:11" ht="12.75" customHeight="1" x14ac:dyDescent="0.2">
      <c r="B986" s="18"/>
      <c r="C986" s="82"/>
      <c r="D986" s="18"/>
      <c r="E986" s="18"/>
      <c r="F986" s="18"/>
      <c r="G986" s="18"/>
      <c r="H986" s="18"/>
      <c r="I986" s="18"/>
      <c r="J986" s="18"/>
      <c r="K986" s="18"/>
    </row>
    <row r="987" spans="2:11" ht="12.75" customHeight="1" x14ac:dyDescent="0.2">
      <c r="B987" s="18"/>
      <c r="C987" s="82"/>
      <c r="D987" s="18"/>
      <c r="E987" s="18"/>
      <c r="F987" s="18"/>
      <c r="G987" s="18"/>
      <c r="H987" s="18"/>
      <c r="I987" s="18"/>
      <c r="J987" s="18"/>
      <c r="K987" s="18"/>
    </row>
    <row r="988" spans="2:11" ht="12.75" customHeight="1" x14ac:dyDescent="0.2">
      <c r="B988" s="18"/>
      <c r="C988" s="82"/>
      <c r="D988" s="18"/>
      <c r="E988" s="18"/>
      <c r="F988" s="18"/>
      <c r="G988" s="18"/>
      <c r="H988" s="18"/>
      <c r="I988" s="18"/>
      <c r="J988" s="18"/>
      <c r="K988" s="18"/>
    </row>
    <row r="989" spans="2:11" ht="12.75" customHeight="1" x14ac:dyDescent="0.2">
      <c r="B989" s="18"/>
      <c r="C989" s="82"/>
      <c r="D989" s="18"/>
      <c r="E989" s="18"/>
      <c r="F989" s="18"/>
      <c r="G989" s="18"/>
      <c r="H989" s="18"/>
      <c r="I989" s="18"/>
      <c r="J989" s="18"/>
      <c r="K989" s="18"/>
    </row>
    <row r="990" spans="2:11" ht="12.75" customHeight="1" x14ac:dyDescent="0.2">
      <c r="B990" s="18"/>
      <c r="C990" s="82"/>
      <c r="D990" s="18"/>
      <c r="E990" s="18"/>
      <c r="F990" s="18"/>
      <c r="G990" s="18"/>
      <c r="H990" s="18"/>
      <c r="I990" s="18"/>
      <c r="J990" s="18"/>
      <c r="K990" s="18"/>
    </row>
    <row r="991" spans="2:11" ht="12.75" customHeight="1" x14ac:dyDescent="0.2">
      <c r="B991" s="18"/>
      <c r="C991" s="82"/>
      <c r="D991" s="18"/>
      <c r="E991" s="18"/>
      <c r="F991" s="18"/>
      <c r="G991" s="18"/>
      <c r="H991" s="18"/>
      <c r="I991" s="18"/>
      <c r="J991" s="18"/>
      <c r="K991" s="18"/>
    </row>
    <row r="992" spans="2:11" ht="12.75" customHeight="1" x14ac:dyDescent="0.2">
      <c r="B992" s="18"/>
      <c r="C992" s="82"/>
      <c r="D992" s="18"/>
      <c r="E992" s="18"/>
      <c r="F992" s="18"/>
      <c r="G992" s="18"/>
      <c r="H992" s="18"/>
      <c r="I992" s="18"/>
      <c r="J992" s="18"/>
      <c r="K992" s="18"/>
    </row>
    <row r="993" spans="2:11" ht="12.75" customHeight="1" x14ac:dyDescent="0.2">
      <c r="B993" s="18"/>
      <c r="C993" s="82"/>
      <c r="D993" s="18"/>
      <c r="E993" s="18"/>
      <c r="F993" s="18"/>
      <c r="G993" s="18"/>
      <c r="H993" s="18"/>
      <c r="I993" s="18"/>
      <c r="J993" s="18"/>
      <c r="K993" s="18"/>
    </row>
    <row r="994" spans="2:11" ht="12.75" customHeight="1" x14ac:dyDescent="0.2">
      <c r="B994" s="18"/>
      <c r="C994" s="82"/>
      <c r="D994" s="18"/>
      <c r="E994" s="18"/>
      <c r="F994" s="18"/>
      <c r="G994" s="18"/>
      <c r="H994" s="18"/>
      <c r="I994" s="18"/>
      <c r="J994" s="18"/>
      <c r="K994" s="18"/>
    </row>
    <row r="995" spans="2:11" ht="12.75" customHeight="1" x14ac:dyDescent="0.2">
      <c r="B995" s="18"/>
      <c r="C995" s="82"/>
      <c r="D995" s="18"/>
      <c r="E995" s="18"/>
      <c r="F995" s="18"/>
      <c r="G995" s="18"/>
      <c r="H995" s="18"/>
      <c r="I995" s="18"/>
      <c r="J995" s="18"/>
      <c r="K995" s="18"/>
    </row>
    <row r="996" spans="2:11" ht="12.75" customHeight="1" x14ac:dyDescent="0.2">
      <c r="B996" s="18"/>
      <c r="C996" s="82"/>
      <c r="D996" s="18"/>
      <c r="E996" s="18"/>
      <c r="F996" s="18"/>
      <c r="G996" s="18"/>
      <c r="H996" s="18"/>
      <c r="I996" s="18"/>
      <c r="J996" s="18"/>
      <c r="K996" s="18"/>
    </row>
    <row r="997" spans="2:11" ht="12.75" customHeight="1" x14ac:dyDescent="0.2">
      <c r="B997" s="18"/>
      <c r="C997" s="82"/>
      <c r="D997" s="18"/>
      <c r="E997" s="18"/>
      <c r="F997" s="18"/>
      <c r="G997" s="18"/>
      <c r="H997" s="18"/>
      <c r="I997" s="18"/>
      <c r="J997" s="18"/>
      <c r="K997" s="18"/>
    </row>
    <row r="998" spans="2:11" ht="12.75" customHeight="1" x14ac:dyDescent="0.2">
      <c r="B998" s="18"/>
      <c r="C998" s="82"/>
      <c r="D998" s="18"/>
      <c r="E998" s="18"/>
      <c r="F998" s="18"/>
      <c r="G998" s="18"/>
      <c r="H998" s="18"/>
      <c r="I998" s="18"/>
      <c r="J998" s="18"/>
      <c r="K998" s="18"/>
    </row>
    <row r="999" spans="2:11" ht="12.75" customHeight="1" x14ac:dyDescent="0.2">
      <c r="B999" s="18"/>
      <c r="C999" s="82"/>
      <c r="D999" s="18"/>
      <c r="E999" s="18"/>
      <c r="F999" s="18"/>
      <c r="G999" s="18"/>
      <c r="H999" s="18"/>
      <c r="I999" s="18"/>
      <c r="J999" s="18"/>
      <c r="K999" s="18"/>
    </row>
    <row r="1000" spans="2:11" ht="12.75" customHeight="1" x14ac:dyDescent="0.2">
      <c r="B1000" s="18"/>
      <c r="C1000" s="82"/>
      <c r="D1000" s="18"/>
      <c r="E1000" s="18"/>
      <c r="F1000" s="18"/>
      <c r="G1000" s="18"/>
      <c r="H1000" s="18"/>
      <c r="I1000" s="18"/>
      <c r="J1000" s="18"/>
      <c r="K1000" s="18"/>
    </row>
  </sheetData>
  <mergeCells count="73">
    <mergeCell ref="P16:S16"/>
    <mergeCell ref="T16:W16"/>
    <mergeCell ref="X16:AA16"/>
    <mergeCell ref="H14:K14"/>
    <mergeCell ref="L14:O14"/>
    <mergeCell ref="P14:S14"/>
    <mergeCell ref="T14:W14"/>
    <mergeCell ref="P15:S15"/>
    <mergeCell ref="T15:W15"/>
    <mergeCell ref="X15:AA15"/>
    <mergeCell ref="D15:G15"/>
    <mergeCell ref="H15:K15"/>
    <mergeCell ref="L15:O15"/>
    <mergeCell ref="H16:K16"/>
    <mergeCell ref="L16:O16"/>
    <mergeCell ref="D5:X5"/>
    <mergeCell ref="D7:G7"/>
    <mergeCell ref="H7:K7"/>
    <mergeCell ref="L7:O7"/>
    <mergeCell ref="P7:S7"/>
    <mergeCell ref="T7:W7"/>
    <mergeCell ref="X7:AA7"/>
    <mergeCell ref="X8:AA8"/>
    <mergeCell ref="D9:G9"/>
    <mergeCell ref="X9:AA9"/>
    <mergeCell ref="D11:G11"/>
    <mergeCell ref="P9:S9"/>
    <mergeCell ref="T9:W9"/>
    <mergeCell ref="P10:S10"/>
    <mergeCell ref="T10:W10"/>
    <mergeCell ref="X10:AA10"/>
    <mergeCell ref="D8:G8"/>
    <mergeCell ref="H8:K8"/>
    <mergeCell ref="L8:O8"/>
    <mergeCell ref="P8:S8"/>
    <mergeCell ref="T8:W8"/>
    <mergeCell ref="X12:AA12"/>
    <mergeCell ref="H9:K9"/>
    <mergeCell ref="L9:O9"/>
    <mergeCell ref="D10:G10"/>
    <mergeCell ref="H10:K10"/>
    <mergeCell ref="L10:O10"/>
    <mergeCell ref="H11:K11"/>
    <mergeCell ref="L11:O11"/>
    <mergeCell ref="D12:G12"/>
    <mergeCell ref="H12:K12"/>
    <mergeCell ref="L12:O12"/>
    <mergeCell ref="P12:S12"/>
    <mergeCell ref="T12:W12"/>
    <mergeCell ref="P11:S11"/>
    <mergeCell ref="T11:W11"/>
    <mergeCell ref="X11:AA11"/>
    <mergeCell ref="D13:G13"/>
    <mergeCell ref="H13:K13"/>
    <mergeCell ref="L13:O13"/>
    <mergeCell ref="P13:S13"/>
    <mergeCell ref="T13:W13"/>
    <mergeCell ref="X13:AA13"/>
    <mergeCell ref="D14:G14"/>
    <mergeCell ref="X14:AA14"/>
    <mergeCell ref="D18:G18"/>
    <mergeCell ref="H18:K18"/>
    <mergeCell ref="L18:O18"/>
    <mergeCell ref="P18:S18"/>
    <mergeCell ref="T18:W18"/>
    <mergeCell ref="X18:AA18"/>
    <mergeCell ref="D16:G16"/>
    <mergeCell ref="D17:G17"/>
    <mergeCell ref="H17:K17"/>
    <mergeCell ref="L17:O17"/>
    <mergeCell ref="P17:S17"/>
    <mergeCell ref="T17:W17"/>
    <mergeCell ref="X17:AA17"/>
  </mergeCells>
  <printOptions horizontalCentered="1"/>
  <pageMargins left="0.39370078740157483" right="0.19685039370078741" top="0.39370078740157483" bottom="0.19685039370078741"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9</vt:i4>
      </vt:variant>
      <vt:variant>
        <vt:lpstr>Intervalos Nomeados</vt:lpstr>
      </vt:variant>
      <vt:variant>
        <vt:i4>2</vt:i4>
      </vt:variant>
    </vt:vector>
  </HeadingPairs>
  <TitlesOfParts>
    <vt:vector size="11" baseType="lpstr">
      <vt:lpstr>Project Charter</vt:lpstr>
      <vt:lpstr>WBS-MACRO-ATIVIDADE</vt:lpstr>
      <vt:lpstr>WBS_Detalhado (ordem etapas)</vt:lpstr>
      <vt:lpstr>WBS_Detalhado (ordem depend)</vt:lpstr>
      <vt:lpstr>Análise-De-Stakeholder</vt:lpstr>
      <vt:lpstr>Rede-precedência PERT-CPM</vt:lpstr>
      <vt:lpstr>Gráfico de Gantt</vt:lpstr>
      <vt:lpstr>PV_dependência</vt:lpstr>
      <vt:lpstr>Cronograma_de_Custos (2)</vt:lpstr>
      <vt:lpstr>Início_do_projeto</vt:lpstr>
      <vt:lpstr>Semana_de_exibição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dmello</dc:creator>
  <cp:lastModifiedBy>Cleusa Marcondes</cp:lastModifiedBy>
  <dcterms:created xsi:type="dcterms:W3CDTF">2009-09-10T00:53:44Z</dcterms:created>
  <dcterms:modified xsi:type="dcterms:W3CDTF">2026-03-29T17:08:52Z</dcterms:modified>
</cp:coreProperties>
</file>